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lpish\Desktop\"/>
    </mc:Choice>
  </mc:AlternateContent>
  <xr:revisionPtr revIDLastSave="0" documentId="13_ncr:1_{5B32F035-EBC9-47EA-9BD7-378DEBBCADC1}" xr6:coauthVersionLast="43" xr6:coauthVersionMax="43" xr10:uidLastSave="{00000000-0000-0000-0000-000000000000}"/>
  <bookViews>
    <workbookView xWindow="-108" yWindow="-108" windowWidth="23256" windowHeight="12576" xr2:uid="{F1466938-F063-4D63-B2B1-A5E5CC1FE85A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70" i="1" l="1"/>
  <c r="N25" i="1" l="1"/>
  <c r="N56" i="1" l="1"/>
  <c r="N45" i="1"/>
  <c r="W36" i="1"/>
  <c r="W37" i="1" s="1"/>
  <c r="N37" i="1" s="1"/>
  <c r="N6" i="1"/>
  <c r="N18" i="1"/>
  <c r="N7" i="1"/>
  <c r="N8" i="1" l="1"/>
</calcChain>
</file>

<file path=xl/sharedStrings.xml><?xml version="1.0" encoding="utf-8"?>
<sst xmlns="http://schemas.openxmlformats.org/spreadsheetml/2006/main" count="37" uniqueCount="30">
  <si>
    <t>Enter L</t>
  </si>
  <si>
    <t>Enter α=</t>
  </si>
  <si>
    <r>
      <t>W</t>
    </r>
    <r>
      <rPr>
        <b/>
        <vertAlign val="subscript"/>
        <sz val="12"/>
        <color theme="1"/>
        <rFont val="Times New Roman"/>
        <family val="1"/>
      </rPr>
      <t>i</t>
    </r>
  </si>
  <si>
    <r>
      <t>W</t>
    </r>
    <r>
      <rPr>
        <b/>
        <vertAlign val="subscript"/>
        <sz val="12"/>
        <color theme="1"/>
        <rFont val="Times New Roman"/>
        <family val="1"/>
      </rPr>
      <t>j</t>
    </r>
  </si>
  <si>
    <r>
      <t>F</t>
    </r>
    <r>
      <rPr>
        <b/>
        <vertAlign val="subscript"/>
        <sz val="12"/>
        <color theme="1"/>
        <rFont val="Times New Roman"/>
        <family val="1"/>
      </rPr>
      <t>ij</t>
    </r>
    <r>
      <rPr>
        <b/>
        <sz val="12"/>
        <color theme="1"/>
        <rFont val="Times New Roman"/>
        <family val="1"/>
      </rPr>
      <t>=</t>
    </r>
  </si>
  <si>
    <t>Enter ri</t>
  </si>
  <si>
    <t>Enter rj</t>
  </si>
  <si>
    <t>Enter s</t>
  </si>
  <si>
    <t>R</t>
  </si>
  <si>
    <t>C</t>
  </si>
  <si>
    <t>Enter r</t>
  </si>
  <si>
    <t>Enter s1</t>
  </si>
  <si>
    <t>Enter s2</t>
  </si>
  <si>
    <t>Cylinder and parallel Rectangle</t>
  </si>
  <si>
    <t>Parallel Cylinders of Different radii</t>
  </si>
  <si>
    <t>Inclined Parallel Plates of Equal Width and a common Edge</t>
  </si>
  <si>
    <t>Parallel Plates with Midlines
Connected by Perpendicular</t>
  </si>
  <si>
    <t>Infinite Plane and row of Cylinders</t>
  </si>
  <si>
    <t>Enter D</t>
  </si>
  <si>
    <t>Enter S</t>
  </si>
  <si>
    <r>
      <t>Enter w</t>
    </r>
    <r>
      <rPr>
        <b/>
        <vertAlign val="subscript"/>
        <sz val="12"/>
        <color theme="1"/>
        <rFont val="Times New Roman"/>
        <family val="1"/>
      </rPr>
      <t>i</t>
    </r>
    <r>
      <rPr>
        <b/>
        <sz val="12"/>
        <color theme="1"/>
        <rFont val="Times New Roman"/>
        <family val="1"/>
      </rPr>
      <t xml:space="preserve"> =</t>
    </r>
  </si>
  <si>
    <r>
      <t>Enter w</t>
    </r>
    <r>
      <rPr>
        <b/>
        <vertAlign val="subscript"/>
        <sz val="12"/>
        <color theme="1"/>
        <rFont val="Times New Roman"/>
        <family val="1"/>
      </rPr>
      <t>j</t>
    </r>
    <r>
      <rPr>
        <b/>
        <sz val="12"/>
        <color theme="1"/>
        <rFont val="Times New Roman"/>
        <family val="1"/>
      </rPr>
      <t>=</t>
    </r>
  </si>
  <si>
    <t>Enter L=</t>
  </si>
  <si>
    <r>
      <t>Enter w</t>
    </r>
    <r>
      <rPr>
        <b/>
        <vertAlign val="subscript"/>
        <sz val="12"/>
        <color theme="1"/>
        <rFont val="Times New Roman"/>
        <family val="1"/>
      </rPr>
      <t>i</t>
    </r>
    <r>
      <rPr>
        <b/>
        <sz val="12"/>
        <color theme="1"/>
        <rFont val="Times New Roman"/>
        <family val="1"/>
      </rPr>
      <t xml:space="preserve">= </t>
    </r>
  </si>
  <si>
    <t>Perpendicular Plates with a common edge</t>
  </si>
  <si>
    <t>View factors of 2-D geometries</t>
  </si>
  <si>
    <t>Three sided Enclosure</t>
  </si>
  <si>
    <r>
      <t>Enter W</t>
    </r>
    <r>
      <rPr>
        <b/>
        <vertAlign val="subscript"/>
        <sz val="12"/>
        <color theme="1"/>
        <rFont val="Times New Roman"/>
        <family val="1"/>
      </rPr>
      <t>k</t>
    </r>
  </si>
  <si>
    <r>
      <t>Enter W</t>
    </r>
    <r>
      <rPr>
        <b/>
        <vertAlign val="subscript"/>
        <sz val="12"/>
        <color theme="1"/>
        <rFont val="Times New Roman"/>
        <family val="1"/>
      </rPr>
      <t>i</t>
    </r>
  </si>
  <si>
    <r>
      <t>Enter W</t>
    </r>
    <r>
      <rPr>
        <b/>
        <vertAlign val="subscript"/>
        <sz val="12"/>
        <color theme="1"/>
        <rFont val="Times New Roman"/>
        <family val="1"/>
      </rPr>
      <t>j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</si>
</sst>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vertAlign val="subscript"/>
      <sz val="12"/>
      <color theme="1"/>
      <name val="Times New Roman"/>
      <family val="1"/>
    </font>
    <font>
      <b/>
      <sz val="16"/>
      <color theme="0" tint="-4.9989318521683403E-2"/>
      <name val="Times New Roman"/>
      <family val="1"/>
    </font>
    <font>
      <b/>
      <sz val="16"/>
      <color theme="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33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3" fillId="0" borderId="0" xfId="0" applyFont="1"/>
    <xf numFmtId="0" fontId="0" fillId="2" borderId="0" xfId="0" applyFill="1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2" borderId="0" xfId="0" applyFont="1" applyFill="1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594360</xdr:colOff>
      <xdr:row>7</xdr:row>
      <xdr:rowOff>7620</xdr:rowOff>
    </xdr:from>
    <xdr:to>
      <xdr:col>9</xdr:col>
      <xdr:colOff>22860</xdr:colOff>
      <xdr:row>7</xdr:row>
      <xdr:rowOff>15240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B260624D-458B-4FBB-9840-D64234822004}"/>
            </a:ext>
          </a:extLst>
        </xdr:cNvPr>
        <xdr:cNvCxnSpPr/>
      </xdr:nvCxnSpPr>
      <xdr:spPr>
        <a:xfrm>
          <a:off x="3688080" y="845820"/>
          <a:ext cx="1866900" cy="762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7620</xdr:colOff>
      <xdr:row>12</xdr:row>
      <xdr:rowOff>0</xdr:rowOff>
    </xdr:from>
    <xdr:to>
      <xdr:col>9</xdr:col>
      <xdr:colOff>601980</xdr:colOff>
      <xdr:row>12</xdr:row>
      <xdr:rowOff>7620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DA12C356-1ABA-41D6-B5E4-F730E339603A}"/>
            </a:ext>
          </a:extLst>
        </xdr:cNvPr>
        <xdr:cNvCxnSpPr/>
      </xdr:nvCxnSpPr>
      <xdr:spPr>
        <a:xfrm flipV="1">
          <a:off x="3101340" y="1859280"/>
          <a:ext cx="3032760" cy="762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30480</xdr:colOff>
      <xdr:row>6</xdr:row>
      <xdr:rowOff>0</xdr:rowOff>
    </xdr:from>
    <xdr:to>
      <xdr:col>9</xdr:col>
      <xdr:colOff>449580</xdr:colOff>
      <xdr:row>7</xdr:row>
      <xdr:rowOff>182880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C61C3933-3007-4269-9281-2F4B2B84FFDB}"/>
            </a:ext>
          </a:extLst>
        </xdr:cNvPr>
        <xdr:cNvSpPr/>
      </xdr:nvSpPr>
      <xdr:spPr>
        <a:xfrm>
          <a:off x="5562600" y="609600"/>
          <a:ext cx="419100" cy="41148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oneCellAnchor>
    <xdr:from>
      <xdr:col>9</xdr:col>
      <xdr:colOff>114300</xdr:colOff>
      <xdr:row>6</xdr:row>
      <xdr:rowOff>0</xdr:rowOff>
    </xdr:from>
    <xdr:ext cx="248786" cy="35779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B4450851-1D6D-46E8-8160-E8B81033F037}"/>
            </a:ext>
          </a:extLst>
        </xdr:cNvPr>
        <xdr:cNvSpPr txBox="1"/>
      </xdr:nvSpPr>
      <xdr:spPr>
        <a:xfrm>
          <a:off x="5646420" y="609600"/>
          <a:ext cx="248786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>
              <a:latin typeface="Times New Roman" panose="02020603050405020304" pitchFamily="18" charset="0"/>
              <a:cs typeface="Times New Roman" panose="02020603050405020304" pitchFamily="18" charset="0"/>
            </a:rPr>
            <a:t>i</a:t>
          </a:r>
        </a:p>
      </xdr:txBody>
    </xdr:sp>
    <xdr:clientData/>
  </xdr:oneCellAnchor>
  <xdr:twoCellAnchor>
    <xdr:from>
      <xdr:col>10</xdr:col>
      <xdr:colOff>7620</xdr:colOff>
      <xdr:row>10</xdr:row>
      <xdr:rowOff>160020</xdr:rowOff>
    </xdr:from>
    <xdr:to>
      <xdr:col>10</xdr:col>
      <xdr:colOff>426720</xdr:colOff>
      <xdr:row>12</xdr:row>
      <xdr:rowOff>175260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2992F38-055E-49E0-813F-134D3F674CB6}"/>
            </a:ext>
          </a:extLst>
        </xdr:cNvPr>
        <xdr:cNvSpPr/>
      </xdr:nvSpPr>
      <xdr:spPr>
        <a:xfrm>
          <a:off x="6149340" y="1623060"/>
          <a:ext cx="419100" cy="41148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oneCellAnchor>
    <xdr:from>
      <xdr:col>10</xdr:col>
      <xdr:colOff>99060</xdr:colOff>
      <xdr:row>10</xdr:row>
      <xdr:rowOff>182880</xdr:rowOff>
    </xdr:from>
    <xdr:ext cx="248786" cy="35779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19B5B430-5CBC-4FAD-92AA-9EE006B47C1A}"/>
            </a:ext>
          </a:extLst>
        </xdr:cNvPr>
        <xdr:cNvSpPr txBox="1"/>
      </xdr:nvSpPr>
      <xdr:spPr>
        <a:xfrm>
          <a:off x="6240780" y="1645920"/>
          <a:ext cx="248786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>
              <a:latin typeface="Times New Roman" panose="02020603050405020304" pitchFamily="18" charset="0"/>
              <a:cs typeface="Times New Roman" panose="02020603050405020304" pitchFamily="18" charset="0"/>
            </a:rPr>
            <a:t>j</a:t>
          </a:r>
        </a:p>
      </xdr:txBody>
    </xdr:sp>
    <xdr:clientData/>
  </xdr:oneCellAnchor>
  <xdr:twoCellAnchor>
    <xdr:from>
      <xdr:col>7</xdr:col>
      <xdr:colOff>381000</xdr:colOff>
      <xdr:row>7</xdr:row>
      <xdr:rowOff>15240</xdr:rowOff>
    </xdr:from>
    <xdr:to>
      <xdr:col>7</xdr:col>
      <xdr:colOff>388620</xdr:colOff>
      <xdr:row>12</xdr:row>
      <xdr:rowOff>15240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EEBFE420-A53C-4F0F-A735-660E75127FCC}"/>
            </a:ext>
          </a:extLst>
        </xdr:cNvPr>
        <xdr:cNvCxnSpPr/>
      </xdr:nvCxnSpPr>
      <xdr:spPr>
        <a:xfrm>
          <a:off x="4693920" y="853440"/>
          <a:ext cx="7620" cy="1021080"/>
        </a:xfrm>
        <a:prstGeom prst="line">
          <a:avLst/>
        </a:prstGeom>
        <a:ln>
          <a:prstDash val="sysDash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381000</xdr:colOff>
      <xdr:row>7</xdr:row>
      <xdr:rowOff>30480</xdr:rowOff>
    </xdr:from>
    <xdr:to>
      <xdr:col>7</xdr:col>
      <xdr:colOff>510540</xdr:colOff>
      <xdr:row>7</xdr:row>
      <xdr:rowOff>160020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91293D30-63B7-4260-983D-F1AD078D5539}"/>
            </a:ext>
          </a:extLst>
        </xdr:cNvPr>
        <xdr:cNvSpPr/>
      </xdr:nvSpPr>
      <xdr:spPr>
        <a:xfrm>
          <a:off x="4693920" y="868680"/>
          <a:ext cx="129540" cy="12954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396240</xdr:colOff>
      <xdr:row>11</xdr:row>
      <xdr:rowOff>76200</xdr:rowOff>
    </xdr:from>
    <xdr:to>
      <xdr:col>7</xdr:col>
      <xdr:colOff>525780</xdr:colOff>
      <xdr:row>12</xdr:row>
      <xdr:rowOff>7620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9D112DB9-05BD-4C01-BD7E-113C946DE5BA}"/>
            </a:ext>
          </a:extLst>
        </xdr:cNvPr>
        <xdr:cNvSpPr/>
      </xdr:nvSpPr>
      <xdr:spPr>
        <a:xfrm>
          <a:off x="4709160" y="1737360"/>
          <a:ext cx="129540" cy="12954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304800</xdr:colOff>
      <xdr:row>6</xdr:row>
      <xdr:rowOff>205740</xdr:rowOff>
    </xdr:from>
    <xdr:to>
      <xdr:col>4</xdr:col>
      <xdr:colOff>304800</xdr:colOff>
      <xdr:row>8</xdr:row>
      <xdr:rowOff>190500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5CBB7F5-6952-40CB-AA19-95E6E920E2F3}"/>
            </a:ext>
          </a:extLst>
        </xdr:cNvPr>
        <xdr:cNvCxnSpPr/>
      </xdr:nvCxnSpPr>
      <xdr:spPr>
        <a:xfrm flipV="1">
          <a:off x="2788920" y="815340"/>
          <a:ext cx="0" cy="44196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304800</xdr:colOff>
      <xdr:row>10</xdr:row>
      <xdr:rowOff>15240</xdr:rowOff>
    </xdr:from>
    <xdr:to>
      <xdr:col>4</xdr:col>
      <xdr:colOff>304800</xdr:colOff>
      <xdr:row>12</xdr:row>
      <xdr:rowOff>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44EB91C0-0FE1-4682-BCE6-597C626A12AF}"/>
            </a:ext>
          </a:extLst>
        </xdr:cNvPr>
        <xdr:cNvCxnSpPr/>
      </xdr:nvCxnSpPr>
      <xdr:spPr>
        <a:xfrm>
          <a:off x="2788920" y="1478280"/>
          <a:ext cx="0" cy="38100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594360</xdr:colOff>
      <xdr:row>6</xdr:row>
      <xdr:rowOff>137160</xdr:rowOff>
    </xdr:from>
    <xdr:to>
      <xdr:col>7</xdr:col>
      <xdr:colOff>0</xdr:colOff>
      <xdr:row>6</xdr:row>
      <xdr:rowOff>137160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3E008827-3151-4D60-99B8-D67054E3B561}"/>
            </a:ext>
          </a:extLst>
        </xdr:cNvPr>
        <xdr:cNvCxnSpPr/>
      </xdr:nvCxnSpPr>
      <xdr:spPr>
        <a:xfrm flipH="1">
          <a:off x="3688080" y="746760"/>
          <a:ext cx="624840" cy="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594360</xdr:colOff>
      <xdr:row>6</xdr:row>
      <xdr:rowOff>121920</xdr:rowOff>
    </xdr:from>
    <xdr:to>
      <xdr:col>9</xdr:col>
      <xdr:colOff>30480</xdr:colOff>
      <xdr:row>6</xdr:row>
      <xdr:rowOff>121920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13505804-774C-455C-9612-5A5FFC0C35B4}"/>
            </a:ext>
          </a:extLst>
        </xdr:cNvPr>
        <xdr:cNvCxnSpPr/>
      </xdr:nvCxnSpPr>
      <xdr:spPr>
        <a:xfrm>
          <a:off x="4907280" y="731520"/>
          <a:ext cx="655320" cy="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7620</xdr:colOff>
      <xdr:row>12</xdr:row>
      <xdr:rowOff>91440</xdr:rowOff>
    </xdr:from>
    <xdr:to>
      <xdr:col>10</xdr:col>
      <xdr:colOff>7620</xdr:colOff>
      <xdr:row>12</xdr:row>
      <xdr:rowOff>106680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508A16AD-7E2C-48A1-B674-72253570389F}"/>
            </a:ext>
          </a:extLst>
        </xdr:cNvPr>
        <xdr:cNvCxnSpPr/>
      </xdr:nvCxnSpPr>
      <xdr:spPr>
        <a:xfrm flipV="1">
          <a:off x="4930140" y="1950720"/>
          <a:ext cx="1219200" cy="1524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601980</xdr:colOff>
      <xdr:row>12</xdr:row>
      <xdr:rowOff>106680</xdr:rowOff>
    </xdr:from>
    <xdr:to>
      <xdr:col>6</xdr:col>
      <xdr:colOff>601980</xdr:colOff>
      <xdr:row>12</xdr:row>
      <xdr:rowOff>114300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2F4BA53C-BECC-414A-8F31-5A554989DD5C}"/>
            </a:ext>
          </a:extLst>
        </xdr:cNvPr>
        <xdr:cNvCxnSpPr/>
      </xdr:nvCxnSpPr>
      <xdr:spPr>
        <a:xfrm flipH="1">
          <a:off x="3086100" y="1965960"/>
          <a:ext cx="1219200" cy="762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312420</xdr:colOff>
      <xdr:row>17</xdr:row>
      <xdr:rowOff>7620</xdr:rowOff>
    </xdr:from>
    <xdr:to>
      <xdr:col>9</xdr:col>
      <xdr:colOff>7620</xdr:colOff>
      <xdr:row>20</xdr:row>
      <xdr:rowOff>182880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A18A334E-D78F-4476-B0CA-FDF04A3D533A}"/>
            </a:ext>
          </a:extLst>
        </xdr:cNvPr>
        <xdr:cNvCxnSpPr/>
      </xdr:nvCxnSpPr>
      <xdr:spPr>
        <a:xfrm flipV="1">
          <a:off x="4015740" y="2887980"/>
          <a:ext cx="1524000" cy="80010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304800</xdr:colOff>
      <xdr:row>20</xdr:row>
      <xdr:rowOff>182880</xdr:rowOff>
    </xdr:from>
    <xdr:to>
      <xdr:col>9</xdr:col>
      <xdr:colOff>342900</xdr:colOff>
      <xdr:row>20</xdr:row>
      <xdr:rowOff>190500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979856DA-D0C0-42B4-ACF2-AA0B393D1150}"/>
            </a:ext>
          </a:extLst>
        </xdr:cNvPr>
        <xdr:cNvCxnSpPr/>
      </xdr:nvCxnSpPr>
      <xdr:spPr>
        <a:xfrm>
          <a:off x="4008120" y="3688080"/>
          <a:ext cx="1866900" cy="762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601980</xdr:colOff>
      <xdr:row>15</xdr:row>
      <xdr:rowOff>152400</xdr:rowOff>
    </xdr:from>
    <xdr:to>
      <xdr:col>9</xdr:col>
      <xdr:colOff>335280</xdr:colOff>
      <xdr:row>17</xdr:row>
      <xdr:rowOff>106680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2EBB026A-0077-4FBD-8620-A5D1BA66197F}"/>
            </a:ext>
          </a:extLst>
        </xdr:cNvPr>
        <xdr:cNvSpPr/>
      </xdr:nvSpPr>
      <xdr:spPr>
        <a:xfrm>
          <a:off x="5524500" y="2636520"/>
          <a:ext cx="342900" cy="35052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350520</xdr:colOff>
      <xdr:row>20</xdr:row>
      <xdr:rowOff>0</xdr:rowOff>
    </xdr:from>
    <xdr:to>
      <xdr:col>10</xdr:col>
      <xdr:colOff>83820</xdr:colOff>
      <xdr:row>21</xdr:row>
      <xdr:rowOff>152400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6FDF8637-0E50-4737-A4AB-CA97AD0FFBC5}"/>
            </a:ext>
          </a:extLst>
        </xdr:cNvPr>
        <xdr:cNvSpPr/>
      </xdr:nvSpPr>
      <xdr:spPr>
        <a:xfrm>
          <a:off x="5882640" y="3505200"/>
          <a:ext cx="342900" cy="35052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oneCellAnchor>
    <xdr:from>
      <xdr:col>9</xdr:col>
      <xdr:colOff>53340</xdr:colOff>
      <xdr:row>15</xdr:row>
      <xdr:rowOff>144780</xdr:rowOff>
    </xdr:from>
    <xdr:ext cx="248786" cy="357790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7EC390E3-9639-43D2-BF18-5EBA89712B9F}"/>
            </a:ext>
          </a:extLst>
        </xdr:cNvPr>
        <xdr:cNvSpPr txBox="1"/>
      </xdr:nvSpPr>
      <xdr:spPr>
        <a:xfrm>
          <a:off x="5585460" y="2628900"/>
          <a:ext cx="248786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>
              <a:latin typeface="Times New Roman" panose="02020603050405020304" pitchFamily="18" charset="0"/>
              <a:cs typeface="Times New Roman" panose="02020603050405020304" pitchFamily="18" charset="0"/>
            </a:rPr>
            <a:t>j</a:t>
          </a:r>
        </a:p>
      </xdr:txBody>
    </xdr:sp>
    <xdr:clientData/>
  </xdr:oneCellAnchor>
  <xdr:oneCellAnchor>
    <xdr:from>
      <xdr:col>9</xdr:col>
      <xdr:colOff>403860</xdr:colOff>
      <xdr:row>19</xdr:row>
      <xdr:rowOff>190500</xdr:rowOff>
    </xdr:from>
    <xdr:ext cx="248786" cy="357790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CC17D569-FA03-4976-BDB8-23E825659BCB}"/>
            </a:ext>
          </a:extLst>
        </xdr:cNvPr>
        <xdr:cNvSpPr txBox="1"/>
      </xdr:nvSpPr>
      <xdr:spPr>
        <a:xfrm>
          <a:off x="5935980" y="3497580"/>
          <a:ext cx="248786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>
              <a:latin typeface="Times New Roman" panose="02020603050405020304" pitchFamily="18" charset="0"/>
              <a:cs typeface="Times New Roman" panose="02020603050405020304" pitchFamily="18" charset="0"/>
            </a:rPr>
            <a:t>i</a:t>
          </a:r>
        </a:p>
      </xdr:txBody>
    </xdr:sp>
    <xdr:clientData/>
  </xdr:oneCellAnchor>
  <xdr:twoCellAnchor>
    <xdr:from>
      <xdr:col>7</xdr:col>
      <xdr:colOff>137160</xdr:colOff>
      <xdr:row>19</xdr:row>
      <xdr:rowOff>152400</xdr:rowOff>
    </xdr:from>
    <xdr:to>
      <xdr:col>7</xdr:col>
      <xdr:colOff>228600</xdr:colOff>
      <xdr:row>21</xdr:row>
      <xdr:rowOff>190500</xdr:rowOff>
    </xdr:to>
    <xdr:sp macro="" textlink="">
      <xdr:nvSpPr>
        <xdr:cNvPr id="40" name="Arc 39">
          <a:extLst>
            <a:ext uri="{FF2B5EF4-FFF2-40B4-BE49-F238E27FC236}">
              <a16:creationId xmlns:a16="http://schemas.microsoft.com/office/drawing/2014/main" id="{AA40E786-43ED-4F10-8A7C-E020ECD92DC3}"/>
            </a:ext>
          </a:extLst>
        </xdr:cNvPr>
        <xdr:cNvSpPr/>
      </xdr:nvSpPr>
      <xdr:spPr>
        <a:xfrm>
          <a:off x="4450080" y="3459480"/>
          <a:ext cx="91440" cy="434340"/>
        </a:xfrm>
        <a:prstGeom prst="arc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198120</xdr:colOff>
      <xdr:row>19</xdr:row>
      <xdr:rowOff>60960</xdr:rowOff>
    </xdr:from>
    <xdr:to>
      <xdr:col>7</xdr:col>
      <xdr:colOff>533400</xdr:colOff>
      <xdr:row>20</xdr:row>
      <xdr:rowOff>129540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194144B3-8B28-4598-8958-6383E706A367}"/>
            </a:ext>
          </a:extLst>
        </xdr:cNvPr>
        <xdr:cNvSpPr txBox="1"/>
      </xdr:nvSpPr>
      <xdr:spPr>
        <a:xfrm>
          <a:off x="4511040" y="3368040"/>
          <a:ext cx="33528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l-GR" sz="1600" b="1" i="1">
              <a:latin typeface="Times New Roman" panose="02020603050405020304" pitchFamily="18" charset="0"/>
              <a:cs typeface="Times New Roman" panose="02020603050405020304" pitchFamily="18" charset="0"/>
            </a:rPr>
            <a:t>α</a:t>
          </a:r>
          <a:endParaRPr lang="en-IN" sz="1600" b="1" i="1"/>
        </a:p>
      </xdr:txBody>
    </xdr:sp>
    <xdr:clientData/>
  </xdr:twoCellAnchor>
  <xdr:twoCellAnchor>
    <xdr:from>
      <xdr:col>8</xdr:col>
      <xdr:colOff>220980</xdr:colOff>
      <xdr:row>21</xdr:row>
      <xdr:rowOff>76200</xdr:rowOff>
    </xdr:from>
    <xdr:to>
      <xdr:col>9</xdr:col>
      <xdr:colOff>381000</xdr:colOff>
      <xdr:row>21</xdr:row>
      <xdr:rowOff>76200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ACDB013E-1AB6-4DE1-A09F-1723F7E12C9F}"/>
            </a:ext>
          </a:extLst>
        </xdr:cNvPr>
        <xdr:cNvCxnSpPr/>
      </xdr:nvCxnSpPr>
      <xdr:spPr>
        <a:xfrm>
          <a:off x="5143500" y="3779520"/>
          <a:ext cx="769620" cy="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304800</xdr:colOff>
      <xdr:row>21</xdr:row>
      <xdr:rowOff>83820</xdr:rowOff>
    </xdr:from>
    <xdr:to>
      <xdr:col>7</xdr:col>
      <xdr:colOff>320040</xdr:colOff>
      <xdr:row>21</xdr:row>
      <xdr:rowOff>83820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CA2E43CE-C85A-4A9A-B36E-D66844F234C9}"/>
            </a:ext>
          </a:extLst>
        </xdr:cNvPr>
        <xdr:cNvCxnSpPr/>
      </xdr:nvCxnSpPr>
      <xdr:spPr>
        <a:xfrm flipH="1">
          <a:off x="4008120" y="3787140"/>
          <a:ext cx="624840" cy="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449580</xdr:colOff>
      <xdr:row>20</xdr:row>
      <xdr:rowOff>106680</xdr:rowOff>
    </xdr:from>
    <xdr:to>
      <xdr:col>8</xdr:col>
      <xdr:colOff>175260</xdr:colOff>
      <xdr:row>21</xdr:row>
      <xdr:rowOff>175260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AB401B92-FE66-444E-BA73-54A3F357B141}"/>
            </a:ext>
          </a:extLst>
        </xdr:cNvPr>
        <xdr:cNvSpPr txBox="1"/>
      </xdr:nvSpPr>
      <xdr:spPr>
        <a:xfrm>
          <a:off x="4762500" y="3611880"/>
          <a:ext cx="33528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600" b="1" i="1">
              <a:latin typeface="Times New Roman" panose="02020603050405020304" pitchFamily="18" charset="0"/>
              <a:cs typeface="Times New Roman" panose="02020603050405020304" pitchFamily="18" charset="0"/>
            </a:rPr>
            <a:t>w</a:t>
          </a:r>
          <a:endParaRPr lang="en-IN" sz="1600" b="1" i="1"/>
        </a:p>
      </xdr:txBody>
    </xdr:sp>
    <xdr:clientData/>
  </xdr:twoCellAnchor>
  <xdr:twoCellAnchor>
    <xdr:from>
      <xdr:col>7</xdr:col>
      <xdr:colOff>480060</xdr:colOff>
      <xdr:row>16</xdr:row>
      <xdr:rowOff>121920</xdr:rowOff>
    </xdr:from>
    <xdr:to>
      <xdr:col>8</xdr:col>
      <xdr:colOff>586740</xdr:colOff>
      <xdr:row>18</xdr:row>
      <xdr:rowOff>53340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7A4E893A-E9FA-4D92-A5A6-966001B8C63F}"/>
            </a:ext>
          </a:extLst>
        </xdr:cNvPr>
        <xdr:cNvCxnSpPr/>
      </xdr:nvCxnSpPr>
      <xdr:spPr>
        <a:xfrm flipV="1">
          <a:off x="4792980" y="2804160"/>
          <a:ext cx="716280" cy="35814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259080</xdr:colOff>
      <xdr:row>19</xdr:row>
      <xdr:rowOff>15240</xdr:rowOff>
    </xdr:from>
    <xdr:to>
      <xdr:col>7</xdr:col>
      <xdr:colOff>182880</xdr:colOff>
      <xdr:row>20</xdr:row>
      <xdr:rowOff>114300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A7924FEA-8FAB-454F-90AB-2542EF498D57}"/>
            </a:ext>
          </a:extLst>
        </xdr:cNvPr>
        <xdr:cNvCxnSpPr/>
      </xdr:nvCxnSpPr>
      <xdr:spPr>
        <a:xfrm flipH="1">
          <a:off x="3962400" y="3322320"/>
          <a:ext cx="533400" cy="29718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152400</xdr:colOff>
      <xdr:row>17</xdr:row>
      <xdr:rowOff>167640</xdr:rowOff>
    </xdr:from>
    <xdr:to>
      <xdr:col>7</xdr:col>
      <xdr:colOff>487680</xdr:colOff>
      <xdr:row>19</xdr:row>
      <xdr:rowOff>7620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7875D8C-CB36-4650-8CA7-9543FD4EE8FA}"/>
            </a:ext>
          </a:extLst>
        </xdr:cNvPr>
        <xdr:cNvSpPr txBox="1"/>
      </xdr:nvSpPr>
      <xdr:spPr>
        <a:xfrm rot="19987254">
          <a:off x="4465320" y="3048000"/>
          <a:ext cx="33528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600" b="1" i="1">
              <a:latin typeface="Times New Roman" panose="02020603050405020304" pitchFamily="18" charset="0"/>
              <a:cs typeface="Times New Roman" panose="02020603050405020304" pitchFamily="18" charset="0"/>
            </a:rPr>
            <a:t>w</a:t>
          </a:r>
          <a:endParaRPr lang="en-IN" sz="1600" b="1" i="1"/>
        </a:p>
      </xdr:txBody>
    </xdr:sp>
    <xdr:clientData/>
  </xdr:twoCellAnchor>
  <xdr:twoCellAnchor>
    <xdr:from>
      <xdr:col>6</xdr:col>
      <xdr:colOff>15240</xdr:colOff>
      <xdr:row>23</xdr:row>
      <xdr:rowOff>7620</xdr:rowOff>
    </xdr:from>
    <xdr:to>
      <xdr:col>6</xdr:col>
      <xdr:colOff>15240</xdr:colOff>
      <xdr:row>29</xdr:row>
      <xdr:rowOff>15240</xdr:rowOff>
    </xdr:to>
    <xdr:cxnSp macro="">
      <xdr:nvCxnSpPr>
        <xdr:cNvPr id="54" name="Straight Connector 53">
          <a:extLst>
            <a:ext uri="{FF2B5EF4-FFF2-40B4-BE49-F238E27FC236}">
              <a16:creationId xmlns:a16="http://schemas.microsoft.com/office/drawing/2014/main" id="{4523DBE4-23D9-4FB5-A13A-B4D7845A8F2C}"/>
            </a:ext>
          </a:extLst>
        </xdr:cNvPr>
        <xdr:cNvCxnSpPr/>
      </xdr:nvCxnSpPr>
      <xdr:spPr>
        <a:xfrm flipV="1">
          <a:off x="3718560" y="4107180"/>
          <a:ext cx="0" cy="127254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</xdr:colOff>
      <xdr:row>28</xdr:row>
      <xdr:rowOff>175260</xdr:rowOff>
    </xdr:from>
    <xdr:to>
      <xdr:col>10</xdr:col>
      <xdr:colOff>0</xdr:colOff>
      <xdr:row>29</xdr:row>
      <xdr:rowOff>0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C9F93EE9-96AC-4DF8-90D5-21F660E9B401}"/>
            </a:ext>
          </a:extLst>
        </xdr:cNvPr>
        <xdr:cNvCxnSpPr/>
      </xdr:nvCxnSpPr>
      <xdr:spPr>
        <a:xfrm flipV="1">
          <a:off x="3718560" y="5356860"/>
          <a:ext cx="2423160" cy="762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</xdr:colOff>
      <xdr:row>28</xdr:row>
      <xdr:rowOff>53340</xdr:rowOff>
    </xdr:from>
    <xdr:to>
      <xdr:col>6</xdr:col>
      <xdr:colOff>144780</xdr:colOff>
      <xdr:row>29</xdr:row>
      <xdr:rowOff>0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F85FDDB9-66CF-4525-A615-1C276810C504}"/>
            </a:ext>
          </a:extLst>
        </xdr:cNvPr>
        <xdr:cNvSpPr/>
      </xdr:nvSpPr>
      <xdr:spPr>
        <a:xfrm>
          <a:off x="3718560" y="5234940"/>
          <a:ext cx="129540" cy="12954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472440</xdr:colOff>
      <xdr:row>21</xdr:row>
      <xdr:rowOff>99060</xdr:rowOff>
    </xdr:from>
    <xdr:to>
      <xdr:col>6</xdr:col>
      <xdr:colOff>182880</xdr:colOff>
      <xdr:row>23</xdr:row>
      <xdr:rowOff>15240</xdr:rowOff>
    </xdr:to>
    <xdr:sp macro="" textlink="">
      <xdr:nvSpPr>
        <xdr:cNvPr id="62" name="Oval 61">
          <a:extLst>
            <a:ext uri="{FF2B5EF4-FFF2-40B4-BE49-F238E27FC236}">
              <a16:creationId xmlns:a16="http://schemas.microsoft.com/office/drawing/2014/main" id="{26F92BE2-3D5B-422F-952C-E822C4CEDD3F}"/>
            </a:ext>
          </a:extLst>
        </xdr:cNvPr>
        <xdr:cNvSpPr/>
      </xdr:nvSpPr>
      <xdr:spPr>
        <a:xfrm>
          <a:off x="3566160" y="3802380"/>
          <a:ext cx="320040" cy="31242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10</xdr:col>
      <xdr:colOff>0</xdr:colOff>
      <xdr:row>28</xdr:row>
      <xdr:rowOff>7620</xdr:rowOff>
    </xdr:from>
    <xdr:to>
      <xdr:col>10</xdr:col>
      <xdr:colOff>320040</xdr:colOff>
      <xdr:row>29</xdr:row>
      <xdr:rowOff>137160</xdr:rowOff>
    </xdr:to>
    <xdr:sp macro="" textlink="">
      <xdr:nvSpPr>
        <xdr:cNvPr id="63" name="Oval 62">
          <a:extLst>
            <a:ext uri="{FF2B5EF4-FFF2-40B4-BE49-F238E27FC236}">
              <a16:creationId xmlns:a16="http://schemas.microsoft.com/office/drawing/2014/main" id="{5D55086B-2043-4653-B15E-D558572C9799}"/>
            </a:ext>
          </a:extLst>
        </xdr:cNvPr>
        <xdr:cNvSpPr/>
      </xdr:nvSpPr>
      <xdr:spPr>
        <a:xfrm>
          <a:off x="6141720" y="5189220"/>
          <a:ext cx="320040" cy="31242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oneCellAnchor>
    <xdr:from>
      <xdr:col>5</xdr:col>
      <xdr:colOff>518160</xdr:colOff>
      <xdr:row>21</xdr:row>
      <xdr:rowOff>53340</xdr:rowOff>
    </xdr:from>
    <xdr:ext cx="248786" cy="35779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95734612-CA77-4E28-9BDE-87B7EF1484E9}"/>
            </a:ext>
          </a:extLst>
        </xdr:cNvPr>
        <xdr:cNvSpPr txBox="1"/>
      </xdr:nvSpPr>
      <xdr:spPr>
        <a:xfrm>
          <a:off x="3611880" y="3756660"/>
          <a:ext cx="248786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>
              <a:latin typeface="Times New Roman" panose="02020603050405020304" pitchFamily="18" charset="0"/>
              <a:cs typeface="Times New Roman" panose="02020603050405020304" pitchFamily="18" charset="0"/>
            </a:rPr>
            <a:t>j</a:t>
          </a:r>
        </a:p>
      </xdr:txBody>
    </xdr:sp>
    <xdr:clientData/>
  </xdr:oneCellAnchor>
  <xdr:oneCellAnchor>
    <xdr:from>
      <xdr:col>10</xdr:col>
      <xdr:colOff>38100</xdr:colOff>
      <xdr:row>27</xdr:row>
      <xdr:rowOff>175260</xdr:rowOff>
    </xdr:from>
    <xdr:ext cx="248786" cy="357790"/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81C79A35-D2B8-418F-A0F2-77CF3656FB53}"/>
            </a:ext>
          </a:extLst>
        </xdr:cNvPr>
        <xdr:cNvSpPr txBox="1"/>
      </xdr:nvSpPr>
      <xdr:spPr>
        <a:xfrm>
          <a:off x="6179820" y="5158740"/>
          <a:ext cx="248786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>
              <a:latin typeface="Times New Roman" panose="02020603050405020304" pitchFamily="18" charset="0"/>
              <a:cs typeface="Times New Roman" panose="02020603050405020304" pitchFamily="18" charset="0"/>
            </a:rPr>
            <a:t>i</a:t>
          </a:r>
        </a:p>
      </xdr:txBody>
    </xdr:sp>
    <xdr:clientData/>
  </xdr:oneCellAnchor>
  <xdr:twoCellAnchor>
    <xdr:from>
      <xdr:col>8</xdr:col>
      <xdr:colOff>167640</xdr:colOff>
      <xdr:row>29</xdr:row>
      <xdr:rowOff>99060</xdr:rowOff>
    </xdr:from>
    <xdr:to>
      <xdr:col>10</xdr:col>
      <xdr:colOff>7620</xdr:colOff>
      <xdr:row>29</xdr:row>
      <xdr:rowOff>106680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82F99AA5-3497-4A0F-9B1D-4A35280C6143}"/>
            </a:ext>
          </a:extLst>
        </xdr:cNvPr>
        <xdr:cNvCxnSpPr/>
      </xdr:nvCxnSpPr>
      <xdr:spPr>
        <a:xfrm flipV="1">
          <a:off x="5090160" y="5433060"/>
          <a:ext cx="1059180" cy="762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594360</xdr:colOff>
      <xdr:row>29</xdr:row>
      <xdr:rowOff>121920</xdr:rowOff>
    </xdr:from>
    <xdr:to>
      <xdr:col>7</xdr:col>
      <xdr:colOff>7620</xdr:colOff>
      <xdr:row>29</xdr:row>
      <xdr:rowOff>121920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613B458F-0E31-43E3-82F3-436DB0C2BADC}"/>
            </a:ext>
          </a:extLst>
        </xdr:cNvPr>
        <xdr:cNvCxnSpPr/>
      </xdr:nvCxnSpPr>
      <xdr:spPr>
        <a:xfrm flipH="1">
          <a:off x="3688080" y="5455920"/>
          <a:ext cx="632460" cy="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304800</xdr:colOff>
      <xdr:row>26</xdr:row>
      <xdr:rowOff>7620</xdr:rowOff>
    </xdr:from>
    <xdr:to>
      <xdr:col>5</xdr:col>
      <xdr:colOff>304800</xdr:colOff>
      <xdr:row>29</xdr:row>
      <xdr:rowOff>7620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B55CCD44-1E8C-421B-8345-DD7F3C162B08}"/>
            </a:ext>
          </a:extLst>
        </xdr:cNvPr>
        <xdr:cNvCxnSpPr/>
      </xdr:nvCxnSpPr>
      <xdr:spPr>
        <a:xfrm>
          <a:off x="3429000" y="4762500"/>
          <a:ext cx="0" cy="57912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304800</xdr:colOff>
      <xdr:row>23</xdr:row>
      <xdr:rowOff>15240</xdr:rowOff>
    </xdr:from>
    <xdr:to>
      <xdr:col>5</xdr:col>
      <xdr:colOff>304800</xdr:colOff>
      <xdr:row>25</xdr:row>
      <xdr:rowOff>30480</xdr:rowOff>
    </xdr:to>
    <xdr:cxnSp macro="">
      <xdr:nvCxnSpPr>
        <xdr:cNvPr id="72" name="Straight Arrow Connector 71">
          <a:extLst>
            <a:ext uri="{FF2B5EF4-FFF2-40B4-BE49-F238E27FC236}">
              <a16:creationId xmlns:a16="http://schemas.microsoft.com/office/drawing/2014/main" id="{DCF536D4-338F-44D8-B759-46D6B4E6C494}"/>
            </a:ext>
          </a:extLst>
        </xdr:cNvPr>
        <xdr:cNvCxnSpPr/>
      </xdr:nvCxnSpPr>
      <xdr:spPr>
        <a:xfrm flipV="1">
          <a:off x="3429000" y="4114800"/>
          <a:ext cx="0" cy="44196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586740</xdr:colOff>
      <xdr:row>34</xdr:row>
      <xdr:rowOff>45720</xdr:rowOff>
    </xdr:from>
    <xdr:to>
      <xdr:col>6</xdr:col>
      <xdr:colOff>106680</xdr:colOff>
      <xdr:row>38</xdr:row>
      <xdr:rowOff>22860</xdr:rowOff>
    </xdr:to>
    <xdr:sp macro="" textlink="">
      <xdr:nvSpPr>
        <xdr:cNvPr id="73" name="Oval 72">
          <a:extLst>
            <a:ext uri="{FF2B5EF4-FFF2-40B4-BE49-F238E27FC236}">
              <a16:creationId xmlns:a16="http://schemas.microsoft.com/office/drawing/2014/main" id="{BACE467F-270C-4A00-81FE-EAD4E73D83EB}"/>
            </a:ext>
          </a:extLst>
        </xdr:cNvPr>
        <xdr:cNvSpPr/>
      </xdr:nvSpPr>
      <xdr:spPr>
        <a:xfrm>
          <a:off x="3032760" y="6370320"/>
          <a:ext cx="807720" cy="8001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480060</xdr:colOff>
      <xdr:row>32</xdr:row>
      <xdr:rowOff>167640</xdr:rowOff>
    </xdr:from>
    <xdr:to>
      <xdr:col>8</xdr:col>
      <xdr:colOff>502920</xdr:colOff>
      <xdr:row>39</xdr:row>
      <xdr:rowOff>38100</xdr:rowOff>
    </xdr:to>
    <xdr:sp macro="" textlink="">
      <xdr:nvSpPr>
        <xdr:cNvPr id="74" name="Oval 73">
          <a:extLst>
            <a:ext uri="{FF2B5EF4-FFF2-40B4-BE49-F238E27FC236}">
              <a16:creationId xmlns:a16="http://schemas.microsoft.com/office/drawing/2014/main" id="{624BBB27-49DE-4AD8-BA0C-0EAE5FC275EA}"/>
            </a:ext>
          </a:extLst>
        </xdr:cNvPr>
        <xdr:cNvSpPr/>
      </xdr:nvSpPr>
      <xdr:spPr>
        <a:xfrm>
          <a:off x="4213860" y="6111240"/>
          <a:ext cx="1242060" cy="1257300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541020</xdr:colOff>
      <xdr:row>36</xdr:row>
      <xdr:rowOff>167640</xdr:rowOff>
    </xdr:from>
    <xdr:to>
      <xdr:col>6</xdr:col>
      <xdr:colOff>304800</xdr:colOff>
      <xdr:row>38</xdr:row>
      <xdr:rowOff>83820</xdr:rowOff>
    </xdr:to>
    <xdr:sp macro="" textlink="">
      <xdr:nvSpPr>
        <xdr:cNvPr id="75" name="Oval 74">
          <a:extLst>
            <a:ext uri="{FF2B5EF4-FFF2-40B4-BE49-F238E27FC236}">
              <a16:creationId xmlns:a16="http://schemas.microsoft.com/office/drawing/2014/main" id="{6111A78D-3797-43BF-845C-88B1A0A08845}"/>
            </a:ext>
          </a:extLst>
        </xdr:cNvPr>
        <xdr:cNvSpPr/>
      </xdr:nvSpPr>
      <xdr:spPr>
        <a:xfrm>
          <a:off x="3665220" y="6888480"/>
          <a:ext cx="373380" cy="342900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oneCellAnchor>
    <xdr:from>
      <xdr:col>6</xdr:col>
      <xdr:colOff>15240</xdr:colOff>
      <xdr:row>36</xdr:row>
      <xdr:rowOff>190500</xdr:rowOff>
    </xdr:from>
    <xdr:ext cx="241669" cy="328295"/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56ACE5E3-D9BA-4D6F-9CB6-B0C3497BE6D4}"/>
            </a:ext>
          </a:extLst>
        </xdr:cNvPr>
        <xdr:cNvSpPr txBox="1"/>
      </xdr:nvSpPr>
      <xdr:spPr>
        <a:xfrm>
          <a:off x="3749040" y="6911340"/>
          <a:ext cx="241669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600" b="0">
              <a:latin typeface="Times New Roman" panose="02020603050405020304" pitchFamily="18" charset="0"/>
              <a:cs typeface="Times New Roman" panose="02020603050405020304" pitchFamily="18" charset="0"/>
            </a:rPr>
            <a:t>i</a:t>
          </a:r>
        </a:p>
      </xdr:txBody>
    </xdr:sp>
    <xdr:clientData/>
  </xdr:oneCellAnchor>
  <xdr:twoCellAnchor>
    <xdr:from>
      <xdr:col>4</xdr:col>
      <xdr:colOff>632460</xdr:colOff>
      <xdr:row>34</xdr:row>
      <xdr:rowOff>91440</xdr:rowOff>
    </xdr:from>
    <xdr:to>
      <xdr:col>6</xdr:col>
      <xdr:colOff>60960</xdr:colOff>
      <xdr:row>37</xdr:row>
      <xdr:rowOff>167640</xdr:rowOff>
    </xdr:to>
    <xdr:sp macro="" textlink="">
      <xdr:nvSpPr>
        <xdr:cNvPr id="77" name="Oval 76">
          <a:extLst>
            <a:ext uri="{FF2B5EF4-FFF2-40B4-BE49-F238E27FC236}">
              <a16:creationId xmlns:a16="http://schemas.microsoft.com/office/drawing/2014/main" id="{84284E22-C0F4-42E8-BF8A-AC8B839E8717}"/>
            </a:ext>
          </a:extLst>
        </xdr:cNvPr>
        <xdr:cNvSpPr/>
      </xdr:nvSpPr>
      <xdr:spPr>
        <a:xfrm>
          <a:off x="3078480" y="6416040"/>
          <a:ext cx="716280" cy="701040"/>
        </a:xfrm>
        <a:prstGeom prst="ellipse">
          <a:avLst/>
        </a:prstGeom>
        <a:noFill/>
        <a:ln w="76200"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365760</xdr:colOff>
      <xdr:row>36</xdr:row>
      <xdr:rowOff>121920</xdr:rowOff>
    </xdr:from>
    <xdr:to>
      <xdr:col>9</xdr:col>
      <xdr:colOff>129540</xdr:colOff>
      <xdr:row>38</xdr:row>
      <xdr:rowOff>38100</xdr:rowOff>
    </xdr:to>
    <xdr:sp macro="" textlink="">
      <xdr:nvSpPr>
        <xdr:cNvPr id="79" name="Oval 78">
          <a:extLst>
            <a:ext uri="{FF2B5EF4-FFF2-40B4-BE49-F238E27FC236}">
              <a16:creationId xmlns:a16="http://schemas.microsoft.com/office/drawing/2014/main" id="{AC540027-C236-4E13-94FB-2161CFD39299}"/>
            </a:ext>
          </a:extLst>
        </xdr:cNvPr>
        <xdr:cNvSpPr/>
      </xdr:nvSpPr>
      <xdr:spPr>
        <a:xfrm>
          <a:off x="5318760" y="6842760"/>
          <a:ext cx="373380" cy="342900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oneCellAnchor>
    <xdr:from>
      <xdr:col>8</xdr:col>
      <xdr:colOff>434340</xdr:colOff>
      <xdr:row>36</xdr:row>
      <xdr:rowOff>121920</xdr:rowOff>
    </xdr:from>
    <xdr:ext cx="241669" cy="328295"/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A96051AE-F807-4DCD-A85F-F63DAD035822}"/>
            </a:ext>
          </a:extLst>
        </xdr:cNvPr>
        <xdr:cNvSpPr txBox="1"/>
      </xdr:nvSpPr>
      <xdr:spPr>
        <a:xfrm>
          <a:off x="5387340" y="6842760"/>
          <a:ext cx="241669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600" b="0">
              <a:latin typeface="Times New Roman" panose="02020603050405020304" pitchFamily="18" charset="0"/>
              <a:cs typeface="Times New Roman" panose="02020603050405020304" pitchFamily="18" charset="0"/>
            </a:rPr>
            <a:t>j</a:t>
          </a:r>
        </a:p>
      </xdr:txBody>
    </xdr:sp>
    <xdr:clientData/>
  </xdr:oneCellAnchor>
  <xdr:twoCellAnchor>
    <xdr:from>
      <xdr:col>6</xdr:col>
      <xdr:colOff>518160</xdr:colOff>
      <xdr:row>33</xdr:row>
      <xdr:rowOff>30480</xdr:rowOff>
    </xdr:from>
    <xdr:to>
      <xdr:col>8</xdr:col>
      <xdr:colOff>449580</xdr:colOff>
      <xdr:row>39</xdr:row>
      <xdr:rowOff>0</xdr:rowOff>
    </xdr:to>
    <xdr:sp macro="" textlink="">
      <xdr:nvSpPr>
        <xdr:cNvPr id="83" name="Oval 82">
          <a:extLst>
            <a:ext uri="{FF2B5EF4-FFF2-40B4-BE49-F238E27FC236}">
              <a16:creationId xmlns:a16="http://schemas.microsoft.com/office/drawing/2014/main" id="{E562347D-83D0-4513-8659-2E85425D4E10}"/>
            </a:ext>
          </a:extLst>
        </xdr:cNvPr>
        <xdr:cNvSpPr/>
      </xdr:nvSpPr>
      <xdr:spPr>
        <a:xfrm>
          <a:off x="4251960" y="6156960"/>
          <a:ext cx="1150620" cy="1173480"/>
        </a:xfrm>
        <a:prstGeom prst="ellipse">
          <a:avLst/>
        </a:prstGeom>
        <a:noFill/>
        <a:ln w="76200"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251460</xdr:colOff>
      <xdr:row>34</xdr:row>
      <xdr:rowOff>106680</xdr:rowOff>
    </xdr:from>
    <xdr:to>
      <xdr:col>5</xdr:col>
      <xdr:colOff>464820</xdr:colOff>
      <xdr:row>36</xdr:row>
      <xdr:rowOff>45720</xdr:rowOff>
    </xdr:to>
    <xdr:cxnSp macro="">
      <xdr:nvCxnSpPr>
        <xdr:cNvPr id="85" name="Straight Arrow Connector 84">
          <a:extLst>
            <a:ext uri="{FF2B5EF4-FFF2-40B4-BE49-F238E27FC236}">
              <a16:creationId xmlns:a16="http://schemas.microsoft.com/office/drawing/2014/main" id="{CAFF49C9-5D61-4548-B9E6-EFCB1000B453}"/>
            </a:ext>
          </a:extLst>
        </xdr:cNvPr>
        <xdr:cNvCxnSpPr/>
      </xdr:nvCxnSpPr>
      <xdr:spPr>
        <a:xfrm flipV="1">
          <a:off x="3375660" y="6431280"/>
          <a:ext cx="213360" cy="33528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449580</xdr:colOff>
      <xdr:row>33</xdr:row>
      <xdr:rowOff>38100</xdr:rowOff>
    </xdr:from>
    <xdr:to>
      <xdr:col>8</xdr:col>
      <xdr:colOff>144780</xdr:colOff>
      <xdr:row>36</xdr:row>
      <xdr:rowOff>15240</xdr:rowOff>
    </xdr:to>
    <xdr:cxnSp macro="">
      <xdr:nvCxnSpPr>
        <xdr:cNvPr id="86" name="Straight Arrow Connector 85">
          <a:extLst>
            <a:ext uri="{FF2B5EF4-FFF2-40B4-BE49-F238E27FC236}">
              <a16:creationId xmlns:a16="http://schemas.microsoft.com/office/drawing/2014/main" id="{6DA0C912-1752-4947-BA57-E94563B53F2A}"/>
            </a:ext>
          </a:extLst>
        </xdr:cNvPr>
        <xdr:cNvCxnSpPr/>
      </xdr:nvCxnSpPr>
      <xdr:spPr>
        <a:xfrm flipV="1">
          <a:off x="4792980" y="6164580"/>
          <a:ext cx="304800" cy="5715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304800</xdr:colOff>
      <xdr:row>34</xdr:row>
      <xdr:rowOff>182880</xdr:rowOff>
    </xdr:from>
    <xdr:ext cx="310021" cy="328295"/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66B79C0C-8C79-4649-B690-A890FC90C579}"/>
            </a:ext>
          </a:extLst>
        </xdr:cNvPr>
        <xdr:cNvSpPr txBox="1"/>
      </xdr:nvSpPr>
      <xdr:spPr>
        <a:xfrm>
          <a:off x="3429000" y="6507480"/>
          <a:ext cx="310021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600" b="0">
              <a:latin typeface="Times New Roman" panose="02020603050405020304" pitchFamily="18" charset="0"/>
              <a:cs typeface="Times New Roman" panose="02020603050405020304" pitchFamily="18" charset="0"/>
            </a:rPr>
            <a:t>ri</a:t>
          </a:r>
        </a:p>
      </xdr:txBody>
    </xdr:sp>
    <xdr:clientData/>
  </xdr:oneCellAnchor>
  <xdr:oneCellAnchor>
    <xdr:from>
      <xdr:col>7</xdr:col>
      <xdr:colOff>502920</xdr:colOff>
      <xdr:row>34</xdr:row>
      <xdr:rowOff>53340</xdr:rowOff>
    </xdr:from>
    <xdr:ext cx="310021" cy="328295"/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FF9AF3AC-B0A3-4D2F-8728-979036655BBE}"/>
            </a:ext>
          </a:extLst>
        </xdr:cNvPr>
        <xdr:cNvSpPr txBox="1"/>
      </xdr:nvSpPr>
      <xdr:spPr>
        <a:xfrm>
          <a:off x="4846320" y="6377940"/>
          <a:ext cx="310021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600" b="0">
              <a:latin typeface="Times New Roman" panose="02020603050405020304" pitchFamily="18" charset="0"/>
              <a:cs typeface="Times New Roman" panose="02020603050405020304" pitchFamily="18" charset="0"/>
            </a:rPr>
            <a:t>rj</a:t>
          </a:r>
        </a:p>
      </xdr:txBody>
    </xdr:sp>
    <xdr:clientData/>
  </xdr:oneCellAnchor>
  <xdr:twoCellAnchor>
    <xdr:from>
      <xdr:col>6</xdr:col>
      <xdr:colOff>60960</xdr:colOff>
      <xdr:row>39</xdr:row>
      <xdr:rowOff>0</xdr:rowOff>
    </xdr:from>
    <xdr:to>
      <xdr:col>6</xdr:col>
      <xdr:colOff>327660</xdr:colOff>
      <xdr:row>39</xdr:row>
      <xdr:rowOff>7620</xdr:rowOff>
    </xdr:to>
    <xdr:cxnSp macro="">
      <xdr:nvCxnSpPr>
        <xdr:cNvPr id="91" name="Straight Arrow Connector 90">
          <a:extLst>
            <a:ext uri="{FF2B5EF4-FFF2-40B4-BE49-F238E27FC236}">
              <a16:creationId xmlns:a16="http://schemas.microsoft.com/office/drawing/2014/main" id="{61AA4677-50BC-4359-9E44-FCBCA9827F12}"/>
            </a:ext>
          </a:extLst>
        </xdr:cNvPr>
        <xdr:cNvCxnSpPr/>
      </xdr:nvCxnSpPr>
      <xdr:spPr>
        <a:xfrm flipV="1">
          <a:off x="3794760" y="7330440"/>
          <a:ext cx="26670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83820</xdr:colOff>
      <xdr:row>38</xdr:row>
      <xdr:rowOff>129540</xdr:rowOff>
    </xdr:from>
    <xdr:ext cx="244554" cy="269304"/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707D10B-AB06-4976-B95C-66F87E2F7A12}"/>
            </a:ext>
          </a:extLst>
        </xdr:cNvPr>
        <xdr:cNvSpPr txBox="1"/>
      </xdr:nvSpPr>
      <xdr:spPr>
        <a:xfrm>
          <a:off x="3817620" y="7277100"/>
          <a:ext cx="244554" cy="269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200" b="0">
              <a:latin typeface="Times New Roman" panose="02020603050405020304" pitchFamily="18" charset="0"/>
              <a:cs typeface="Times New Roman" panose="02020603050405020304" pitchFamily="18" charset="0"/>
            </a:rPr>
            <a:t>s</a:t>
          </a:r>
        </a:p>
      </xdr:txBody>
    </xdr:sp>
    <xdr:clientData/>
  </xdr:oneCellAnchor>
  <xdr:twoCellAnchor>
    <xdr:from>
      <xdr:col>3</xdr:col>
      <xdr:colOff>563880</xdr:colOff>
      <xdr:row>47</xdr:row>
      <xdr:rowOff>175260</xdr:rowOff>
    </xdr:from>
    <xdr:to>
      <xdr:col>5</xdr:col>
      <xdr:colOff>548640</xdr:colOff>
      <xdr:row>47</xdr:row>
      <xdr:rowOff>175260</xdr:rowOff>
    </xdr:to>
    <xdr:cxnSp macro="">
      <xdr:nvCxnSpPr>
        <xdr:cNvPr id="93" name="Straight Connector 92">
          <a:extLst>
            <a:ext uri="{FF2B5EF4-FFF2-40B4-BE49-F238E27FC236}">
              <a16:creationId xmlns:a16="http://schemas.microsoft.com/office/drawing/2014/main" id="{A1400447-DE00-4792-BA0D-96E77607410F}"/>
            </a:ext>
          </a:extLst>
        </xdr:cNvPr>
        <xdr:cNvCxnSpPr/>
      </xdr:nvCxnSpPr>
      <xdr:spPr>
        <a:xfrm>
          <a:off x="2438400" y="9075420"/>
          <a:ext cx="1234440" cy="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548640</xdr:colOff>
      <xdr:row>47</xdr:row>
      <xdr:rowOff>15240</xdr:rowOff>
    </xdr:from>
    <xdr:to>
      <xdr:col>6</xdr:col>
      <xdr:colOff>259080</xdr:colOff>
      <xdr:row>48</xdr:row>
      <xdr:rowOff>144780</xdr:rowOff>
    </xdr:to>
    <xdr:sp macro="" textlink="">
      <xdr:nvSpPr>
        <xdr:cNvPr id="95" name="Oval 94">
          <a:extLst>
            <a:ext uri="{FF2B5EF4-FFF2-40B4-BE49-F238E27FC236}">
              <a16:creationId xmlns:a16="http://schemas.microsoft.com/office/drawing/2014/main" id="{169A5B09-78FE-4926-9B01-EB3E24274486}"/>
            </a:ext>
          </a:extLst>
        </xdr:cNvPr>
        <xdr:cNvSpPr/>
      </xdr:nvSpPr>
      <xdr:spPr>
        <a:xfrm>
          <a:off x="3672840" y="8915400"/>
          <a:ext cx="320040" cy="31242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oneCellAnchor>
    <xdr:from>
      <xdr:col>5</xdr:col>
      <xdr:colOff>594360</xdr:colOff>
      <xdr:row>46</xdr:row>
      <xdr:rowOff>182880</xdr:rowOff>
    </xdr:from>
    <xdr:ext cx="248786" cy="357790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8D44FCDD-441A-47BC-8D4A-50A52AA6C03D}"/>
            </a:ext>
          </a:extLst>
        </xdr:cNvPr>
        <xdr:cNvSpPr txBox="1"/>
      </xdr:nvSpPr>
      <xdr:spPr>
        <a:xfrm>
          <a:off x="3718560" y="8884920"/>
          <a:ext cx="248786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>
              <a:latin typeface="Times New Roman" panose="02020603050405020304" pitchFamily="18" charset="0"/>
              <a:cs typeface="Times New Roman" panose="02020603050405020304" pitchFamily="18" charset="0"/>
            </a:rPr>
            <a:t>i</a:t>
          </a:r>
        </a:p>
      </xdr:txBody>
    </xdr:sp>
    <xdr:clientData/>
  </xdr:oneCellAnchor>
  <xdr:twoCellAnchor>
    <xdr:from>
      <xdr:col>7</xdr:col>
      <xdr:colOff>441960</xdr:colOff>
      <xdr:row>40</xdr:row>
      <xdr:rowOff>167640</xdr:rowOff>
    </xdr:from>
    <xdr:to>
      <xdr:col>9</xdr:col>
      <xdr:colOff>30480</xdr:colOff>
      <xdr:row>44</xdr:row>
      <xdr:rowOff>205740</xdr:rowOff>
    </xdr:to>
    <xdr:sp macro="" textlink="">
      <xdr:nvSpPr>
        <xdr:cNvPr id="97" name="Oval 96">
          <a:extLst>
            <a:ext uri="{FF2B5EF4-FFF2-40B4-BE49-F238E27FC236}">
              <a16:creationId xmlns:a16="http://schemas.microsoft.com/office/drawing/2014/main" id="{B90D81D9-4AD5-4230-B9D8-4DE4D471E0F2}"/>
            </a:ext>
          </a:extLst>
        </xdr:cNvPr>
        <xdr:cNvSpPr/>
      </xdr:nvSpPr>
      <xdr:spPr>
        <a:xfrm>
          <a:off x="4785360" y="7680960"/>
          <a:ext cx="807720" cy="8001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312420</xdr:colOff>
      <xdr:row>47</xdr:row>
      <xdr:rowOff>175260</xdr:rowOff>
    </xdr:from>
    <xdr:to>
      <xdr:col>8</xdr:col>
      <xdr:colOff>274320</xdr:colOff>
      <xdr:row>47</xdr:row>
      <xdr:rowOff>175260</xdr:rowOff>
    </xdr:to>
    <xdr:cxnSp macro="">
      <xdr:nvCxnSpPr>
        <xdr:cNvPr id="98" name="Straight Connector 97">
          <a:extLst>
            <a:ext uri="{FF2B5EF4-FFF2-40B4-BE49-F238E27FC236}">
              <a16:creationId xmlns:a16="http://schemas.microsoft.com/office/drawing/2014/main" id="{57711DDB-E06E-4B94-A759-046831D0F2BA}"/>
            </a:ext>
          </a:extLst>
        </xdr:cNvPr>
        <xdr:cNvCxnSpPr/>
      </xdr:nvCxnSpPr>
      <xdr:spPr>
        <a:xfrm>
          <a:off x="4046220" y="9075420"/>
          <a:ext cx="1181100" cy="0"/>
        </a:xfrm>
        <a:prstGeom prst="line">
          <a:avLst/>
        </a:prstGeom>
        <a:ln>
          <a:prstDash val="sysDash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236220</xdr:colOff>
      <xdr:row>44</xdr:row>
      <xdr:rowOff>205740</xdr:rowOff>
    </xdr:from>
    <xdr:to>
      <xdr:col>8</xdr:col>
      <xdr:colOff>236220</xdr:colOff>
      <xdr:row>47</xdr:row>
      <xdr:rowOff>175260</xdr:rowOff>
    </xdr:to>
    <xdr:cxnSp macro="">
      <xdr:nvCxnSpPr>
        <xdr:cNvPr id="100" name="Straight Connector 99">
          <a:extLst>
            <a:ext uri="{FF2B5EF4-FFF2-40B4-BE49-F238E27FC236}">
              <a16:creationId xmlns:a16="http://schemas.microsoft.com/office/drawing/2014/main" id="{87B403A2-6242-47F2-BAD1-48EB37B7595C}"/>
            </a:ext>
          </a:extLst>
        </xdr:cNvPr>
        <xdr:cNvCxnSpPr>
          <a:endCxn id="97" idx="4"/>
        </xdr:cNvCxnSpPr>
      </xdr:nvCxnSpPr>
      <xdr:spPr>
        <a:xfrm flipV="1">
          <a:off x="5189220" y="8481060"/>
          <a:ext cx="0" cy="594360"/>
        </a:xfrm>
        <a:prstGeom prst="line">
          <a:avLst/>
        </a:prstGeom>
        <a:ln>
          <a:prstDash val="sysDash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213360</xdr:colOff>
      <xdr:row>41</xdr:row>
      <xdr:rowOff>45720</xdr:rowOff>
    </xdr:from>
    <xdr:to>
      <xdr:col>8</xdr:col>
      <xdr:colOff>426720</xdr:colOff>
      <xdr:row>43</xdr:row>
      <xdr:rowOff>0</xdr:rowOff>
    </xdr:to>
    <xdr:cxnSp macro="">
      <xdr:nvCxnSpPr>
        <xdr:cNvPr id="104" name="Straight Arrow Connector 103">
          <a:extLst>
            <a:ext uri="{FF2B5EF4-FFF2-40B4-BE49-F238E27FC236}">
              <a16:creationId xmlns:a16="http://schemas.microsoft.com/office/drawing/2014/main" id="{5568FAC8-F154-4E15-AFB5-AB35FA4A9BFB}"/>
            </a:ext>
          </a:extLst>
        </xdr:cNvPr>
        <xdr:cNvCxnSpPr/>
      </xdr:nvCxnSpPr>
      <xdr:spPr>
        <a:xfrm flipV="1">
          <a:off x="5166360" y="7741920"/>
          <a:ext cx="213360" cy="33528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8</xdr:col>
      <xdr:colOff>259080</xdr:colOff>
      <xdr:row>41</xdr:row>
      <xdr:rowOff>137160</xdr:rowOff>
    </xdr:from>
    <xdr:ext cx="253018" cy="328295"/>
    <xdr:sp macro="" textlink="">
      <xdr:nvSpPr>
        <xdr:cNvPr id="105" name="TextBox 104">
          <a:extLst>
            <a:ext uri="{FF2B5EF4-FFF2-40B4-BE49-F238E27FC236}">
              <a16:creationId xmlns:a16="http://schemas.microsoft.com/office/drawing/2014/main" id="{299C1655-F0D2-438E-8FAB-D3D5A6C46941}"/>
            </a:ext>
          </a:extLst>
        </xdr:cNvPr>
        <xdr:cNvSpPr txBox="1"/>
      </xdr:nvSpPr>
      <xdr:spPr>
        <a:xfrm>
          <a:off x="5212080" y="7833360"/>
          <a:ext cx="253018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600" b="0">
              <a:latin typeface="Times New Roman" panose="02020603050405020304" pitchFamily="18" charset="0"/>
              <a:cs typeface="Times New Roman" panose="02020603050405020304" pitchFamily="18" charset="0"/>
            </a:rPr>
            <a:t>r</a:t>
          </a:r>
        </a:p>
      </xdr:txBody>
    </xdr:sp>
    <xdr:clientData/>
  </xdr:oneCellAnchor>
  <xdr:twoCellAnchor>
    <xdr:from>
      <xdr:col>9</xdr:col>
      <xdr:colOff>243840</xdr:colOff>
      <xdr:row>43</xdr:row>
      <xdr:rowOff>0</xdr:rowOff>
    </xdr:from>
    <xdr:to>
      <xdr:col>9</xdr:col>
      <xdr:colOff>243840</xdr:colOff>
      <xdr:row>45</xdr:row>
      <xdr:rowOff>15240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6A1A0341-7E45-4CD8-B4E9-9F118291670F}"/>
            </a:ext>
          </a:extLst>
        </xdr:cNvPr>
        <xdr:cNvCxnSpPr/>
      </xdr:nvCxnSpPr>
      <xdr:spPr>
        <a:xfrm flipV="1">
          <a:off x="5806440" y="8077200"/>
          <a:ext cx="0" cy="44196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9</xdr:col>
      <xdr:colOff>106680</xdr:colOff>
      <xdr:row>44</xdr:row>
      <xdr:rowOff>205740</xdr:rowOff>
    </xdr:from>
    <xdr:ext cx="310021" cy="328295"/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D038846F-C892-4CF5-9F41-4E4B7C423C75}"/>
            </a:ext>
          </a:extLst>
        </xdr:cNvPr>
        <xdr:cNvSpPr txBox="1"/>
      </xdr:nvSpPr>
      <xdr:spPr>
        <a:xfrm>
          <a:off x="5669280" y="8481060"/>
          <a:ext cx="310021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600" b="0"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</a:p>
      </xdr:txBody>
    </xdr:sp>
    <xdr:clientData/>
  </xdr:oneCellAnchor>
  <xdr:twoCellAnchor>
    <xdr:from>
      <xdr:col>9</xdr:col>
      <xdr:colOff>236220</xdr:colOff>
      <xdr:row>46</xdr:row>
      <xdr:rowOff>45720</xdr:rowOff>
    </xdr:from>
    <xdr:to>
      <xdr:col>9</xdr:col>
      <xdr:colOff>243840</xdr:colOff>
      <xdr:row>48</xdr:row>
      <xdr:rowOff>0</xdr:rowOff>
    </xdr:to>
    <xdr:cxnSp macro="">
      <xdr:nvCxnSpPr>
        <xdr:cNvPr id="108" name="Straight Arrow Connector 107">
          <a:extLst>
            <a:ext uri="{FF2B5EF4-FFF2-40B4-BE49-F238E27FC236}">
              <a16:creationId xmlns:a16="http://schemas.microsoft.com/office/drawing/2014/main" id="{4B92D3D2-9A94-4559-AE5D-E4B3BD1E017D}"/>
            </a:ext>
          </a:extLst>
        </xdr:cNvPr>
        <xdr:cNvCxnSpPr/>
      </xdr:nvCxnSpPr>
      <xdr:spPr>
        <a:xfrm flipH="1">
          <a:off x="5798820" y="8747760"/>
          <a:ext cx="7620" cy="33528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45720</xdr:colOff>
      <xdr:row>42</xdr:row>
      <xdr:rowOff>190500</xdr:rowOff>
    </xdr:from>
    <xdr:to>
      <xdr:col>9</xdr:col>
      <xdr:colOff>556260</xdr:colOff>
      <xdr:row>42</xdr:row>
      <xdr:rowOff>190500</xdr:rowOff>
    </xdr:to>
    <xdr:cxnSp macro="">
      <xdr:nvCxnSpPr>
        <xdr:cNvPr id="110" name="Straight Connector 109">
          <a:extLst>
            <a:ext uri="{FF2B5EF4-FFF2-40B4-BE49-F238E27FC236}">
              <a16:creationId xmlns:a16="http://schemas.microsoft.com/office/drawing/2014/main" id="{E21D90AA-9846-44E1-9485-6A69EF327DAA}"/>
            </a:ext>
          </a:extLst>
        </xdr:cNvPr>
        <xdr:cNvCxnSpPr/>
      </xdr:nvCxnSpPr>
      <xdr:spPr>
        <a:xfrm>
          <a:off x="5608320" y="8069580"/>
          <a:ext cx="510540" cy="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601980</xdr:colOff>
      <xdr:row>48</xdr:row>
      <xdr:rowOff>7620</xdr:rowOff>
    </xdr:from>
    <xdr:to>
      <xdr:col>9</xdr:col>
      <xdr:colOff>502920</xdr:colOff>
      <xdr:row>48</xdr:row>
      <xdr:rowOff>7620</xdr:rowOff>
    </xdr:to>
    <xdr:cxnSp macro="">
      <xdr:nvCxnSpPr>
        <xdr:cNvPr id="112" name="Straight Connector 111">
          <a:extLst>
            <a:ext uri="{FF2B5EF4-FFF2-40B4-BE49-F238E27FC236}">
              <a16:creationId xmlns:a16="http://schemas.microsoft.com/office/drawing/2014/main" id="{0B12EDC0-FEA8-410F-9307-B1BC5A679B15}"/>
            </a:ext>
          </a:extLst>
        </xdr:cNvPr>
        <xdr:cNvCxnSpPr/>
      </xdr:nvCxnSpPr>
      <xdr:spPr>
        <a:xfrm>
          <a:off x="5554980" y="9090660"/>
          <a:ext cx="510540" cy="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285694</xdr:colOff>
      <xdr:row>49</xdr:row>
      <xdr:rowOff>45720</xdr:rowOff>
    </xdr:from>
    <xdr:to>
      <xdr:col>8</xdr:col>
      <xdr:colOff>259080</xdr:colOff>
      <xdr:row>49</xdr:row>
      <xdr:rowOff>52564</xdr:rowOff>
    </xdr:to>
    <xdr:cxnSp macro="">
      <xdr:nvCxnSpPr>
        <xdr:cNvPr id="114" name="Straight Arrow Connector 113">
          <a:extLst>
            <a:ext uri="{FF2B5EF4-FFF2-40B4-BE49-F238E27FC236}">
              <a16:creationId xmlns:a16="http://schemas.microsoft.com/office/drawing/2014/main" id="{5DAC828F-70BB-4CF2-B89F-ECC63F380DB9}"/>
            </a:ext>
          </a:extLst>
        </xdr:cNvPr>
        <xdr:cNvCxnSpPr>
          <a:stCxn id="116" idx="3"/>
        </xdr:cNvCxnSpPr>
      </xdr:nvCxnSpPr>
      <xdr:spPr>
        <a:xfrm flipV="1">
          <a:off x="4629094" y="9311640"/>
          <a:ext cx="582986" cy="6844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533400</xdr:colOff>
      <xdr:row>48</xdr:row>
      <xdr:rowOff>99060</xdr:rowOff>
    </xdr:from>
    <xdr:ext cx="361894" cy="2727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6" name="TextBox 115">
              <a:extLst>
                <a:ext uri="{FF2B5EF4-FFF2-40B4-BE49-F238E27FC236}">
                  <a16:creationId xmlns:a16="http://schemas.microsoft.com/office/drawing/2014/main" id="{7F4D107F-37B6-4BF5-A618-B6036199C5A2}"/>
                </a:ext>
              </a:extLst>
            </xdr:cNvPr>
            <xdr:cNvSpPr txBox="1"/>
          </xdr:nvSpPr>
          <xdr:spPr>
            <a:xfrm>
              <a:off x="4267200" y="9182100"/>
              <a:ext cx="361894" cy="2727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IN" sz="1200" b="0" i="1">
                            <a:latin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sSubPr>
                      <m:e>
                        <m:r>
                          <a:rPr lang="en-IN" sz="1200" b="0" i="1">
                            <a:latin typeface="Cambria Math" panose="02040503050406030204" pitchFamily="18" charset="0"/>
                            <a:cs typeface="Times New Roman" panose="02020603050405020304" pitchFamily="18" charset="0"/>
                          </a:rPr>
                          <m:t>𝑠</m:t>
                        </m:r>
                      </m:e>
                      <m:sub>
                        <m:r>
                          <a:rPr lang="en-IN" sz="1200" b="0" i="1">
                            <a:latin typeface="Cambria Math" panose="02040503050406030204" pitchFamily="18" charset="0"/>
                            <a:cs typeface="Times New Roman" panose="020206030504050203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IN" sz="1200" b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116" name="TextBox 115">
              <a:extLst>
                <a:ext uri="{FF2B5EF4-FFF2-40B4-BE49-F238E27FC236}">
                  <a16:creationId xmlns:a16="http://schemas.microsoft.com/office/drawing/2014/main" id="{7F4D107F-37B6-4BF5-A618-B6036199C5A2}"/>
                </a:ext>
              </a:extLst>
            </xdr:cNvPr>
            <xdr:cNvSpPr txBox="1"/>
          </xdr:nvSpPr>
          <xdr:spPr>
            <a:xfrm>
              <a:off x="4267200" y="9182100"/>
              <a:ext cx="361894" cy="2727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IN" sz="1200" b="0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𝑠_2</a:t>
              </a:r>
              <a:endParaRPr lang="en-IN" sz="1200" b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twoCellAnchor>
    <xdr:from>
      <xdr:col>5</xdr:col>
      <xdr:colOff>548640</xdr:colOff>
      <xdr:row>49</xdr:row>
      <xdr:rowOff>68580</xdr:rowOff>
    </xdr:from>
    <xdr:to>
      <xdr:col>6</xdr:col>
      <xdr:colOff>571500</xdr:colOff>
      <xdr:row>49</xdr:row>
      <xdr:rowOff>68580</xdr:rowOff>
    </xdr:to>
    <xdr:cxnSp macro="">
      <xdr:nvCxnSpPr>
        <xdr:cNvPr id="117" name="Straight Arrow Connector 116">
          <a:extLst>
            <a:ext uri="{FF2B5EF4-FFF2-40B4-BE49-F238E27FC236}">
              <a16:creationId xmlns:a16="http://schemas.microsoft.com/office/drawing/2014/main" id="{78F6B70A-EA5C-4C29-BA95-4057206C94E8}"/>
            </a:ext>
          </a:extLst>
        </xdr:cNvPr>
        <xdr:cNvCxnSpPr/>
      </xdr:nvCxnSpPr>
      <xdr:spPr>
        <a:xfrm flipH="1">
          <a:off x="3672840" y="9334500"/>
          <a:ext cx="632460" cy="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38100</xdr:colOff>
      <xdr:row>50</xdr:row>
      <xdr:rowOff>99060</xdr:rowOff>
    </xdr:from>
    <xdr:to>
      <xdr:col>8</xdr:col>
      <xdr:colOff>251460</xdr:colOff>
      <xdr:row>50</xdr:row>
      <xdr:rowOff>99060</xdr:rowOff>
    </xdr:to>
    <xdr:cxnSp macro="">
      <xdr:nvCxnSpPr>
        <xdr:cNvPr id="118" name="Straight Arrow Connector 117">
          <a:extLst>
            <a:ext uri="{FF2B5EF4-FFF2-40B4-BE49-F238E27FC236}">
              <a16:creationId xmlns:a16="http://schemas.microsoft.com/office/drawing/2014/main" id="{2BF4855A-76C4-4CB6-93EF-DA267815C1DC}"/>
            </a:ext>
          </a:extLst>
        </xdr:cNvPr>
        <xdr:cNvCxnSpPr/>
      </xdr:nvCxnSpPr>
      <xdr:spPr>
        <a:xfrm>
          <a:off x="3771900" y="9547860"/>
          <a:ext cx="1432560" cy="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312420</xdr:colOff>
      <xdr:row>49</xdr:row>
      <xdr:rowOff>144780</xdr:rowOff>
    </xdr:from>
    <xdr:ext cx="358303" cy="2727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0" name="TextBox 119">
              <a:extLst>
                <a:ext uri="{FF2B5EF4-FFF2-40B4-BE49-F238E27FC236}">
                  <a16:creationId xmlns:a16="http://schemas.microsoft.com/office/drawing/2014/main" id="{180CA977-F4CE-4E95-899B-53EC04BE353D}"/>
                </a:ext>
              </a:extLst>
            </xdr:cNvPr>
            <xdr:cNvSpPr txBox="1"/>
          </xdr:nvSpPr>
          <xdr:spPr>
            <a:xfrm>
              <a:off x="3436620" y="9410700"/>
              <a:ext cx="358303" cy="2727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IN" sz="1200" b="0" i="1">
                            <a:latin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sSubPr>
                      <m:e>
                        <m:r>
                          <a:rPr lang="en-IN" sz="1200" b="0" i="1">
                            <a:latin typeface="Cambria Math" panose="02040503050406030204" pitchFamily="18" charset="0"/>
                            <a:cs typeface="Times New Roman" panose="02020603050405020304" pitchFamily="18" charset="0"/>
                          </a:rPr>
                          <m:t>𝑠</m:t>
                        </m:r>
                      </m:e>
                      <m:sub>
                        <m:r>
                          <a:rPr lang="en-IN" sz="1200" b="0" i="1">
                            <a:latin typeface="Cambria Math" panose="02040503050406030204" pitchFamily="18" charset="0"/>
                            <a:cs typeface="Times New Roman" panose="020206030504050203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n-IN" sz="1200" b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120" name="TextBox 119">
              <a:extLst>
                <a:ext uri="{FF2B5EF4-FFF2-40B4-BE49-F238E27FC236}">
                  <a16:creationId xmlns:a16="http://schemas.microsoft.com/office/drawing/2014/main" id="{180CA977-F4CE-4E95-899B-53EC04BE353D}"/>
                </a:ext>
              </a:extLst>
            </xdr:cNvPr>
            <xdr:cNvSpPr txBox="1"/>
          </xdr:nvSpPr>
          <xdr:spPr>
            <a:xfrm>
              <a:off x="3436620" y="9410700"/>
              <a:ext cx="358303" cy="2727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IN" sz="1200" b="0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𝑠_1</a:t>
              </a:r>
              <a:endParaRPr lang="en-IN" sz="1200" b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twoCellAnchor>
    <xdr:from>
      <xdr:col>4</xdr:col>
      <xdr:colOff>7620</xdr:colOff>
      <xdr:row>50</xdr:row>
      <xdr:rowOff>98284</xdr:rowOff>
    </xdr:from>
    <xdr:to>
      <xdr:col>5</xdr:col>
      <xdr:colOff>312420</xdr:colOff>
      <xdr:row>50</xdr:row>
      <xdr:rowOff>99060</xdr:rowOff>
    </xdr:to>
    <xdr:cxnSp macro="">
      <xdr:nvCxnSpPr>
        <xdr:cNvPr id="121" name="Straight Arrow Connector 120">
          <a:extLst>
            <a:ext uri="{FF2B5EF4-FFF2-40B4-BE49-F238E27FC236}">
              <a16:creationId xmlns:a16="http://schemas.microsoft.com/office/drawing/2014/main" id="{EE949F45-2B50-4211-B670-102EE13AD353}"/>
            </a:ext>
          </a:extLst>
        </xdr:cNvPr>
        <xdr:cNvCxnSpPr>
          <a:stCxn id="120" idx="1"/>
        </xdr:cNvCxnSpPr>
      </xdr:nvCxnSpPr>
      <xdr:spPr>
        <a:xfrm flipH="1">
          <a:off x="2453640" y="9547084"/>
          <a:ext cx="982980" cy="776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213360</xdr:colOff>
      <xdr:row>43</xdr:row>
      <xdr:rowOff>68580</xdr:rowOff>
    </xdr:from>
    <xdr:to>
      <xdr:col>7</xdr:col>
      <xdr:colOff>586740</xdr:colOff>
      <xdr:row>44</xdr:row>
      <xdr:rowOff>213360</xdr:rowOff>
    </xdr:to>
    <xdr:sp macro="" textlink="">
      <xdr:nvSpPr>
        <xdr:cNvPr id="126" name="Oval 125">
          <a:extLst>
            <a:ext uri="{FF2B5EF4-FFF2-40B4-BE49-F238E27FC236}">
              <a16:creationId xmlns:a16="http://schemas.microsoft.com/office/drawing/2014/main" id="{7103D3C8-BC8D-47BF-B388-87409193934F}"/>
            </a:ext>
          </a:extLst>
        </xdr:cNvPr>
        <xdr:cNvSpPr/>
      </xdr:nvSpPr>
      <xdr:spPr>
        <a:xfrm>
          <a:off x="4556760" y="8145780"/>
          <a:ext cx="373380" cy="342900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487680</xdr:colOff>
      <xdr:row>41</xdr:row>
      <xdr:rowOff>30480</xdr:rowOff>
    </xdr:from>
    <xdr:to>
      <xdr:col>8</xdr:col>
      <xdr:colOff>594360</xdr:colOff>
      <xdr:row>44</xdr:row>
      <xdr:rowOff>152400</xdr:rowOff>
    </xdr:to>
    <xdr:sp macro="" textlink="">
      <xdr:nvSpPr>
        <xdr:cNvPr id="127" name="Oval 126">
          <a:extLst>
            <a:ext uri="{FF2B5EF4-FFF2-40B4-BE49-F238E27FC236}">
              <a16:creationId xmlns:a16="http://schemas.microsoft.com/office/drawing/2014/main" id="{B8F4CC6F-3170-41F8-BA66-8F901EB984C9}"/>
            </a:ext>
          </a:extLst>
        </xdr:cNvPr>
        <xdr:cNvSpPr/>
      </xdr:nvSpPr>
      <xdr:spPr>
        <a:xfrm>
          <a:off x="4831080" y="7726680"/>
          <a:ext cx="716280" cy="701040"/>
        </a:xfrm>
        <a:prstGeom prst="ellipse">
          <a:avLst/>
        </a:prstGeom>
        <a:noFill/>
        <a:ln w="76200"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oneCellAnchor>
    <xdr:from>
      <xdr:col>7</xdr:col>
      <xdr:colOff>274320</xdr:colOff>
      <xdr:row>43</xdr:row>
      <xdr:rowOff>83820</xdr:rowOff>
    </xdr:from>
    <xdr:ext cx="241669" cy="328295"/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2509299F-54E2-4413-84B7-F60B22CE2EDE}"/>
            </a:ext>
          </a:extLst>
        </xdr:cNvPr>
        <xdr:cNvSpPr txBox="1"/>
      </xdr:nvSpPr>
      <xdr:spPr>
        <a:xfrm>
          <a:off x="4617720" y="8161020"/>
          <a:ext cx="241669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600" b="0">
              <a:latin typeface="Times New Roman" panose="02020603050405020304" pitchFamily="18" charset="0"/>
              <a:cs typeface="Times New Roman" panose="02020603050405020304" pitchFamily="18" charset="0"/>
            </a:rPr>
            <a:t>j</a:t>
          </a:r>
        </a:p>
      </xdr:txBody>
    </xdr:sp>
    <xdr:clientData/>
  </xdr:oneCellAnchor>
  <xdr:twoCellAnchor>
    <xdr:from>
      <xdr:col>4</xdr:col>
      <xdr:colOff>7620</xdr:colOff>
      <xdr:row>59</xdr:row>
      <xdr:rowOff>0</xdr:rowOff>
    </xdr:from>
    <xdr:to>
      <xdr:col>11</xdr:col>
      <xdr:colOff>15240</xdr:colOff>
      <xdr:row>59</xdr:row>
      <xdr:rowOff>0</xdr:rowOff>
    </xdr:to>
    <xdr:cxnSp macro="">
      <xdr:nvCxnSpPr>
        <xdr:cNvPr id="129" name="Straight Connector 128">
          <a:extLst>
            <a:ext uri="{FF2B5EF4-FFF2-40B4-BE49-F238E27FC236}">
              <a16:creationId xmlns:a16="http://schemas.microsoft.com/office/drawing/2014/main" id="{F0BD251B-1CCC-47DA-A64D-2FFBC1027473}"/>
            </a:ext>
          </a:extLst>
        </xdr:cNvPr>
        <xdr:cNvCxnSpPr/>
      </xdr:nvCxnSpPr>
      <xdr:spPr>
        <a:xfrm>
          <a:off x="2453640" y="10988040"/>
          <a:ext cx="4343400" cy="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114300</xdr:colOff>
      <xdr:row>55</xdr:row>
      <xdr:rowOff>15240</xdr:rowOff>
    </xdr:from>
    <xdr:to>
      <xdr:col>5</xdr:col>
      <xdr:colOff>53340</xdr:colOff>
      <xdr:row>58</xdr:row>
      <xdr:rowOff>7620</xdr:rowOff>
    </xdr:to>
    <xdr:sp macro="" textlink="">
      <xdr:nvSpPr>
        <xdr:cNvPr id="131" name="Oval 130">
          <a:extLst>
            <a:ext uri="{FF2B5EF4-FFF2-40B4-BE49-F238E27FC236}">
              <a16:creationId xmlns:a16="http://schemas.microsoft.com/office/drawing/2014/main" id="{0B0B7E08-7F3A-4884-8D00-B1B434BA2B45}"/>
            </a:ext>
          </a:extLst>
        </xdr:cNvPr>
        <xdr:cNvSpPr/>
      </xdr:nvSpPr>
      <xdr:spPr>
        <a:xfrm>
          <a:off x="2560320" y="10210800"/>
          <a:ext cx="617220" cy="60198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160020</xdr:colOff>
      <xdr:row>55</xdr:row>
      <xdr:rowOff>15240</xdr:rowOff>
    </xdr:from>
    <xdr:to>
      <xdr:col>6</xdr:col>
      <xdr:colOff>167640</xdr:colOff>
      <xdr:row>58</xdr:row>
      <xdr:rowOff>7620</xdr:rowOff>
    </xdr:to>
    <xdr:sp macro="" textlink="">
      <xdr:nvSpPr>
        <xdr:cNvPr id="132" name="Oval 131">
          <a:extLst>
            <a:ext uri="{FF2B5EF4-FFF2-40B4-BE49-F238E27FC236}">
              <a16:creationId xmlns:a16="http://schemas.microsoft.com/office/drawing/2014/main" id="{F77E9A49-D879-4D50-9644-566373886B18}"/>
            </a:ext>
          </a:extLst>
        </xdr:cNvPr>
        <xdr:cNvSpPr/>
      </xdr:nvSpPr>
      <xdr:spPr>
        <a:xfrm>
          <a:off x="3284220" y="10210800"/>
          <a:ext cx="617220" cy="60198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586740</xdr:colOff>
      <xdr:row>55</xdr:row>
      <xdr:rowOff>15240</xdr:rowOff>
    </xdr:from>
    <xdr:to>
      <xdr:col>10</xdr:col>
      <xdr:colOff>594360</xdr:colOff>
      <xdr:row>58</xdr:row>
      <xdr:rowOff>7620</xdr:rowOff>
    </xdr:to>
    <xdr:sp macro="" textlink="">
      <xdr:nvSpPr>
        <xdr:cNvPr id="133" name="Oval 132">
          <a:extLst>
            <a:ext uri="{FF2B5EF4-FFF2-40B4-BE49-F238E27FC236}">
              <a16:creationId xmlns:a16="http://schemas.microsoft.com/office/drawing/2014/main" id="{E265431F-4439-4A45-95CE-66D1E98E4AE5}"/>
            </a:ext>
          </a:extLst>
        </xdr:cNvPr>
        <xdr:cNvSpPr/>
      </xdr:nvSpPr>
      <xdr:spPr>
        <a:xfrm>
          <a:off x="6149340" y="10210800"/>
          <a:ext cx="617220" cy="60198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312420</xdr:colOff>
      <xdr:row>55</xdr:row>
      <xdr:rowOff>22860</xdr:rowOff>
    </xdr:from>
    <xdr:to>
      <xdr:col>7</xdr:col>
      <xdr:colOff>320040</xdr:colOff>
      <xdr:row>58</xdr:row>
      <xdr:rowOff>15240</xdr:rowOff>
    </xdr:to>
    <xdr:sp macro="" textlink="">
      <xdr:nvSpPr>
        <xdr:cNvPr id="134" name="Oval 133">
          <a:extLst>
            <a:ext uri="{FF2B5EF4-FFF2-40B4-BE49-F238E27FC236}">
              <a16:creationId xmlns:a16="http://schemas.microsoft.com/office/drawing/2014/main" id="{3CB8C5AF-AF4F-4EC1-9E17-EC13F8217704}"/>
            </a:ext>
          </a:extLst>
        </xdr:cNvPr>
        <xdr:cNvSpPr/>
      </xdr:nvSpPr>
      <xdr:spPr>
        <a:xfrm>
          <a:off x="4046220" y="10218420"/>
          <a:ext cx="617220" cy="60198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487680</xdr:colOff>
      <xdr:row>55</xdr:row>
      <xdr:rowOff>22860</xdr:rowOff>
    </xdr:from>
    <xdr:to>
      <xdr:col>9</xdr:col>
      <xdr:colOff>495300</xdr:colOff>
      <xdr:row>58</xdr:row>
      <xdr:rowOff>15240</xdr:rowOff>
    </xdr:to>
    <xdr:sp macro="" textlink="">
      <xdr:nvSpPr>
        <xdr:cNvPr id="135" name="Oval 134">
          <a:extLst>
            <a:ext uri="{FF2B5EF4-FFF2-40B4-BE49-F238E27FC236}">
              <a16:creationId xmlns:a16="http://schemas.microsoft.com/office/drawing/2014/main" id="{C41A6CA2-BC2F-4CDD-83E4-C55F527D33DB}"/>
            </a:ext>
          </a:extLst>
        </xdr:cNvPr>
        <xdr:cNvSpPr/>
      </xdr:nvSpPr>
      <xdr:spPr>
        <a:xfrm>
          <a:off x="5440680" y="10218420"/>
          <a:ext cx="617220" cy="60198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411480</xdr:colOff>
      <xdr:row>55</xdr:row>
      <xdr:rowOff>15240</xdr:rowOff>
    </xdr:from>
    <xdr:to>
      <xdr:col>8</xdr:col>
      <xdr:colOff>419100</xdr:colOff>
      <xdr:row>58</xdr:row>
      <xdr:rowOff>7620</xdr:rowOff>
    </xdr:to>
    <xdr:sp macro="" textlink="">
      <xdr:nvSpPr>
        <xdr:cNvPr id="136" name="Oval 135">
          <a:extLst>
            <a:ext uri="{FF2B5EF4-FFF2-40B4-BE49-F238E27FC236}">
              <a16:creationId xmlns:a16="http://schemas.microsoft.com/office/drawing/2014/main" id="{24D21AA3-08F1-4D2F-B360-C801996A7FD7}"/>
            </a:ext>
          </a:extLst>
        </xdr:cNvPr>
        <xdr:cNvSpPr/>
      </xdr:nvSpPr>
      <xdr:spPr>
        <a:xfrm>
          <a:off x="4754880" y="10210800"/>
          <a:ext cx="617220" cy="60198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oneCellAnchor>
    <xdr:from>
      <xdr:col>4</xdr:col>
      <xdr:colOff>266700</xdr:colOff>
      <xdr:row>55</xdr:row>
      <xdr:rowOff>129540</xdr:rowOff>
    </xdr:from>
    <xdr:ext cx="314830" cy="357790"/>
    <xdr:sp macro="" textlink="">
      <xdr:nvSpPr>
        <xdr:cNvPr id="137" name="TextBox 136">
          <a:extLst>
            <a:ext uri="{FF2B5EF4-FFF2-40B4-BE49-F238E27FC236}">
              <a16:creationId xmlns:a16="http://schemas.microsoft.com/office/drawing/2014/main" id="{077C0C35-2C83-479F-954F-CEAAF6716E43}"/>
            </a:ext>
          </a:extLst>
        </xdr:cNvPr>
        <xdr:cNvSpPr txBox="1"/>
      </xdr:nvSpPr>
      <xdr:spPr>
        <a:xfrm>
          <a:off x="2712720" y="10325100"/>
          <a:ext cx="314830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>
              <a:latin typeface="Times New Roman" panose="02020603050405020304" pitchFamily="18" charset="0"/>
              <a:cs typeface="Times New Roman" panose="02020603050405020304" pitchFamily="18" charset="0"/>
            </a:rPr>
            <a:t>+</a:t>
          </a:r>
        </a:p>
      </xdr:txBody>
    </xdr:sp>
    <xdr:clientData/>
  </xdr:oneCellAnchor>
  <xdr:oneCellAnchor>
    <xdr:from>
      <xdr:col>6</xdr:col>
      <xdr:colOff>472440</xdr:colOff>
      <xdr:row>55</xdr:row>
      <xdr:rowOff>152400</xdr:rowOff>
    </xdr:from>
    <xdr:ext cx="314830" cy="357790"/>
    <xdr:sp macro="" textlink="">
      <xdr:nvSpPr>
        <xdr:cNvPr id="138" name="TextBox 137">
          <a:extLst>
            <a:ext uri="{FF2B5EF4-FFF2-40B4-BE49-F238E27FC236}">
              <a16:creationId xmlns:a16="http://schemas.microsoft.com/office/drawing/2014/main" id="{57B1F331-7C89-45A2-B683-A9FA5E92E83D}"/>
            </a:ext>
          </a:extLst>
        </xdr:cNvPr>
        <xdr:cNvSpPr txBox="1"/>
      </xdr:nvSpPr>
      <xdr:spPr>
        <a:xfrm>
          <a:off x="4206240" y="10347960"/>
          <a:ext cx="314830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>
              <a:latin typeface="Times New Roman" panose="02020603050405020304" pitchFamily="18" charset="0"/>
              <a:cs typeface="Times New Roman" panose="02020603050405020304" pitchFamily="18" charset="0"/>
            </a:rPr>
            <a:t>+</a:t>
          </a:r>
        </a:p>
      </xdr:txBody>
    </xdr:sp>
    <xdr:clientData/>
  </xdr:oneCellAnchor>
  <xdr:oneCellAnchor>
    <xdr:from>
      <xdr:col>5</xdr:col>
      <xdr:colOff>327660</xdr:colOff>
      <xdr:row>55</xdr:row>
      <xdr:rowOff>137160</xdr:rowOff>
    </xdr:from>
    <xdr:ext cx="314830" cy="357790"/>
    <xdr:sp macro="" textlink="">
      <xdr:nvSpPr>
        <xdr:cNvPr id="139" name="TextBox 138">
          <a:extLst>
            <a:ext uri="{FF2B5EF4-FFF2-40B4-BE49-F238E27FC236}">
              <a16:creationId xmlns:a16="http://schemas.microsoft.com/office/drawing/2014/main" id="{391CBF24-2D08-487E-8FA4-BB94438FA777}"/>
            </a:ext>
          </a:extLst>
        </xdr:cNvPr>
        <xdr:cNvSpPr txBox="1"/>
      </xdr:nvSpPr>
      <xdr:spPr>
        <a:xfrm>
          <a:off x="3451860" y="10332720"/>
          <a:ext cx="314830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>
              <a:latin typeface="Times New Roman" panose="02020603050405020304" pitchFamily="18" charset="0"/>
              <a:cs typeface="Times New Roman" panose="02020603050405020304" pitchFamily="18" charset="0"/>
            </a:rPr>
            <a:t>+</a:t>
          </a:r>
        </a:p>
      </xdr:txBody>
    </xdr:sp>
    <xdr:clientData/>
  </xdr:oneCellAnchor>
  <xdr:oneCellAnchor>
    <xdr:from>
      <xdr:col>7</xdr:col>
      <xdr:colOff>563880</xdr:colOff>
      <xdr:row>55</xdr:row>
      <xdr:rowOff>144780</xdr:rowOff>
    </xdr:from>
    <xdr:ext cx="314830" cy="357790"/>
    <xdr:sp macro="" textlink="">
      <xdr:nvSpPr>
        <xdr:cNvPr id="140" name="TextBox 139">
          <a:extLst>
            <a:ext uri="{FF2B5EF4-FFF2-40B4-BE49-F238E27FC236}">
              <a16:creationId xmlns:a16="http://schemas.microsoft.com/office/drawing/2014/main" id="{ED665188-DDB5-4625-A845-71DD1BA83E38}"/>
            </a:ext>
          </a:extLst>
        </xdr:cNvPr>
        <xdr:cNvSpPr txBox="1"/>
      </xdr:nvSpPr>
      <xdr:spPr>
        <a:xfrm>
          <a:off x="4907280" y="10340340"/>
          <a:ext cx="314830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>
              <a:latin typeface="Times New Roman" panose="02020603050405020304" pitchFamily="18" charset="0"/>
              <a:cs typeface="Times New Roman" panose="02020603050405020304" pitchFamily="18" charset="0"/>
            </a:rPr>
            <a:t>+</a:t>
          </a:r>
        </a:p>
      </xdr:txBody>
    </xdr:sp>
    <xdr:clientData/>
  </xdr:oneCellAnchor>
  <xdr:oneCellAnchor>
    <xdr:from>
      <xdr:col>9</xdr:col>
      <xdr:colOff>15240</xdr:colOff>
      <xdr:row>55</xdr:row>
      <xdr:rowOff>152400</xdr:rowOff>
    </xdr:from>
    <xdr:ext cx="314830" cy="357790"/>
    <xdr:sp macro="" textlink="">
      <xdr:nvSpPr>
        <xdr:cNvPr id="141" name="TextBox 140">
          <a:extLst>
            <a:ext uri="{FF2B5EF4-FFF2-40B4-BE49-F238E27FC236}">
              <a16:creationId xmlns:a16="http://schemas.microsoft.com/office/drawing/2014/main" id="{1437F077-1009-4714-AA00-D94EAB46685A}"/>
            </a:ext>
          </a:extLst>
        </xdr:cNvPr>
        <xdr:cNvSpPr txBox="1"/>
      </xdr:nvSpPr>
      <xdr:spPr>
        <a:xfrm>
          <a:off x="5577840" y="10347960"/>
          <a:ext cx="314830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>
              <a:latin typeface="Times New Roman" panose="02020603050405020304" pitchFamily="18" charset="0"/>
              <a:cs typeface="Times New Roman" panose="02020603050405020304" pitchFamily="18" charset="0"/>
            </a:rPr>
            <a:t>+</a:t>
          </a:r>
        </a:p>
      </xdr:txBody>
    </xdr:sp>
    <xdr:clientData/>
  </xdr:oneCellAnchor>
  <xdr:oneCellAnchor>
    <xdr:from>
      <xdr:col>10</xdr:col>
      <xdr:colOff>137160</xdr:colOff>
      <xdr:row>55</xdr:row>
      <xdr:rowOff>129540</xdr:rowOff>
    </xdr:from>
    <xdr:ext cx="314830" cy="357790"/>
    <xdr:sp macro="" textlink="">
      <xdr:nvSpPr>
        <xdr:cNvPr id="142" name="TextBox 141">
          <a:extLst>
            <a:ext uri="{FF2B5EF4-FFF2-40B4-BE49-F238E27FC236}">
              <a16:creationId xmlns:a16="http://schemas.microsoft.com/office/drawing/2014/main" id="{A13913D6-CFBA-479E-AEC5-8731A42A8675}"/>
            </a:ext>
          </a:extLst>
        </xdr:cNvPr>
        <xdr:cNvSpPr txBox="1"/>
      </xdr:nvSpPr>
      <xdr:spPr>
        <a:xfrm>
          <a:off x="6309360" y="10325100"/>
          <a:ext cx="314830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>
              <a:latin typeface="Times New Roman" panose="02020603050405020304" pitchFamily="18" charset="0"/>
              <a:cs typeface="Times New Roman" panose="02020603050405020304" pitchFamily="18" charset="0"/>
            </a:rPr>
            <a:t>+</a:t>
          </a:r>
        </a:p>
      </xdr:txBody>
    </xdr:sp>
    <xdr:clientData/>
  </xdr:oneCellAnchor>
  <xdr:twoCellAnchor>
    <xdr:from>
      <xdr:col>10</xdr:col>
      <xdr:colOff>22860</xdr:colOff>
      <xdr:row>54</xdr:row>
      <xdr:rowOff>76200</xdr:rowOff>
    </xdr:from>
    <xdr:to>
      <xdr:col>10</xdr:col>
      <xdr:colOff>285806</xdr:colOff>
      <xdr:row>54</xdr:row>
      <xdr:rowOff>76200</xdr:rowOff>
    </xdr:to>
    <xdr:cxnSp macro="">
      <xdr:nvCxnSpPr>
        <xdr:cNvPr id="143" name="Straight Arrow Connector 142">
          <a:extLst>
            <a:ext uri="{FF2B5EF4-FFF2-40B4-BE49-F238E27FC236}">
              <a16:creationId xmlns:a16="http://schemas.microsoft.com/office/drawing/2014/main" id="{D69D9C7B-6CB5-4FEE-A551-78DE58C714F0}"/>
            </a:ext>
          </a:extLst>
        </xdr:cNvPr>
        <xdr:cNvCxnSpPr/>
      </xdr:nvCxnSpPr>
      <xdr:spPr>
        <a:xfrm>
          <a:off x="6195060" y="10088880"/>
          <a:ext cx="262946" cy="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9</xdr:col>
      <xdr:colOff>396240</xdr:colOff>
      <xdr:row>53</xdr:row>
      <xdr:rowOff>121920</xdr:rowOff>
    </xdr:from>
    <xdr:ext cx="297389" cy="2727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5" name="TextBox 144">
              <a:extLst>
                <a:ext uri="{FF2B5EF4-FFF2-40B4-BE49-F238E27FC236}">
                  <a16:creationId xmlns:a16="http://schemas.microsoft.com/office/drawing/2014/main" id="{0CAC1C54-E27E-4BF9-9D38-1128C130E38F}"/>
                </a:ext>
              </a:extLst>
            </xdr:cNvPr>
            <xdr:cNvSpPr txBox="1"/>
          </xdr:nvSpPr>
          <xdr:spPr>
            <a:xfrm>
              <a:off x="5958840" y="9936480"/>
              <a:ext cx="297389" cy="2727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IN" sz="1200" b="0" i="1">
                        <a:latin typeface="Cambria Math" panose="02040503050406030204" pitchFamily="18" charset="0"/>
                        <a:cs typeface="Times New Roman" panose="02020603050405020304" pitchFamily="18" charset="0"/>
                      </a:rPr>
                      <m:t>𝑠</m:t>
                    </m:r>
                  </m:oMath>
                </m:oMathPara>
              </a14:m>
              <a:endParaRPr lang="en-IN" sz="1200" b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145" name="TextBox 144">
              <a:extLst>
                <a:ext uri="{FF2B5EF4-FFF2-40B4-BE49-F238E27FC236}">
                  <a16:creationId xmlns:a16="http://schemas.microsoft.com/office/drawing/2014/main" id="{0CAC1C54-E27E-4BF9-9D38-1128C130E38F}"/>
                </a:ext>
              </a:extLst>
            </xdr:cNvPr>
            <xdr:cNvSpPr txBox="1"/>
          </xdr:nvSpPr>
          <xdr:spPr>
            <a:xfrm>
              <a:off x="5958840" y="9936480"/>
              <a:ext cx="297389" cy="2727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IN" sz="1200" b="0" i="0">
                  <a:latin typeface="Cambria Math" panose="02040503050406030204" pitchFamily="18" charset="0"/>
                  <a:cs typeface="Times New Roman" panose="02020603050405020304" pitchFamily="18" charset="0"/>
                </a:rPr>
                <a:t>𝑠</a:t>
              </a:r>
              <a:endParaRPr lang="en-IN" sz="1200" b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twoCellAnchor>
    <xdr:from>
      <xdr:col>9</xdr:col>
      <xdr:colOff>160020</xdr:colOff>
      <xdr:row>54</xdr:row>
      <xdr:rowOff>76200</xdr:rowOff>
    </xdr:from>
    <xdr:to>
      <xdr:col>9</xdr:col>
      <xdr:colOff>464820</xdr:colOff>
      <xdr:row>54</xdr:row>
      <xdr:rowOff>76200</xdr:rowOff>
    </xdr:to>
    <xdr:cxnSp macro="">
      <xdr:nvCxnSpPr>
        <xdr:cNvPr id="146" name="Straight Arrow Connector 145">
          <a:extLst>
            <a:ext uri="{FF2B5EF4-FFF2-40B4-BE49-F238E27FC236}">
              <a16:creationId xmlns:a16="http://schemas.microsoft.com/office/drawing/2014/main" id="{919921AA-6D53-4698-AD7F-422CE0AE53B1}"/>
            </a:ext>
          </a:extLst>
        </xdr:cNvPr>
        <xdr:cNvCxnSpPr/>
      </xdr:nvCxnSpPr>
      <xdr:spPr>
        <a:xfrm flipH="1">
          <a:off x="5722620" y="10088880"/>
          <a:ext cx="304800" cy="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22860</xdr:colOff>
      <xdr:row>58</xdr:row>
      <xdr:rowOff>30480</xdr:rowOff>
    </xdr:from>
    <xdr:to>
      <xdr:col>11</xdr:col>
      <xdr:colOff>342900</xdr:colOff>
      <xdr:row>59</xdr:row>
      <xdr:rowOff>160020</xdr:rowOff>
    </xdr:to>
    <xdr:sp macro="" textlink="">
      <xdr:nvSpPr>
        <xdr:cNvPr id="148" name="Oval 147">
          <a:extLst>
            <a:ext uri="{FF2B5EF4-FFF2-40B4-BE49-F238E27FC236}">
              <a16:creationId xmlns:a16="http://schemas.microsoft.com/office/drawing/2014/main" id="{BCC90303-1F22-447E-A07D-2019826D9B82}"/>
            </a:ext>
          </a:extLst>
        </xdr:cNvPr>
        <xdr:cNvSpPr/>
      </xdr:nvSpPr>
      <xdr:spPr>
        <a:xfrm>
          <a:off x="6804660" y="10835640"/>
          <a:ext cx="320040" cy="31242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oneCellAnchor>
    <xdr:from>
      <xdr:col>11</xdr:col>
      <xdr:colOff>76200</xdr:colOff>
      <xdr:row>58</xdr:row>
      <xdr:rowOff>0</xdr:rowOff>
    </xdr:from>
    <xdr:ext cx="248786" cy="357790"/>
    <xdr:sp macro="" textlink="">
      <xdr:nvSpPr>
        <xdr:cNvPr id="149" name="TextBox 148">
          <a:extLst>
            <a:ext uri="{FF2B5EF4-FFF2-40B4-BE49-F238E27FC236}">
              <a16:creationId xmlns:a16="http://schemas.microsoft.com/office/drawing/2014/main" id="{E70B1D0F-3B89-4139-BF27-C183A766F293}"/>
            </a:ext>
          </a:extLst>
        </xdr:cNvPr>
        <xdr:cNvSpPr txBox="1"/>
      </xdr:nvSpPr>
      <xdr:spPr>
        <a:xfrm>
          <a:off x="6858000" y="10805160"/>
          <a:ext cx="248786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>
              <a:latin typeface="Times New Roman" panose="02020603050405020304" pitchFamily="18" charset="0"/>
              <a:cs typeface="Times New Roman" panose="02020603050405020304" pitchFamily="18" charset="0"/>
            </a:rPr>
            <a:t>i</a:t>
          </a:r>
        </a:p>
      </xdr:txBody>
    </xdr:sp>
    <xdr:clientData/>
  </xdr:oneCellAnchor>
  <xdr:twoCellAnchor>
    <xdr:from>
      <xdr:col>10</xdr:col>
      <xdr:colOff>67530</xdr:colOff>
      <xdr:row>55</xdr:row>
      <xdr:rowOff>103398</xdr:rowOff>
    </xdr:from>
    <xdr:to>
      <xdr:col>10</xdr:col>
      <xdr:colOff>503970</xdr:colOff>
      <xdr:row>57</xdr:row>
      <xdr:rowOff>102342</xdr:rowOff>
    </xdr:to>
    <xdr:cxnSp macro="">
      <xdr:nvCxnSpPr>
        <xdr:cNvPr id="151" name="Straight Arrow Connector 150">
          <a:extLst>
            <a:ext uri="{FF2B5EF4-FFF2-40B4-BE49-F238E27FC236}">
              <a16:creationId xmlns:a16="http://schemas.microsoft.com/office/drawing/2014/main" id="{BD9688A7-09CA-4887-8451-F408569FD238}"/>
            </a:ext>
          </a:extLst>
        </xdr:cNvPr>
        <xdr:cNvCxnSpPr>
          <a:stCxn id="133" idx="7"/>
          <a:endCxn id="133" idx="3"/>
        </xdr:cNvCxnSpPr>
      </xdr:nvCxnSpPr>
      <xdr:spPr>
        <a:xfrm flipH="1">
          <a:off x="6239730" y="10298958"/>
          <a:ext cx="436440" cy="4256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503970</xdr:colOff>
      <xdr:row>55</xdr:row>
      <xdr:rowOff>7620</xdr:rowOff>
    </xdr:from>
    <xdr:to>
      <xdr:col>11</xdr:col>
      <xdr:colOff>175260</xdr:colOff>
      <xdr:row>55</xdr:row>
      <xdr:rowOff>103398</xdr:rowOff>
    </xdr:to>
    <xdr:cxnSp macro="">
      <xdr:nvCxnSpPr>
        <xdr:cNvPr id="153" name="Connector: Curved 152">
          <a:extLst>
            <a:ext uri="{FF2B5EF4-FFF2-40B4-BE49-F238E27FC236}">
              <a16:creationId xmlns:a16="http://schemas.microsoft.com/office/drawing/2014/main" id="{8F6515CA-2363-4F6E-96C8-2997324A0726}"/>
            </a:ext>
          </a:extLst>
        </xdr:cNvPr>
        <xdr:cNvCxnSpPr>
          <a:stCxn id="133" idx="7"/>
        </xdr:cNvCxnSpPr>
      </xdr:nvCxnSpPr>
      <xdr:spPr>
        <a:xfrm rot="5400000" flipH="1" flipV="1">
          <a:off x="6768726" y="10110624"/>
          <a:ext cx="95778" cy="280890"/>
        </a:xfrm>
        <a:prstGeom prst="curvedConnector2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11</xdr:col>
      <xdr:colOff>160020</xdr:colOff>
      <xdr:row>53</xdr:row>
      <xdr:rowOff>182880</xdr:rowOff>
    </xdr:from>
    <xdr:ext cx="314317" cy="298800"/>
    <xdr:sp macro="" textlink="">
      <xdr:nvSpPr>
        <xdr:cNvPr id="154" name="TextBox 153">
          <a:extLst>
            <a:ext uri="{FF2B5EF4-FFF2-40B4-BE49-F238E27FC236}">
              <a16:creationId xmlns:a16="http://schemas.microsoft.com/office/drawing/2014/main" id="{29502B39-7EDB-4424-B991-DE70DF0C8917}"/>
            </a:ext>
          </a:extLst>
        </xdr:cNvPr>
        <xdr:cNvSpPr txBox="1"/>
      </xdr:nvSpPr>
      <xdr:spPr>
        <a:xfrm>
          <a:off x="6941820" y="9997440"/>
          <a:ext cx="314317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400"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</a:p>
      </xdr:txBody>
    </xdr:sp>
    <xdr:clientData/>
  </xdr:oneCellAnchor>
  <xdr:twoCellAnchor>
    <xdr:from>
      <xdr:col>10</xdr:col>
      <xdr:colOff>556260</xdr:colOff>
      <xdr:row>56</xdr:row>
      <xdr:rowOff>106680</xdr:rowOff>
    </xdr:from>
    <xdr:to>
      <xdr:col>11</xdr:col>
      <xdr:colOff>236220</xdr:colOff>
      <xdr:row>58</xdr:row>
      <xdr:rowOff>15240</xdr:rowOff>
    </xdr:to>
    <xdr:sp macro="" textlink="">
      <xdr:nvSpPr>
        <xdr:cNvPr id="155" name="Oval 154">
          <a:extLst>
            <a:ext uri="{FF2B5EF4-FFF2-40B4-BE49-F238E27FC236}">
              <a16:creationId xmlns:a16="http://schemas.microsoft.com/office/drawing/2014/main" id="{16A4E40E-ED1F-461E-B687-78A7E9DD9A0E}"/>
            </a:ext>
          </a:extLst>
        </xdr:cNvPr>
        <xdr:cNvSpPr/>
      </xdr:nvSpPr>
      <xdr:spPr>
        <a:xfrm>
          <a:off x="6728460" y="10530840"/>
          <a:ext cx="289560" cy="289560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oneCellAnchor>
    <xdr:from>
      <xdr:col>10</xdr:col>
      <xdr:colOff>601980</xdr:colOff>
      <xdr:row>56</xdr:row>
      <xdr:rowOff>68580</xdr:rowOff>
    </xdr:from>
    <xdr:ext cx="241669" cy="328295"/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id="{6CE6A16A-A546-419A-910E-A494892835E1}"/>
            </a:ext>
          </a:extLst>
        </xdr:cNvPr>
        <xdr:cNvSpPr txBox="1"/>
      </xdr:nvSpPr>
      <xdr:spPr>
        <a:xfrm>
          <a:off x="6774180" y="10492740"/>
          <a:ext cx="241669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600" b="0">
              <a:latin typeface="Times New Roman" panose="02020603050405020304" pitchFamily="18" charset="0"/>
              <a:cs typeface="Times New Roman" panose="02020603050405020304" pitchFamily="18" charset="0"/>
            </a:rPr>
            <a:t>j</a:t>
          </a:r>
        </a:p>
      </xdr:txBody>
    </xdr:sp>
    <xdr:clientData/>
  </xdr:oneCellAnchor>
  <xdr:twoCellAnchor>
    <xdr:from>
      <xdr:col>3</xdr:col>
      <xdr:colOff>556260</xdr:colOff>
      <xdr:row>66</xdr:row>
      <xdr:rowOff>7620</xdr:rowOff>
    </xdr:from>
    <xdr:to>
      <xdr:col>5</xdr:col>
      <xdr:colOff>7620</xdr:colOff>
      <xdr:row>70</xdr:row>
      <xdr:rowOff>167640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8976CB20-A4FE-496A-A026-695D082577B5}"/>
            </a:ext>
          </a:extLst>
        </xdr:cNvPr>
        <xdr:cNvCxnSpPr/>
      </xdr:nvCxnSpPr>
      <xdr:spPr>
        <a:xfrm flipV="1">
          <a:off x="2430780" y="13022580"/>
          <a:ext cx="701040" cy="89154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66</xdr:row>
      <xdr:rowOff>22860</xdr:rowOff>
    </xdr:from>
    <xdr:to>
      <xdr:col>8</xdr:col>
      <xdr:colOff>0</xdr:colOff>
      <xdr:row>70</xdr:row>
      <xdr:rowOff>175260</xdr:rowOff>
    </xdr:to>
    <xdr:cxnSp macro="">
      <xdr:nvCxnSpPr>
        <xdr:cNvPr id="103" name="Straight Connector 102">
          <a:extLst>
            <a:ext uri="{FF2B5EF4-FFF2-40B4-BE49-F238E27FC236}">
              <a16:creationId xmlns:a16="http://schemas.microsoft.com/office/drawing/2014/main" id="{242910C7-3341-4117-A5A6-AC17D1E95C8E}"/>
            </a:ext>
          </a:extLst>
        </xdr:cNvPr>
        <xdr:cNvCxnSpPr/>
      </xdr:nvCxnSpPr>
      <xdr:spPr>
        <a:xfrm flipH="1" flipV="1">
          <a:off x="3124200" y="13037820"/>
          <a:ext cx="1828800" cy="88392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548640</xdr:colOff>
      <xdr:row>70</xdr:row>
      <xdr:rowOff>175260</xdr:rowOff>
    </xdr:from>
    <xdr:to>
      <xdr:col>7</xdr:col>
      <xdr:colOff>601980</xdr:colOff>
      <xdr:row>70</xdr:row>
      <xdr:rowOff>175260</xdr:rowOff>
    </xdr:to>
    <xdr:cxnSp macro="">
      <xdr:nvCxnSpPr>
        <xdr:cNvPr id="109" name="Straight Connector 108">
          <a:extLst>
            <a:ext uri="{FF2B5EF4-FFF2-40B4-BE49-F238E27FC236}">
              <a16:creationId xmlns:a16="http://schemas.microsoft.com/office/drawing/2014/main" id="{B107FC8F-C7F0-46D9-AEB8-6856E733423C}"/>
            </a:ext>
          </a:extLst>
        </xdr:cNvPr>
        <xdr:cNvCxnSpPr/>
      </xdr:nvCxnSpPr>
      <xdr:spPr>
        <a:xfrm flipH="1">
          <a:off x="2423160" y="13921740"/>
          <a:ext cx="2522220" cy="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205740</xdr:colOff>
      <xdr:row>67</xdr:row>
      <xdr:rowOff>137160</xdr:rowOff>
    </xdr:from>
    <xdr:to>
      <xdr:col>5</xdr:col>
      <xdr:colOff>22860</xdr:colOff>
      <xdr:row>69</xdr:row>
      <xdr:rowOff>160020</xdr:rowOff>
    </xdr:to>
    <xdr:sp macro="" textlink="">
      <xdr:nvSpPr>
        <xdr:cNvPr id="111" name="Oval 110">
          <a:extLst>
            <a:ext uri="{FF2B5EF4-FFF2-40B4-BE49-F238E27FC236}">
              <a16:creationId xmlns:a16="http://schemas.microsoft.com/office/drawing/2014/main" id="{86079DC3-8A9F-47F2-847F-3B0EC3563CC4}"/>
            </a:ext>
          </a:extLst>
        </xdr:cNvPr>
        <xdr:cNvSpPr/>
      </xdr:nvSpPr>
      <xdr:spPr>
        <a:xfrm>
          <a:off x="2651760" y="13335000"/>
          <a:ext cx="495300" cy="388620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403860</xdr:colOff>
      <xdr:row>67</xdr:row>
      <xdr:rowOff>68580</xdr:rowOff>
    </xdr:from>
    <xdr:to>
      <xdr:col>6</xdr:col>
      <xdr:colOff>289560</xdr:colOff>
      <xdr:row>69</xdr:row>
      <xdr:rowOff>91440</xdr:rowOff>
    </xdr:to>
    <xdr:sp macro="" textlink="">
      <xdr:nvSpPr>
        <xdr:cNvPr id="113" name="Oval 112">
          <a:extLst>
            <a:ext uri="{FF2B5EF4-FFF2-40B4-BE49-F238E27FC236}">
              <a16:creationId xmlns:a16="http://schemas.microsoft.com/office/drawing/2014/main" id="{E327ADB0-A522-4B40-9DF9-938FFC2AE1F7}"/>
            </a:ext>
          </a:extLst>
        </xdr:cNvPr>
        <xdr:cNvSpPr/>
      </xdr:nvSpPr>
      <xdr:spPr>
        <a:xfrm>
          <a:off x="3528060" y="13266420"/>
          <a:ext cx="495300" cy="388620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45720</xdr:colOff>
      <xdr:row>69</xdr:row>
      <xdr:rowOff>91440</xdr:rowOff>
    </xdr:from>
    <xdr:to>
      <xdr:col>5</xdr:col>
      <xdr:colOff>541020</xdr:colOff>
      <xdr:row>71</xdr:row>
      <xdr:rowOff>114300</xdr:rowOff>
    </xdr:to>
    <xdr:sp macro="" textlink="">
      <xdr:nvSpPr>
        <xdr:cNvPr id="115" name="Oval 114">
          <a:extLst>
            <a:ext uri="{FF2B5EF4-FFF2-40B4-BE49-F238E27FC236}">
              <a16:creationId xmlns:a16="http://schemas.microsoft.com/office/drawing/2014/main" id="{A2FAC368-5FFA-43B1-A7E5-F74C8E05CD88}"/>
            </a:ext>
          </a:extLst>
        </xdr:cNvPr>
        <xdr:cNvSpPr/>
      </xdr:nvSpPr>
      <xdr:spPr>
        <a:xfrm>
          <a:off x="3169920" y="13655040"/>
          <a:ext cx="495300" cy="388620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oneCellAnchor>
    <xdr:from>
      <xdr:col>4</xdr:col>
      <xdr:colOff>381000</xdr:colOff>
      <xdr:row>67</xdr:row>
      <xdr:rowOff>167640</xdr:rowOff>
    </xdr:from>
    <xdr:ext cx="287258" cy="328295"/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id="{2DCDC411-D667-4885-997B-56A8FA22E8FD}"/>
            </a:ext>
          </a:extLst>
        </xdr:cNvPr>
        <xdr:cNvSpPr txBox="1"/>
      </xdr:nvSpPr>
      <xdr:spPr>
        <a:xfrm>
          <a:off x="2827020" y="13365480"/>
          <a:ext cx="287258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600" b="0">
              <a:latin typeface="Times New Roman" panose="02020603050405020304" pitchFamily="18" charset="0"/>
              <a:cs typeface="Times New Roman" panose="02020603050405020304" pitchFamily="18" charset="0"/>
            </a:rPr>
            <a:t>k</a:t>
          </a:r>
        </a:p>
      </xdr:txBody>
    </xdr:sp>
    <xdr:clientData/>
  </xdr:oneCellAnchor>
  <xdr:oneCellAnchor>
    <xdr:from>
      <xdr:col>5</xdr:col>
      <xdr:colOff>533400</xdr:colOff>
      <xdr:row>67</xdr:row>
      <xdr:rowOff>114300</xdr:rowOff>
    </xdr:from>
    <xdr:ext cx="241669" cy="328295"/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65844478-3990-418F-A84C-7025D2FBE76A}"/>
            </a:ext>
          </a:extLst>
        </xdr:cNvPr>
        <xdr:cNvSpPr txBox="1"/>
      </xdr:nvSpPr>
      <xdr:spPr>
        <a:xfrm>
          <a:off x="3657600" y="13312140"/>
          <a:ext cx="241669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600" b="0">
              <a:latin typeface="Times New Roman" panose="02020603050405020304" pitchFamily="18" charset="0"/>
              <a:cs typeface="Times New Roman" panose="02020603050405020304" pitchFamily="18" charset="0"/>
            </a:rPr>
            <a:t>j</a:t>
          </a:r>
        </a:p>
      </xdr:txBody>
    </xdr:sp>
    <xdr:clientData/>
  </xdr:oneCellAnchor>
  <xdr:oneCellAnchor>
    <xdr:from>
      <xdr:col>5</xdr:col>
      <xdr:colOff>175260</xdr:colOff>
      <xdr:row>69</xdr:row>
      <xdr:rowOff>76200</xdr:rowOff>
    </xdr:from>
    <xdr:ext cx="241669" cy="328295"/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E12C7546-C854-4243-871C-8E6FC6BEE423}"/>
            </a:ext>
          </a:extLst>
        </xdr:cNvPr>
        <xdr:cNvSpPr txBox="1"/>
      </xdr:nvSpPr>
      <xdr:spPr>
        <a:xfrm>
          <a:off x="3299460" y="13639800"/>
          <a:ext cx="241669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600" b="0">
              <a:latin typeface="Times New Roman" panose="02020603050405020304" pitchFamily="18" charset="0"/>
              <a:cs typeface="Times New Roman" panose="02020603050405020304" pitchFamily="18" charset="0"/>
            </a:rPr>
            <a:t>i</a:t>
          </a:r>
        </a:p>
      </xdr:txBody>
    </xdr:sp>
    <xdr:clientData/>
  </xdr:oneCellAnchor>
  <xdr:twoCellAnchor>
    <xdr:from>
      <xdr:col>5</xdr:col>
      <xdr:colOff>38100</xdr:colOff>
      <xdr:row>65</xdr:row>
      <xdr:rowOff>106680</xdr:rowOff>
    </xdr:from>
    <xdr:to>
      <xdr:col>8</xdr:col>
      <xdr:colOff>38100</xdr:colOff>
      <xdr:row>70</xdr:row>
      <xdr:rowOff>76200</xdr:rowOff>
    </xdr:to>
    <xdr:cxnSp macro="">
      <xdr:nvCxnSpPr>
        <xdr:cNvPr id="124" name="Straight Connector 123">
          <a:extLst>
            <a:ext uri="{FF2B5EF4-FFF2-40B4-BE49-F238E27FC236}">
              <a16:creationId xmlns:a16="http://schemas.microsoft.com/office/drawing/2014/main" id="{0C74D2FF-20E3-4D65-A720-DCE014189551}"/>
            </a:ext>
          </a:extLst>
        </xdr:cNvPr>
        <xdr:cNvCxnSpPr/>
      </xdr:nvCxnSpPr>
      <xdr:spPr>
        <a:xfrm flipH="1" flipV="1">
          <a:off x="3162300" y="12938760"/>
          <a:ext cx="1828800" cy="883920"/>
        </a:xfrm>
        <a:prstGeom prst="line">
          <a:avLst/>
        </a:prstGeom>
        <a:ln w="190500"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541020</xdr:colOff>
      <xdr:row>71</xdr:row>
      <xdr:rowOff>45720</xdr:rowOff>
    </xdr:from>
    <xdr:to>
      <xdr:col>8</xdr:col>
      <xdr:colOff>0</xdr:colOff>
      <xdr:row>71</xdr:row>
      <xdr:rowOff>45720</xdr:rowOff>
    </xdr:to>
    <xdr:cxnSp macro="">
      <xdr:nvCxnSpPr>
        <xdr:cNvPr id="125" name="Straight Connector 124">
          <a:extLst>
            <a:ext uri="{FF2B5EF4-FFF2-40B4-BE49-F238E27FC236}">
              <a16:creationId xmlns:a16="http://schemas.microsoft.com/office/drawing/2014/main" id="{B875A871-0A96-4031-831F-A9C5884F6F92}"/>
            </a:ext>
          </a:extLst>
        </xdr:cNvPr>
        <xdr:cNvCxnSpPr/>
      </xdr:nvCxnSpPr>
      <xdr:spPr>
        <a:xfrm flipH="1">
          <a:off x="2415540" y="14112240"/>
          <a:ext cx="2537460" cy="0"/>
        </a:xfrm>
        <a:prstGeom prst="line">
          <a:avLst/>
        </a:prstGeom>
        <a:ln w="190500"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457200</xdr:colOff>
      <xdr:row>65</xdr:row>
      <xdr:rowOff>121920</xdr:rowOff>
    </xdr:from>
    <xdr:to>
      <xdr:col>4</xdr:col>
      <xdr:colOff>601980</xdr:colOff>
      <xdr:row>70</xdr:row>
      <xdr:rowOff>121920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8F9C1E87-E897-4AEC-A343-69F21F9D674B}"/>
            </a:ext>
          </a:extLst>
        </xdr:cNvPr>
        <xdr:cNvCxnSpPr/>
      </xdr:nvCxnSpPr>
      <xdr:spPr>
        <a:xfrm flipV="1">
          <a:off x="2331720" y="12954000"/>
          <a:ext cx="716280" cy="914400"/>
        </a:xfrm>
        <a:prstGeom prst="line">
          <a:avLst/>
        </a:prstGeom>
        <a:ln w="190500"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358141</xdr:colOff>
      <xdr:row>66</xdr:row>
      <xdr:rowOff>45719</xdr:rowOff>
    </xdr:from>
    <xdr:ext cx="248978" cy="23275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50A0EF6E-65C8-413B-A9C7-DADD1AEC0EEA}"/>
                </a:ext>
              </a:extLst>
            </xdr:cNvPr>
            <xdr:cNvSpPr txBox="1"/>
          </xdr:nvSpPr>
          <xdr:spPr>
            <a:xfrm rot="1734002">
              <a:off x="4091941" y="13060679"/>
              <a:ext cx="248978" cy="2327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IN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IN" sz="14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n-IN" sz="14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IN" sz="11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50A0EF6E-65C8-413B-A9C7-DADD1AEC0EEA}"/>
                </a:ext>
              </a:extLst>
            </xdr:cNvPr>
            <xdr:cNvSpPr txBox="1"/>
          </xdr:nvSpPr>
          <xdr:spPr>
            <a:xfrm rot="1734002">
              <a:off x="4091941" y="13060679"/>
              <a:ext cx="248978" cy="2327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400" b="0" i="0">
                  <a:latin typeface="Cambria Math" panose="02040503050406030204" pitchFamily="18" charset="0"/>
                </a:rPr>
                <a:t>𝑊_𝑗</a:t>
              </a:r>
              <a:endParaRPr lang="en-IN" sz="11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5</xdr:col>
      <xdr:colOff>419100</xdr:colOff>
      <xdr:row>72</xdr:row>
      <xdr:rowOff>22860</xdr:rowOff>
    </xdr:from>
    <xdr:ext cx="249427" cy="21050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44" name="TextBox 143">
              <a:extLst>
                <a:ext uri="{FF2B5EF4-FFF2-40B4-BE49-F238E27FC236}">
                  <a16:creationId xmlns:a16="http://schemas.microsoft.com/office/drawing/2014/main" id="{0F033E5B-617C-430D-B891-230381121A24}"/>
                </a:ext>
              </a:extLst>
            </xdr:cNvPr>
            <xdr:cNvSpPr txBox="1"/>
          </xdr:nvSpPr>
          <xdr:spPr>
            <a:xfrm>
              <a:off x="3543300" y="14135100"/>
              <a:ext cx="249427" cy="210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IN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IN" sz="14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n-IN" sz="14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IN" sz="11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>
        <xdr:sp macro="" textlink="">
          <xdr:nvSpPr>
            <xdr:cNvPr id="144" name="TextBox 143">
              <a:extLst>
                <a:ext uri="{FF2B5EF4-FFF2-40B4-BE49-F238E27FC236}">
                  <a16:creationId xmlns:a16="http://schemas.microsoft.com/office/drawing/2014/main" id="{0F033E5B-617C-430D-B891-230381121A24}"/>
                </a:ext>
              </a:extLst>
            </xdr:cNvPr>
            <xdr:cNvSpPr txBox="1"/>
          </xdr:nvSpPr>
          <xdr:spPr>
            <a:xfrm>
              <a:off x="3543300" y="14135100"/>
              <a:ext cx="249427" cy="210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400" b="0" i="0">
                  <a:latin typeface="Cambria Math" panose="02040503050406030204" pitchFamily="18" charset="0"/>
                </a:rPr>
                <a:t>𝑊_𝑖</a:t>
              </a:r>
              <a:endParaRPr lang="en-IN" sz="11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3</xdr:col>
      <xdr:colOff>486344</xdr:colOff>
      <xdr:row>66</xdr:row>
      <xdr:rowOff>133044</xdr:rowOff>
    </xdr:from>
    <xdr:ext cx="282129" cy="21050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47" name="TextBox 146">
              <a:extLst>
                <a:ext uri="{FF2B5EF4-FFF2-40B4-BE49-F238E27FC236}">
                  <a16:creationId xmlns:a16="http://schemas.microsoft.com/office/drawing/2014/main" id="{FDF332BD-D3F2-4BAF-AA2A-2E76A7E242AF}"/>
                </a:ext>
              </a:extLst>
            </xdr:cNvPr>
            <xdr:cNvSpPr txBox="1"/>
          </xdr:nvSpPr>
          <xdr:spPr>
            <a:xfrm rot="953504">
              <a:off x="2360864" y="13148004"/>
              <a:ext cx="282129" cy="210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IN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IN" sz="14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n-IN" sz="14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</m:oMath>
                </m:oMathPara>
              </a14:m>
              <a:endParaRPr lang="en-IN" sz="11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>
        <xdr:sp macro="" textlink="">
          <xdr:nvSpPr>
            <xdr:cNvPr id="147" name="TextBox 146">
              <a:extLst>
                <a:ext uri="{FF2B5EF4-FFF2-40B4-BE49-F238E27FC236}">
                  <a16:creationId xmlns:a16="http://schemas.microsoft.com/office/drawing/2014/main" id="{FDF332BD-D3F2-4BAF-AA2A-2E76A7E242AF}"/>
                </a:ext>
              </a:extLst>
            </xdr:cNvPr>
            <xdr:cNvSpPr txBox="1"/>
          </xdr:nvSpPr>
          <xdr:spPr>
            <a:xfrm rot="953504">
              <a:off x="2360864" y="13148004"/>
              <a:ext cx="282129" cy="210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400" b="0" i="0">
                  <a:latin typeface="Cambria Math" panose="02040503050406030204" pitchFamily="18" charset="0"/>
                </a:rPr>
                <a:t>𝑊_𝑘</a:t>
              </a:r>
              <a:endParaRPr lang="en-IN" sz="11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twoCellAnchor>
    <xdr:from>
      <xdr:col>6</xdr:col>
      <xdr:colOff>594360</xdr:colOff>
      <xdr:row>67</xdr:row>
      <xdr:rowOff>60960</xdr:rowOff>
    </xdr:from>
    <xdr:to>
      <xdr:col>8</xdr:col>
      <xdr:colOff>121920</xdr:colOff>
      <xdr:row>69</xdr:row>
      <xdr:rowOff>106680</xdr:rowOff>
    </xdr:to>
    <xdr:cxnSp macro="">
      <xdr:nvCxnSpPr>
        <xdr:cNvPr id="150" name="Straight Arrow Connector 149">
          <a:extLst>
            <a:ext uri="{FF2B5EF4-FFF2-40B4-BE49-F238E27FC236}">
              <a16:creationId xmlns:a16="http://schemas.microsoft.com/office/drawing/2014/main" id="{88CDC1BB-6C7B-43D5-94B3-FAB2FDA70E4A}"/>
            </a:ext>
          </a:extLst>
        </xdr:cNvPr>
        <xdr:cNvCxnSpPr/>
      </xdr:nvCxnSpPr>
      <xdr:spPr>
        <a:xfrm>
          <a:off x="4328160" y="13258800"/>
          <a:ext cx="746760" cy="41148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182880</xdr:colOff>
      <xdr:row>64</xdr:row>
      <xdr:rowOff>121920</xdr:rowOff>
    </xdr:from>
    <xdr:to>
      <xdr:col>6</xdr:col>
      <xdr:colOff>320040</xdr:colOff>
      <xdr:row>66</xdr:row>
      <xdr:rowOff>121920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7510B932-6702-4AF5-8393-045214284633}"/>
            </a:ext>
          </a:extLst>
        </xdr:cNvPr>
        <xdr:cNvCxnSpPr/>
      </xdr:nvCxnSpPr>
      <xdr:spPr>
        <a:xfrm flipH="1" flipV="1">
          <a:off x="3307080" y="12755880"/>
          <a:ext cx="746760" cy="38100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236220</xdr:colOff>
      <xdr:row>68</xdr:row>
      <xdr:rowOff>7620</xdr:rowOff>
    </xdr:from>
    <xdr:to>
      <xdr:col>3</xdr:col>
      <xdr:colOff>472440</xdr:colOff>
      <xdr:row>70</xdr:row>
      <xdr:rowOff>0</xdr:rowOff>
    </xdr:to>
    <xdr:cxnSp macro="">
      <xdr:nvCxnSpPr>
        <xdr:cNvPr id="157" name="Straight Arrow Connector 156">
          <a:extLst>
            <a:ext uri="{FF2B5EF4-FFF2-40B4-BE49-F238E27FC236}">
              <a16:creationId xmlns:a16="http://schemas.microsoft.com/office/drawing/2014/main" id="{579E9086-C8E9-42A0-B4BF-D600A0663485}"/>
            </a:ext>
          </a:extLst>
        </xdr:cNvPr>
        <xdr:cNvCxnSpPr/>
      </xdr:nvCxnSpPr>
      <xdr:spPr>
        <a:xfrm flipH="1">
          <a:off x="2110740" y="13388340"/>
          <a:ext cx="236220" cy="35814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83820</xdr:colOff>
      <xdr:row>64</xdr:row>
      <xdr:rowOff>190500</xdr:rowOff>
    </xdr:from>
    <xdr:to>
      <xdr:col>4</xdr:col>
      <xdr:colOff>350520</xdr:colOff>
      <xdr:row>66</xdr:row>
      <xdr:rowOff>152400</xdr:rowOff>
    </xdr:to>
    <xdr:cxnSp macro="">
      <xdr:nvCxnSpPr>
        <xdr:cNvPr id="158" name="Straight Arrow Connector 157">
          <a:extLst>
            <a:ext uri="{FF2B5EF4-FFF2-40B4-BE49-F238E27FC236}">
              <a16:creationId xmlns:a16="http://schemas.microsoft.com/office/drawing/2014/main" id="{BC47CB7C-1562-436E-8DF2-11CF4532E372}"/>
            </a:ext>
          </a:extLst>
        </xdr:cNvPr>
        <xdr:cNvCxnSpPr/>
      </xdr:nvCxnSpPr>
      <xdr:spPr>
        <a:xfrm flipV="1">
          <a:off x="2529840" y="12824460"/>
          <a:ext cx="266700" cy="34290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45720</xdr:colOff>
      <xdr:row>72</xdr:row>
      <xdr:rowOff>121920</xdr:rowOff>
    </xdr:from>
    <xdr:to>
      <xdr:col>8</xdr:col>
      <xdr:colOff>15240</xdr:colOff>
      <xdr:row>72</xdr:row>
      <xdr:rowOff>121920</xdr:rowOff>
    </xdr:to>
    <xdr:cxnSp macro="">
      <xdr:nvCxnSpPr>
        <xdr:cNvPr id="159" name="Straight Arrow Connector 158">
          <a:extLst>
            <a:ext uri="{FF2B5EF4-FFF2-40B4-BE49-F238E27FC236}">
              <a16:creationId xmlns:a16="http://schemas.microsoft.com/office/drawing/2014/main" id="{08F7C33E-AFA4-444B-8CC4-E28777F49441}"/>
            </a:ext>
          </a:extLst>
        </xdr:cNvPr>
        <xdr:cNvCxnSpPr/>
      </xdr:nvCxnSpPr>
      <xdr:spPr>
        <a:xfrm>
          <a:off x="3779520" y="14234160"/>
          <a:ext cx="1188720" cy="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510540</xdr:colOff>
      <xdr:row>72</xdr:row>
      <xdr:rowOff>114300</xdr:rowOff>
    </xdr:from>
    <xdr:to>
      <xdr:col>5</xdr:col>
      <xdr:colOff>403860</xdr:colOff>
      <xdr:row>72</xdr:row>
      <xdr:rowOff>121920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D5A5A98D-A7CA-408C-B602-B78047EC818A}"/>
            </a:ext>
          </a:extLst>
        </xdr:cNvPr>
        <xdr:cNvCxnSpPr/>
      </xdr:nvCxnSpPr>
      <xdr:spPr>
        <a:xfrm flipH="1">
          <a:off x="2385060" y="14226540"/>
          <a:ext cx="1143000" cy="762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F7F7E-B59E-4514-804E-92B4953BA7D1}">
  <dimension ref="A1:W71"/>
  <sheetViews>
    <sheetView tabSelected="1" workbookViewId="0">
      <selection activeCell="L67" sqref="L67"/>
    </sheetView>
  </sheetViews>
  <sheetFormatPr defaultRowHeight="14.4" x14ac:dyDescent="0.3"/>
  <cols>
    <col min="2" max="2" width="9.5546875" customWidth="1"/>
    <col min="4" max="4" width="8.33203125" customWidth="1"/>
    <col min="5" max="5" width="9.88671875" customWidth="1"/>
  </cols>
  <sheetData>
    <row r="1" spans="1:14" x14ac:dyDescent="0.3">
      <c r="A1" s="12" t="s">
        <v>25</v>
      </c>
      <c r="B1" s="11"/>
      <c r="C1" s="11"/>
      <c r="D1" s="11"/>
      <c r="E1" s="11"/>
      <c r="F1" s="11"/>
    </row>
    <row r="2" spans="1:14" x14ac:dyDescent="0.3">
      <c r="A2" s="11"/>
      <c r="B2" s="11"/>
      <c r="C2" s="11"/>
      <c r="D2" s="11"/>
      <c r="E2" s="11"/>
      <c r="F2" s="11"/>
    </row>
    <row r="5" spans="1:14" ht="15.6" x14ac:dyDescent="0.3">
      <c r="A5" s="9" t="s">
        <v>16</v>
      </c>
      <c r="B5" s="9"/>
      <c r="C5" s="9"/>
      <c r="D5" s="9"/>
      <c r="E5" s="9"/>
      <c r="F5" s="9"/>
      <c r="N5" s="4"/>
    </row>
    <row r="6" spans="1:14" ht="18" customHeight="1" x14ac:dyDescent="0.4">
      <c r="A6" s="9"/>
      <c r="B6" s="9"/>
      <c r="C6" s="9"/>
      <c r="D6" s="9"/>
      <c r="E6" s="9"/>
      <c r="F6" s="9"/>
      <c r="H6" s="1" t="s">
        <v>20</v>
      </c>
      <c r="M6" s="3" t="s">
        <v>2</v>
      </c>
      <c r="N6" s="6">
        <f>H7/E10</f>
        <v>2</v>
      </c>
    </row>
    <row r="7" spans="1:14" ht="18" x14ac:dyDescent="0.4">
      <c r="H7" s="13">
        <v>10</v>
      </c>
      <c r="M7" s="3" t="s">
        <v>3</v>
      </c>
      <c r="N7" s="6">
        <f>H13/E10</f>
        <v>2.4</v>
      </c>
    </row>
    <row r="8" spans="1:14" ht="18" x14ac:dyDescent="0.4">
      <c r="M8" s="3" t="s">
        <v>4</v>
      </c>
      <c r="N8" s="6">
        <f>(POWER((N6+N7)^2+4,0.5)-POWER((N6-N7)^2+4,0.5))/(2*N6)</f>
        <v>0.69840264600017876</v>
      </c>
    </row>
    <row r="9" spans="1:14" ht="15.6" x14ac:dyDescent="0.3">
      <c r="M9" s="3"/>
      <c r="N9" s="4"/>
    </row>
    <row r="10" spans="1:14" ht="15.6" x14ac:dyDescent="0.3">
      <c r="C10" s="4"/>
      <c r="D10" s="1" t="s">
        <v>22</v>
      </c>
      <c r="E10" s="13">
        <v>5</v>
      </c>
      <c r="M10" s="3"/>
      <c r="N10" s="4"/>
    </row>
    <row r="11" spans="1:14" ht="15.6" x14ac:dyDescent="0.3">
      <c r="C11" s="4"/>
      <c r="M11" s="3"/>
      <c r="N11" s="4"/>
    </row>
    <row r="12" spans="1:14" ht="15.6" x14ac:dyDescent="0.3">
      <c r="C12" s="4"/>
      <c r="M12" s="3"/>
      <c r="N12" s="4"/>
    </row>
    <row r="13" spans="1:14" ht="15.6" x14ac:dyDescent="0.3">
      <c r="C13" s="4"/>
      <c r="H13" s="13">
        <v>12</v>
      </c>
      <c r="M13" s="3"/>
      <c r="N13" s="4"/>
    </row>
    <row r="14" spans="1:14" ht="18" x14ac:dyDescent="0.4">
      <c r="C14" s="4"/>
      <c r="H14" s="1" t="s">
        <v>21</v>
      </c>
      <c r="M14" s="3"/>
      <c r="N14" s="4"/>
    </row>
    <row r="15" spans="1:14" ht="15.6" x14ac:dyDescent="0.3">
      <c r="C15" s="4"/>
      <c r="M15" s="3"/>
      <c r="N15" s="4"/>
    </row>
    <row r="16" spans="1:14" ht="15.6" x14ac:dyDescent="0.3">
      <c r="C16" s="4"/>
      <c r="M16" s="3"/>
      <c r="N16" s="4"/>
    </row>
    <row r="17" spans="1:14" ht="15.6" x14ac:dyDescent="0.3">
      <c r="A17" s="10" t="s">
        <v>15</v>
      </c>
      <c r="B17" s="10"/>
      <c r="C17" s="10"/>
      <c r="D17" s="10"/>
      <c r="E17" s="10"/>
      <c r="F17" s="10"/>
      <c r="M17" s="3"/>
      <c r="N17" s="4"/>
    </row>
    <row r="18" spans="1:14" ht="18" x14ac:dyDescent="0.4">
      <c r="B18" s="1" t="s">
        <v>1</v>
      </c>
      <c r="C18" s="13">
        <v>30</v>
      </c>
      <c r="M18" s="3" t="s">
        <v>4</v>
      </c>
      <c r="N18" s="6">
        <f>1-SIN(C18/2)</f>
        <v>0.34971215984288317</v>
      </c>
    </row>
    <row r="19" spans="1:14" ht="15.6" x14ac:dyDescent="0.3">
      <c r="C19" s="4"/>
      <c r="N19" s="4"/>
    </row>
    <row r="20" spans="1:14" ht="15.6" x14ac:dyDescent="0.3">
      <c r="C20" s="4"/>
      <c r="N20" s="4"/>
    </row>
    <row r="21" spans="1:14" ht="15.6" x14ac:dyDescent="0.3">
      <c r="C21" s="4"/>
      <c r="N21" s="4"/>
    </row>
    <row r="22" spans="1:14" ht="15.6" x14ac:dyDescent="0.3">
      <c r="C22" s="4"/>
      <c r="N22" s="4"/>
    </row>
    <row r="23" spans="1:14" ht="15.6" x14ac:dyDescent="0.3">
      <c r="A23" s="8" t="s">
        <v>24</v>
      </c>
      <c r="B23" s="8"/>
      <c r="C23" s="8"/>
      <c r="N23" s="4"/>
    </row>
    <row r="24" spans="1:14" ht="15.6" x14ac:dyDescent="0.3">
      <c r="N24" s="4"/>
    </row>
    <row r="25" spans="1:14" ht="18" x14ac:dyDescent="0.4">
      <c r="M25" s="3" t="s">
        <v>4</v>
      </c>
      <c r="N25" s="6">
        <f>(1+(F26/H31)-(1+(F26/H31)^2)^0.5)/2</f>
        <v>0.31897503240933467</v>
      </c>
    </row>
    <row r="26" spans="1:14" ht="18" x14ac:dyDescent="0.4">
      <c r="B26" s="1"/>
      <c r="C26" s="4"/>
      <c r="E26" s="1" t="s">
        <v>21</v>
      </c>
      <c r="F26" s="13">
        <v>12</v>
      </c>
      <c r="N26" s="4"/>
    </row>
    <row r="27" spans="1:14" ht="15.6" x14ac:dyDescent="0.3">
      <c r="C27" s="4"/>
    </row>
    <row r="28" spans="1:14" ht="15.6" x14ac:dyDescent="0.3">
      <c r="C28" s="4"/>
    </row>
    <row r="29" spans="1:14" x14ac:dyDescent="0.3">
      <c r="C29" s="7"/>
    </row>
    <row r="30" spans="1:14" ht="18" x14ac:dyDescent="0.4">
      <c r="C30" s="7"/>
      <c r="H30" s="1" t="s">
        <v>23</v>
      </c>
    </row>
    <row r="31" spans="1:14" ht="15.6" x14ac:dyDescent="0.3">
      <c r="C31" s="7"/>
      <c r="H31" s="13">
        <v>10</v>
      </c>
    </row>
    <row r="32" spans="1:14" x14ac:dyDescent="0.3">
      <c r="C32" s="7"/>
    </row>
    <row r="33" spans="1:23" x14ac:dyDescent="0.3">
      <c r="C33" s="7"/>
    </row>
    <row r="34" spans="1:23" ht="15.6" x14ac:dyDescent="0.3">
      <c r="A34" s="10" t="s">
        <v>14</v>
      </c>
      <c r="B34" s="10"/>
      <c r="C34" s="10"/>
      <c r="D34" s="10"/>
    </row>
    <row r="35" spans="1:23" ht="15.6" x14ac:dyDescent="0.3">
      <c r="B35" s="3" t="s">
        <v>5</v>
      </c>
      <c r="C35" s="14">
        <v>5</v>
      </c>
    </row>
    <row r="36" spans="1:23" ht="15.6" x14ac:dyDescent="0.3">
      <c r="B36" s="3" t="s">
        <v>6</v>
      </c>
      <c r="C36" s="14">
        <v>10</v>
      </c>
      <c r="V36" t="s">
        <v>8</v>
      </c>
      <c r="W36">
        <f>C36/C35</f>
        <v>2</v>
      </c>
    </row>
    <row r="37" spans="1:23" ht="18" x14ac:dyDescent="0.4">
      <c r="B37" s="3" t="s">
        <v>7</v>
      </c>
      <c r="C37" s="14">
        <v>4</v>
      </c>
      <c r="M37" s="3" t="s">
        <v>4</v>
      </c>
      <c r="N37" s="5">
        <f>(1/(2*PI())*(PI()+(W37*W37-(W36+1)^2)^0.5-(W37*W37-(W36-1)^2)^0.5+(W36-1)*ACOS((W36/W37)-(1/W37))-(W36+1)*ACOS((W36/W37)+(1/W37))))</f>
        <v>9.2586423117597724E-2</v>
      </c>
      <c r="V37" t="s">
        <v>9</v>
      </c>
      <c r="W37">
        <f>1+W36+C37</f>
        <v>7</v>
      </c>
    </row>
    <row r="38" spans="1:23" ht="15.6" x14ac:dyDescent="0.3">
      <c r="B38" s="3"/>
      <c r="C38" s="7"/>
    </row>
    <row r="39" spans="1:23" x14ac:dyDescent="0.3">
      <c r="C39" s="7"/>
    </row>
    <row r="43" spans="1:23" ht="15.6" x14ac:dyDescent="0.3">
      <c r="A43" s="10" t="s">
        <v>13</v>
      </c>
      <c r="B43" s="10"/>
      <c r="C43" s="10"/>
      <c r="D43" s="10"/>
    </row>
    <row r="44" spans="1:23" ht="15.6" x14ac:dyDescent="0.3">
      <c r="B44" s="1" t="s">
        <v>10</v>
      </c>
      <c r="C44" s="14">
        <v>5</v>
      </c>
    </row>
    <row r="45" spans="1:23" ht="18" x14ac:dyDescent="0.4">
      <c r="B45" s="1" t="s">
        <v>11</v>
      </c>
      <c r="C45" s="14">
        <v>10</v>
      </c>
      <c r="M45" s="3" t="s">
        <v>4</v>
      </c>
      <c r="N45" s="2">
        <f>(C44/(C45-C46))*(ATAN(C45/C47)-ATAN(C46/C47))</f>
        <v>0.28034461976181019</v>
      </c>
    </row>
    <row r="46" spans="1:23" ht="15.6" x14ac:dyDescent="0.3">
      <c r="B46" s="1" t="s">
        <v>12</v>
      </c>
      <c r="C46" s="14">
        <v>7</v>
      </c>
    </row>
    <row r="47" spans="1:23" ht="15.6" x14ac:dyDescent="0.3">
      <c r="B47" s="1" t="s">
        <v>0</v>
      </c>
      <c r="C47" s="14">
        <v>6</v>
      </c>
    </row>
    <row r="54" spans="1:14" ht="15.6" x14ac:dyDescent="0.3">
      <c r="A54" s="10" t="s">
        <v>17</v>
      </c>
      <c r="B54" s="10"/>
      <c r="C54" s="10"/>
      <c r="D54" s="10"/>
    </row>
    <row r="56" spans="1:14" ht="18" x14ac:dyDescent="0.4">
      <c r="B56" s="1" t="s">
        <v>18</v>
      </c>
      <c r="C56" s="14">
        <v>4</v>
      </c>
      <c r="M56" s="3" t="s">
        <v>4</v>
      </c>
      <c r="N56" s="2">
        <f>1-(1-POWER((C56/C57),2)^0.5+(C56/C57)*ATAN(((C57^2-C56^2)/(C56^2))^0.5))</f>
        <v>0.28519911296537248</v>
      </c>
    </row>
    <row r="57" spans="1:14" ht="15.6" x14ac:dyDescent="0.3">
      <c r="B57" s="1" t="s">
        <v>19</v>
      </c>
      <c r="C57" s="14">
        <v>5</v>
      </c>
    </row>
    <row r="65" spans="1:14" ht="15.6" x14ac:dyDescent="0.3">
      <c r="A65" s="10" t="s">
        <v>26</v>
      </c>
      <c r="B65" s="15"/>
      <c r="C65" s="15"/>
      <c r="D65" s="15"/>
    </row>
    <row r="69" spans="1:14" ht="18" x14ac:dyDescent="0.4">
      <c r="B69" s="1" t="s">
        <v>28</v>
      </c>
      <c r="C69" s="16"/>
    </row>
    <row r="70" spans="1:14" ht="18" x14ac:dyDescent="0.4">
      <c r="B70" s="1" t="s">
        <v>29</v>
      </c>
      <c r="C70" s="16"/>
      <c r="M70" s="3" t="s">
        <v>4</v>
      </c>
      <c r="N70" s="2" t="e">
        <f>(C69+C70-C71)/(2*C69)</f>
        <v>#DIV/0!</v>
      </c>
    </row>
    <row r="71" spans="1:14" ht="18" x14ac:dyDescent="0.4">
      <c r="B71" s="1" t="s">
        <v>27</v>
      </c>
      <c r="C71" s="16"/>
    </row>
  </sheetData>
  <mergeCells count="7">
    <mergeCell ref="A1:F2"/>
    <mergeCell ref="A65:D65"/>
    <mergeCell ref="A5:F6"/>
    <mergeCell ref="A54:D54"/>
    <mergeCell ref="A43:D43"/>
    <mergeCell ref="A34:D34"/>
    <mergeCell ref="A17:F1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Alpish</dc:creator>
  <cp:lastModifiedBy>Alpish</cp:lastModifiedBy>
  <dcterms:created xsi:type="dcterms:W3CDTF">2019-08-05T09:25:04Z</dcterms:created>
  <dcterms:modified xsi:type="dcterms:W3CDTF">2019-08-18T10:01:57Z</dcterms:modified>
</cp:coreProperties>
</file>