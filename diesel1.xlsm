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pish\Documents\excel applications\tools\"/>
    </mc:Choice>
  </mc:AlternateContent>
  <xr:revisionPtr revIDLastSave="0" documentId="13_ncr:1_{27D1EA33-39AE-4C3C-8228-1C5FCDCA022D}" xr6:coauthVersionLast="45" xr6:coauthVersionMax="45" xr10:uidLastSave="{00000000-0000-0000-0000-000000000000}"/>
  <workbookProtection workbookAlgorithmName="SHA-512" workbookHashValue="0OnFyTCRKULIYbFhAZICuHnikx2sJWmRkoPL70bd+ji/bU9AsiIuwaDHJkUDEf3XYxEdpv8oA6YTsaVtnJeoUg==" workbookSaltValue="Lqy2nlte4F2gHDSEN2J39Q==" workbookSpinCount="100000" lockStructure="1"/>
  <bookViews>
    <workbookView xWindow="-108" yWindow="-108" windowWidth="23256" windowHeight="12576" xr2:uid="{E5F2954E-BF43-43F9-95E3-E570831BF832}"/>
  </bookViews>
  <sheets>
    <sheet name="Mainsheet" sheetId="1" r:id="rId1"/>
    <sheet name="Data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4" i="1" l="1"/>
  <c r="D22" i="1"/>
  <c r="P2" i="2" l="1"/>
  <c r="F26" i="1"/>
  <c r="R2" i="2"/>
  <c r="F18" i="1"/>
  <c r="M2" i="2" s="1"/>
  <c r="M3" i="2" s="1"/>
  <c r="M4" i="2" s="1"/>
  <c r="M5" i="2" s="1"/>
  <c r="M6" i="2" s="1"/>
  <c r="M7" i="2" s="1"/>
  <c r="M8" i="2" s="1"/>
  <c r="M9" i="2" s="1"/>
  <c r="M10" i="2" s="1"/>
  <c r="M11" i="2" s="1"/>
  <c r="M12" i="2" s="1"/>
  <c r="M13" i="2" s="1"/>
  <c r="M14" i="2" s="1"/>
  <c r="M15" i="2" s="1"/>
  <c r="M16" i="2" s="1"/>
  <c r="M17" i="2" s="1"/>
  <c r="M18" i="2" s="1"/>
  <c r="M19" i="2" s="1"/>
  <c r="M20" i="2" s="1"/>
  <c r="M21" i="2" s="1"/>
  <c r="M22" i="2" s="1"/>
  <c r="M23" i="2" s="1"/>
  <c r="M24" i="2" s="1"/>
  <c r="M25" i="2" s="1"/>
  <c r="M26" i="2" s="1"/>
  <c r="M27" i="2" s="1"/>
  <c r="M28" i="2" s="1"/>
  <c r="M29" i="2" s="1"/>
  <c r="M30" i="2" s="1"/>
  <c r="M31" i="2" s="1"/>
  <c r="M32" i="2" s="1"/>
  <c r="M33" i="2" s="1"/>
  <c r="M34" i="2" s="1"/>
  <c r="M35" i="2" s="1"/>
  <c r="M36" i="2" s="1"/>
  <c r="M37" i="2" s="1"/>
  <c r="M38" i="2" s="1"/>
  <c r="M39" i="2" s="1"/>
  <c r="M40" i="2" s="1"/>
  <c r="M41" i="2" s="1"/>
  <c r="M42" i="2" s="1"/>
  <c r="M43" i="2" s="1"/>
  <c r="M44" i="2" s="1"/>
  <c r="M45" i="2" s="1"/>
  <c r="M46" i="2" s="1"/>
  <c r="M47" i="2" s="1"/>
  <c r="M48" i="2" s="1"/>
  <c r="M49" i="2" s="1"/>
  <c r="M50" i="2" s="1"/>
  <c r="M51" i="2" s="1"/>
  <c r="M52" i="2" s="1"/>
  <c r="M53" i="2" s="1"/>
  <c r="M54" i="2" s="1"/>
  <c r="M55" i="2" s="1"/>
  <c r="M56" i="2" s="1"/>
  <c r="M57" i="2" s="1"/>
  <c r="M58" i="2" s="1"/>
  <c r="M59" i="2" s="1"/>
  <c r="M60" i="2" s="1"/>
  <c r="M61" i="2" s="1"/>
  <c r="M62" i="2" s="1"/>
  <c r="M63" i="2" s="1"/>
  <c r="M64" i="2" s="1"/>
  <c r="M65" i="2" s="1"/>
  <c r="M66" i="2" s="1"/>
  <c r="M67" i="2" s="1"/>
  <c r="M68" i="2" s="1"/>
  <c r="M69" i="2" s="1"/>
  <c r="M70" i="2" s="1"/>
  <c r="M71" i="2" s="1"/>
  <c r="M72" i="2" s="1"/>
  <c r="M73" i="2" s="1"/>
  <c r="M74" i="2" s="1"/>
  <c r="M75" i="2" s="1"/>
  <c r="M76" i="2" s="1"/>
  <c r="M77" i="2" s="1"/>
  <c r="M78" i="2" s="1"/>
  <c r="M79" i="2" s="1"/>
  <c r="M80" i="2" s="1"/>
  <c r="M81" i="2" s="1"/>
  <c r="M82" i="2" s="1"/>
  <c r="M83" i="2" s="1"/>
  <c r="M84" i="2" s="1"/>
  <c r="M85" i="2" s="1"/>
  <c r="M86" i="2" s="1"/>
  <c r="M87" i="2" s="1"/>
  <c r="M88" i="2" s="1"/>
  <c r="M89" i="2" s="1"/>
  <c r="M90" i="2" s="1"/>
  <c r="M91" i="2" s="1"/>
  <c r="M92" i="2" s="1"/>
  <c r="M93" i="2" s="1"/>
  <c r="M94" i="2" s="1"/>
  <c r="M95" i="2" s="1"/>
  <c r="M96" i="2" s="1"/>
  <c r="M97" i="2" s="1"/>
  <c r="M98" i="2" s="1"/>
  <c r="M99" i="2" s="1"/>
  <c r="M100" i="2" s="1"/>
  <c r="M101" i="2" s="1"/>
  <c r="M102" i="2" s="1"/>
  <c r="D18" i="1"/>
  <c r="D20" i="1" s="1"/>
  <c r="N2" i="2" s="1"/>
  <c r="N3" i="2" s="1"/>
  <c r="N4" i="2" s="1"/>
  <c r="N5" i="2" s="1"/>
  <c r="N6" i="2" s="1"/>
  <c r="N7" i="2" s="1"/>
  <c r="N8" i="2" s="1"/>
  <c r="N9" i="2" s="1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N37" i="2" s="1"/>
  <c r="N38" i="2" s="1"/>
  <c r="N39" i="2" s="1"/>
  <c r="N40" i="2" s="1"/>
  <c r="N41" i="2" s="1"/>
  <c r="N42" i="2" s="1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C18" i="1"/>
  <c r="A2" i="2" s="1"/>
  <c r="I7" i="1"/>
  <c r="E18" i="1" s="1"/>
  <c r="B2" i="2" s="1"/>
  <c r="I5" i="1"/>
  <c r="V22" i="1" s="1"/>
  <c r="I6" i="1" l="1"/>
  <c r="G22" i="1" s="1"/>
  <c r="K21" i="1" s="1"/>
  <c r="C20" i="1"/>
  <c r="D2" i="2" s="1"/>
  <c r="D3" i="2" s="1"/>
  <c r="D4" i="2" s="1"/>
  <c r="D5" i="2" s="1"/>
  <c r="D6" i="2" s="1"/>
  <c r="D7" i="2" s="1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C26" i="1"/>
  <c r="E26" i="1"/>
  <c r="G18" i="1"/>
  <c r="G26" i="1" s="1"/>
  <c r="K25" i="1" s="1"/>
  <c r="D26" i="1"/>
  <c r="R3" i="2" s="1"/>
  <c r="R4" i="2" s="1"/>
  <c r="R5" i="2" s="1"/>
  <c r="R6" i="2" s="1"/>
  <c r="R7" i="2" s="1"/>
  <c r="R8" i="2" s="1"/>
  <c r="R9" i="2" s="1"/>
  <c r="R10" i="2" s="1"/>
  <c r="R11" i="2" s="1"/>
  <c r="R12" i="2" s="1"/>
  <c r="R13" i="2" s="1"/>
  <c r="R14" i="2" s="1"/>
  <c r="R15" i="2" s="1"/>
  <c r="R16" i="2" s="1"/>
  <c r="R17" i="2" s="1"/>
  <c r="R18" i="2" s="1"/>
  <c r="R19" i="2" s="1"/>
  <c r="R20" i="2" s="1"/>
  <c r="R21" i="2" s="1"/>
  <c r="R22" i="2" s="1"/>
  <c r="R23" i="2" s="1"/>
  <c r="R24" i="2" s="1"/>
  <c r="R25" i="2" s="1"/>
  <c r="R26" i="2" s="1"/>
  <c r="R27" i="2" s="1"/>
  <c r="R28" i="2" s="1"/>
  <c r="R29" i="2" s="1"/>
  <c r="R30" i="2" s="1"/>
  <c r="R31" i="2" s="1"/>
  <c r="R32" i="2" s="1"/>
  <c r="R33" i="2" s="1"/>
  <c r="R34" i="2" s="1"/>
  <c r="R35" i="2" s="1"/>
  <c r="R36" i="2" s="1"/>
  <c r="R37" i="2" s="1"/>
  <c r="R38" i="2" s="1"/>
  <c r="R39" i="2" s="1"/>
  <c r="R40" i="2" s="1"/>
  <c r="R41" i="2" s="1"/>
  <c r="R42" i="2" s="1"/>
  <c r="R43" i="2" s="1"/>
  <c r="R44" i="2" s="1"/>
  <c r="R45" i="2" s="1"/>
  <c r="R46" i="2" s="1"/>
  <c r="R47" i="2" s="1"/>
  <c r="R48" i="2" s="1"/>
  <c r="R49" i="2" s="1"/>
  <c r="R50" i="2" s="1"/>
  <c r="R51" i="2" s="1"/>
  <c r="R52" i="2" s="1"/>
  <c r="R53" i="2" s="1"/>
  <c r="R54" i="2" s="1"/>
  <c r="R55" i="2" s="1"/>
  <c r="R56" i="2" s="1"/>
  <c r="R57" i="2" s="1"/>
  <c r="R58" i="2" s="1"/>
  <c r="R59" i="2" s="1"/>
  <c r="R60" i="2" s="1"/>
  <c r="R61" i="2" s="1"/>
  <c r="R62" i="2" s="1"/>
  <c r="R63" i="2" s="1"/>
  <c r="R64" i="2" s="1"/>
  <c r="R65" i="2" s="1"/>
  <c r="R66" i="2" s="1"/>
  <c r="R67" i="2" s="1"/>
  <c r="R68" i="2" s="1"/>
  <c r="R69" i="2" s="1"/>
  <c r="R70" i="2" s="1"/>
  <c r="R71" i="2" s="1"/>
  <c r="R72" i="2" s="1"/>
  <c r="R73" i="2" s="1"/>
  <c r="R74" i="2" s="1"/>
  <c r="R75" i="2" s="1"/>
  <c r="R76" i="2" s="1"/>
  <c r="R77" i="2" s="1"/>
  <c r="R78" i="2" s="1"/>
  <c r="R79" i="2" s="1"/>
  <c r="R80" i="2" s="1"/>
  <c r="R81" i="2" s="1"/>
  <c r="R82" i="2" s="1"/>
  <c r="R83" i="2" s="1"/>
  <c r="R84" i="2" s="1"/>
  <c r="R85" i="2" s="1"/>
  <c r="R86" i="2" s="1"/>
  <c r="R87" i="2" s="1"/>
  <c r="R88" i="2" s="1"/>
  <c r="R89" i="2" s="1"/>
  <c r="R90" i="2" s="1"/>
  <c r="R91" i="2" s="1"/>
  <c r="R92" i="2" s="1"/>
  <c r="R93" i="2" s="1"/>
  <c r="R94" i="2" s="1"/>
  <c r="R95" i="2" s="1"/>
  <c r="R96" i="2" s="1"/>
  <c r="R97" i="2" s="1"/>
  <c r="R98" i="2" s="1"/>
  <c r="R99" i="2" s="1"/>
  <c r="R100" i="2" s="1"/>
  <c r="R101" i="2" s="1"/>
  <c r="R102" i="2" s="1"/>
  <c r="E20" i="1"/>
  <c r="E24" i="1" s="1"/>
  <c r="J2" i="2" s="1"/>
  <c r="J3" i="2" s="1"/>
  <c r="J4" i="2" s="1"/>
  <c r="J5" i="2" s="1"/>
  <c r="J6" i="2" s="1"/>
  <c r="J7" i="2" s="1"/>
  <c r="J8" i="2" s="1"/>
  <c r="J9" i="2" s="1"/>
  <c r="J10" i="2" s="1"/>
  <c r="J11" i="2" s="1"/>
  <c r="J12" i="2" s="1"/>
  <c r="J13" i="2" s="1"/>
  <c r="J14" i="2" s="1"/>
  <c r="J15" i="2" s="1"/>
  <c r="J16" i="2" s="1"/>
  <c r="J17" i="2" s="1"/>
  <c r="J18" i="2" s="1"/>
  <c r="J19" i="2" s="1"/>
  <c r="J20" i="2" s="1"/>
  <c r="J21" i="2" s="1"/>
  <c r="J22" i="2" s="1"/>
  <c r="J23" i="2" s="1"/>
  <c r="J24" i="2" s="1"/>
  <c r="J25" i="2" s="1"/>
  <c r="J26" i="2" s="1"/>
  <c r="J27" i="2" s="1"/>
  <c r="J28" i="2" s="1"/>
  <c r="J29" i="2" s="1"/>
  <c r="J30" i="2" s="1"/>
  <c r="J31" i="2" s="1"/>
  <c r="J32" i="2" s="1"/>
  <c r="J33" i="2" s="1"/>
  <c r="J34" i="2" s="1"/>
  <c r="J35" i="2" s="1"/>
  <c r="J36" i="2" s="1"/>
  <c r="J37" i="2" s="1"/>
  <c r="J38" i="2" s="1"/>
  <c r="J39" i="2" s="1"/>
  <c r="J40" i="2" s="1"/>
  <c r="J41" i="2" s="1"/>
  <c r="J42" i="2" s="1"/>
  <c r="J43" i="2" s="1"/>
  <c r="J44" i="2" s="1"/>
  <c r="J45" i="2" s="1"/>
  <c r="J46" i="2" s="1"/>
  <c r="J47" i="2" s="1"/>
  <c r="J48" i="2" s="1"/>
  <c r="J49" i="2" s="1"/>
  <c r="J50" i="2" s="1"/>
  <c r="J51" i="2" s="1"/>
  <c r="J52" i="2" s="1"/>
  <c r="J53" i="2" s="1"/>
  <c r="J54" i="2" s="1"/>
  <c r="J55" i="2" s="1"/>
  <c r="J56" i="2" s="1"/>
  <c r="J57" i="2" s="1"/>
  <c r="J58" i="2" s="1"/>
  <c r="J59" i="2" s="1"/>
  <c r="J60" i="2" s="1"/>
  <c r="J61" i="2" s="1"/>
  <c r="J62" i="2" s="1"/>
  <c r="J63" i="2" s="1"/>
  <c r="J64" i="2" s="1"/>
  <c r="J65" i="2" s="1"/>
  <c r="J66" i="2" s="1"/>
  <c r="J67" i="2" s="1"/>
  <c r="J68" i="2" s="1"/>
  <c r="J69" i="2" s="1"/>
  <c r="J70" i="2" s="1"/>
  <c r="J71" i="2" s="1"/>
  <c r="J72" i="2" s="1"/>
  <c r="J73" i="2" s="1"/>
  <c r="J74" i="2" s="1"/>
  <c r="J75" i="2" s="1"/>
  <c r="J76" i="2" s="1"/>
  <c r="J77" i="2" s="1"/>
  <c r="J78" i="2" s="1"/>
  <c r="J79" i="2" s="1"/>
  <c r="J80" i="2" s="1"/>
  <c r="J81" i="2" s="1"/>
  <c r="J82" i="2" s="1"/>
  <c r="J83" i="2" s="1"/>
  <c r="J84" i="2" s="1"/>
  <c r="J85" i="2" s="1"/>
  <c r="J86" i="2" s="1"/>
  <c r="J87" i="2" s="1"/>
  <c r="J88" i="2" s="1"/>
  <c r="J89" i="2" s="1"/>
  <c r="J90" i="2" s="1"/>
  <c r="J91" i="2" s="1"/>
  <c r="J92" i="2" s="1"/>
  <c r="J93" i="2" s="1"/>
  <c r="J94" i="2" s="1"/>
  <c r="J95" i="2" s="1"/>
  <c r="J96" i="2" s="1"/>
  <c r="J97" i="2" s="1"/>
  <c r="J98" i="2" s="1"/>
  <c r="J99" i="2" s="1"/>
  <c r="J100" i="2" s="1"/>
  <c r="J101" i="2" s="1"/>
  <c r="J102" i="2" s="1"/>
  <c r="G20" i="1"/>
  <c r="J21" i="1" s="1"/>
  <c r="L21" i="1" s="1"/>
  <c r="L2" i="2"/>
  <c r="G24" i="1"/>
  <c r="J23" i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F20" i="1"/>
  <c r="O2" i="2" s="1"/>
  <c r="O3" i="2" s="1"/>
  <c r="O4" i="2" s="1"/>
  <c r="O5" i="2" s="1"/>
  <c r="O6" i="2" s="1"/>
  <c r="O7" i="2" s="1"/>
  <c r="O8" i="2" s="1"/>
  <c r="O9" i="2" s="1"/>
  <c r="O10" i="2" s="1"/>
  <c r="O11" i="2" s="1"/>
  <c r="O12" i="2" s="1"/>
  <c r="O13" i="2" s="1"/>
  <c r="O14" i="2" s="1"/>
  <c r="O15" i="2" s="1"/>
  <c r="O16" i="2" s="1"/>
  <c r="O17" i="2" s="1"/>
  <c r="O18" i="2" s="1"/>
  <c r="O19" i="2" s="1"/>
  <c r="O20" i="2" s="1"/>
  <c r="O21" i="2" s="1"/>
  <c r="O22" i="2" s="1"/>
  <c r="O23" i="2" s="1"/>
  <c r="O24" i="2" s="1"/>
  <c r="O25" i="2" s="1"/>
  <c r="O26" i="2" s="1"/>
  <c r="O27" i="2" s="1"/>
  <c r="O28" i="2" s="1"/>
  <c r="O29" i="2" s="1"/>
  <c r="O30" i="2" s="1"/>
  <c r="O31" i="2" s="1"/>
  <c r="O32" i="2" s="1"/>
  <c r="O33" i="2" s="1"/>
  <c r="O34" i="2" s="1"/>
  <c r="O35" i="2" s="1"/>
  <c r="O36" i="2" s="1"/>
  <c r="O37" i="2" s="1"/>
  <c r="O38" i="2" s="1"/>
  <c r="O39" i="2" s="1"/>
  <c r="O40" i="2" s="1"/>
  <c r="O41" i="2" s="1"/>
  <c r="O42" i="2" s="1"/>
  <c r="O43" i="2" s="1"/>
  <c r="O44" i="2" s="1"/>
  <c r="O45" i="2" s="1"/>
  <c r="O46" i="2" s="1"/>
  <c r="O47" i="2" s="1"/>
  <c r="O48" i="2" s="1"/>
  <c r="O49" i="2" s="1"/>
  <c r="O50" i="2" s="1"/>
  <c r="O51" i="2" s="1"/>
  <c r="O52" i="2" s="1"/>
  <c r="O53" i="2" s="1"/>
  <c r="O54" i="2" s="1"/>
  <c r="O55" i="2" s="1"/>
  <c r="O56" i="2" s="1"/>
  <c r="O57" i="2" s="1"/>
  <c r="O58" i="2" s="1"/>
  <c r="O59" i="2" s="1"/>
  <c r="O60" i="2" s="1"/>
  <c r="O61" i="2" s="1"/>
  <c r="O62" i="2" s="1"/>
  <c r="O63" i="2" s="1"/>
  <c r="O64" i="2" s="1"/>
  <c r="O65" i="2" s="1"/>
  <c r="O66" i="2" s="1"/>
  <c r="O67" i="2" s="1"/>
  <c r="O68" i="2" s="1"/>
  <c r="O69" i="2" s="1"/>
  <c r="O70" i="2" s="1"/>
  <c r="O71" i="2" s="1"/>
  <c r="O72" i="2" s="1"/>
  <c r="O73" i="2" s="1"/>
  <c r="O74" i="2" s="1"/>
  <c r="O75" i="2" s="1"/>
  <c r="O76" i="2" s="1"/>
  <c r="O77" i="2" s="1"/>
  <c r="O78" i="2" s="1"/>
  <c r="O79" i="2" s="1"/>
  <c r="O80" i="2" s="1"/>
  <c r="O81" i="2" s="1"/>
  <c r="O82" i="2" s="1"/>
  <c r="O83" i="2" s="1"/>
  <c r="O84" i="2" s="1"/>
  <c r="O85" i="2" s="1"/>
  <c r="O86" i="2" s="1"/>
  <c r="O87" i="2" s="1"/>
  <c r="O88" i="2" s="1"/>
  <c r="O89" i="2" s="1"/>
  <c r="O90" i="2" s="1"/>
  <c r="O91" i="2" s="1"/>
  <c r="O92" i="2" s="1"/>
  <c r="O93" i="2" s="1"/>
  <c r="O94" i="2" s="1"/>
  <c r="O95" i="2" s="1"/>
  <c r="O96" i="2" s="1"/>
  <c r="O97" i="2" s="1"/>
  <c r="O98" i="2" s="1"/>
  <c r="O99" i="2" s="1"/>
  <c r="O100" i="2" s="1"/>
  <c r="O101" i="2" s="1"/>
  <c r="O102" i="2" s="1"/>
  <c r="C22" i="1"/>
  <c r="E22" i="1" s="1"/>
  <c r="G2" i="2" s="1"/>
  <c r="G3" i="2" s="1"/>
  <c r="G4" i="2" s="1"/>
  <c r="G5" i="2" s="1"/>
  <c r="G6" i="2" s="1"/>
  <c r="G7" i="2" s="1"/>
  <c r="G8" i="2" s="1"/>
  <c r="G9" i="2" s="1"/>
  <c r="G10" i="2" s="1"/>
  <c r="G11" i="2" s="1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G28" i="2" s="1"/>
  <c r="G29" i="2" s="1"/>
  <c r="G30" i="2" s="1"/>
  <c r="G31" i="2" s="1"/>
  <c r="G32" i="2" s="1"/>
  <c r="G33" i="2" s="1"/>
  <c r="G34" i="2" s="1"/>
  <c r="G35" i="2" s="1"/>
  <c r="G36" i="2" s="1"/>
  <c r="G37" i="2" s="1"/>
  <c r="G38" i="2" s="1"/>
  <c r="G39" i="2" s="1"/>
  <c r="G40" i="2" s="1"/>
  <c r="G41" i="2" s="1"/>
  <c r="G42" i="2" s="1"/>
  <c r="G43" i="2" s="1"/>
  <c r="G44" i="2" s="1"/>
  <c r="G45" i="2" s="1"/>
  <c r="G46" i="2" s="1"/>
  <c r="G47" i="2" s="1"/>
  <c r="G48" i="2" s="1"/>
  <c r="G49" i="2" s="1"/>
  <c r="G50" i="2" s="1"/>
  <c r="G51" i="2" s="1"/>
  <c r="G52" i="2" s="1"/>
  <c r="G53" i="2" s="1"/>
  <c r="G54" i="2" s="1"/>
  <c r="G55" i="2" s="1"/>
  <c r="G56" i="2" s="1"/>
  <c r="G57" i="2" s="1"/>
  <c r="G58" i="2" s="1"/>
  <c r="G59" i="2" s="1"/>
  <c r="G60" i="2" s="1"/>
  <c r="G61" i="2" s="1"/>
  <c r="G62" i="2" s="1"/>
  <c r="G63" i="2" s="1"/>
  <c r="G64" i="2" s="1"/>
  <c r="G65" i="2" s="1"/>
  <c r="G66" i="2" s="1"/>
  <c r="G67" i="2" s="1"/>
  <c r="G68" i="2" s="1"/>
  <c r="G69" i="2" s="1"/>
  <c r="G70" i="2" s="1"/>
  <c r="G71" i="2" s="1"/>
  <c r="G72" i="2" s="1"/>
  <c r="G73" i="2" s="1"/>
  <c r="G74" i="2" s="1"/>
  <c r="G75" i="2" s="1"/>
  <c r="G76" i="2" s="1"/>
  <c r="G77" i="2" s="1"/>
  <c r="G78" i="2" s="1"/>
  <c r="G79" i="2" s="1"/>
  <c r="G80" i="2" s="1"/>
  <c r="G81" i="2" s="1"/>
  <c r="G82" i="2" s="1"/>
  <c r="G83" i="2" s="1"/>
  <c r="G84" i="2" s="1"/>
  <c r="G85" i="2" s="1"/>
  <c r="G86" i="2" s="1"/>
  <c r="G87" i="2" s="1"/>
  <c r="G88" i="2" s="1"/>
  <c r="G89" i="2" s="1"/>
  <c r="G90" i="2" s="1"/>
  <c r="G91" i="2" s="1"/>
  <c r="G92" i="2" s="1"/>
  <c r="G93" i="2" s="1"/>
  <c r="G94" i="2" s="1"/>
  <c r="G95" i="2" s="1"/>
  <c r="G96" i="2" s="1"/>
  <c r="G97" i="2" s="1"/>
  <c r="G98" i="2" s="1"/>
  <c r="G99" i="2" s="1"/>
  <c r="G100" i="2" s="1"/>
  <c r="G101" i="2" s="1"/>
  <c r="G102" i="2" s="1"/>
  <c r="G103" i="2" s="1"/>
  <c r="C24" i="1"/>
  <c r="I2" i="2" s="1"/>
  <c r="I3" i="2" s="1"/>
  <c r="I4" i="2" s="1"/>
  <c r="I5" i="2" s="1"/>
  <c r="I6" i="2" s="1"/>
  <c r="I7" i="2" s="1"/>
  <c r="I8" i="2" s="1"/>
  <c r="I9" i="2" s="1"/>
  <c r="I10" i="2" s="1"/>
  <c r="I11" i="2" s="1"/>
  <c r="I12" i="2" s="1"/>
  <c r="I13" i="2" s="1"/>
  <c r="I14" i="2" s="1"/>
  <c r="I15" i="2" s="1"/>
  <c r="I16" i="2" s="1"/>
  <c r="I17" i="2" s="1"/>
  <c r="I18" i="2" s="1"/>
  <c r="I19" i="2" s="1"/>
  <c r="I20" i="2" s="1"/>
  <c r="I21" i="2" s="1"/>
  <c r="I22" i="2" s="1"/>
  <c r="I23" i="2" s="1"/>
  <c r="I24" i="2" s="1"/>
  <c r="I25" i="2" s="1"/>
  <c r="I26" i="2" s="1"/>
  <c r="I27" i="2" s="1"/>
  <c r="I28" i="2" s="1"/>
  <c r="I29" i="2" s="1"/>
  <c r="I30" i="2" s="1"/>
  <c r="I31" i="2" s="1"/>
  <c r="I32" i="2" s="1"/>
  <c r="I33" i="2" s="1"/>
  <c r="I34" i="2" s="1"/>
  <c r="I35" i="2" s="1"/>
  <c r="I36" i="2" s="1"/>
  <c r="I37" i="2" s="1"/>
  <c r="I38" i="2" s="1"/>
  <c r="I39" i="2" s="1"/>
  <c r="I40" i="2" s="1"/>
  <c r="I41" i="2" s="1"/>
  <c r="I42" i="2" s="1"/>
  <c r="I43" i="2" s="1"/>
  <c r="I44" i="2" s="1"/>
  <c r="I45" i="2" s="1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 s="1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I81" i="2" s="1"/>
  <c r="I82" i="2" s="1"/>
  <c r="I83" i="2" s="1"/>
  <c r="I84" i="2" s="1"/>
  <c r="I85" i="2" s="1"/>
  <c r="I86" i="2" s="1"/>
  <c r="I87" i="2" s="1"/>
  <c r="I88" i="2" s="1"/>
  <c r="I89" i="2" s="1"/>
  <c r="I90" i="2" s="1"/>
  <c r="I91" i="2" s="1"/>
  <c r="I92" i="2" s="1"/>
  <c r="I93" i="2" s="1"/>
  <c r="I94" i="2" s="1"/>
  <c r="I95" i="2" s="1"/>
  <c r="I96" i="2" s="1"/>
  <c r="I97" i="2" s="1"/>
  <c r="I98" i="2" s="1"/>
  <c r="I99" i="2" s="1"/>
  <c r="I100" i="2" s="1"/>
  <c r="I101" i="2" s="1"/>
  <c r="I102" i="2" s="1"/>
  <c r="J19" i="1"/>
  <c r="E2" i="2"/>
  <c r="K19" i="1"/>
  <c r="K23" i="1"/>
  <c r="M23" i="1" s="1"/>
  <c r="J25" i="1"/>
  <c r="L25" i="1" s="1"/>
  <c r="L26" i="1" s="1"/>
  <c r="L3" i="2" l="1"/>
  <c r="L4" i="2" s="1"/>
  <c r="L5" i="2" s="1"/>
  <c r="F22" i="1"/>
  <c r="Q2" i="2" s="1"/>
  <c r="Q3" i="2" s="1"/>
  <c r="Q4" i="2" s="1"/>
  <c r="Q5" i="2" s="1"/>
  <c r="Q6" i="2" s="1"/>
  <c r="Q7" i="2" s="1"/>
  <c r="Q8" i="2" s="1"/>
  <c r="Q9" i="2" s="1"/>
  <c r="Q10" i="2" s="1"/>
  <c r="Q11" i="2" s="1"/>
  <c r="Q12" i="2" s="1"/>
  <c r="Q13" i="2" s="1"/>
  <c r="Q14" i="2" s="1"/>
  <c r="Q15" i="2" s="1"/>
  <c r="Q16" i="2" s="1"/>
  <c r="Q17" i="2" s="1"/>
  <c r="Q18" i="2" s="1"/>
  <c r="Q19" i="2" s="1"/>
  <c r="Q20" i="2" s="1"/>
  <c r="Q21" i="2" s="1"/>
  <c r="Q22" i="2" s="1"/>
  <c r="Q23" i="2" s="1"/>
  <c r="Q24" i="2" s="1"/>
  <c r="Q25" i="2" s="1"/>
  <c r="Q26" i="2" s="1"/>
  <c r="Q27" i="2" s="1"/>
  <c r="Q28" i="2" s="1"/>
  <c r="Q29" i="2" s="1"/>
  <c r="Q30" i="2" s="1"/>
  <c r="Q31" i="2" s="1"/>
  <c r="Q32" i="2" s="1"/>
  <c r="Q33" i="2" s="1"/>
  <c r="Q34" i="2" s="1"/>
  <c r="Q35" i="2" s="1"/>
  <c r="Q36" i="2" s="1"/>
  <c r="Q37" i="2" s="1"/>
  <c r="Q38" i="2" s="1"/>
  <c r="Q39" i="2" s="1"/>
  <c r="Q40" i="2" s="1"/>
  <c r="Q41" i="2" s="1"/>
  <c r="Q42" i="2" s="1"/>
  <c r="Q43" i="2" s="1"/>
  <c r="Q44" i="2" s="1"/>
  <c r="Q45" i="2" s="1"/>
  <c r="Q46" i="2" s="1"/>
  <c r="Q47" i="2" s="1"/>
  <c r="Q48" i="2" s="1"/>
  <c r="Q49" i="2" s="1"/>
  <c r="Q50" i="2" s="1"/>
  <c r="Q51" i="2" s="1"/>
  <c r="Q52" i="2" s="1"/>
  <c r="Q53" i="2" s="1"/>
  <c r="Q54" i="2" s="1"/>
  <c r="Q55" i="2" s="1"/>
  <c r="Q56" i="2" s="1"/>
  <c r="Q57" i="2" s="1"/>
  <c r="Q58" i="2" s="1"/>
  <c r="Q59" i="2" s="1"/>
  <c r="Q60" i="2" s="1"/>
  <c r="Q61" i="2" s="1"/>
  <c r="Q62" i="2" s="1"/>
  <c r="Q63" i="2" s="1"/>
  <c r="Q64" i="2" s="1"/>
  <c r="Q65" i="2" s="1"/>
  <c r="Q66" i="2" s="1"/>
  <c r="Q67" i="2" s="1"/>
  <c r="Q68" i="2" s="1"/>
  <c r="Q69" i="2" s="1"/>
  <c r="Q70" i="2" s="1"/>
  <c r="Q71" i="2" s="1"/>
  <c r="Q72" i="2" s="1"/>
  <c r="Q73" i="2" s="1"/>
  <c r="Q74" i="2" s="1"/>
  <c r="Q75" i="2" s="1"/>
  <c r="Q76" i="2" s="1"/>
  <c r="Q77" i="2" s="1"/>
  <c r="Q78" i="2" s="1"/>
  <c r="Q79" i="2" s="1"/>
  <c r="Q80" i="2" s="1"/>
  <c r="Q81" i="2" s="1"/>
  <c r="Q82" i="2" s="1"/>
  <c r="Q83" i="2" s="1"/>
  <c r="Q84" i="2" s="1"/>
  <c r="Q85" i="2" s="1"/>
  <c r="Q86" i="2" s="1"/>
  <c r="Q87" i="2" s="1"/>
  <c r="Q88" i="2" s="1"/>
  <c r="Q89" i="2" s="1"/>
  <c r="Q90" i="2" s="1"/>
  <c r="Q91" i="2" s="1"/>
  <c r="Q92" i="2" s="1"/>
  <c r="Q93" i="2" s="1"/>
  <c r="Q94" i="2" s="1"/>
  <c r="Q95" i="2" s="1"/>
  <c r="Q96" i="2" s="1"/>
  <c r="Q97" i="2" s="1"/>
  <c r="Q98" i="2" s="1"/>
  <c r="Q99" i="2" s="1"/>
  <c r="Q100" i="2" s="1"/>
  <c r="Q101" i="2" s="1"/>
  <c r="Q102" i="2" s="1"/>
  <c r="F2" i="2"/>
  <c r="F3" i="2" s="1"/>
  <c r="M19" i="1"/>
  <c r="M26" i="1" s="1"/>
  <c r="E3" i="2"/>
  <c r="E4" i="2" s="1"/>
  <c r="E5" i="2" s="1"/>
  <c r="E6" i="2" s="1"/>
  <c r="E7" i="2" s="1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E38" i="2" s="1"/>
  <c r="E39" i="2" s="1"/>
  <c r="E40" i="2" s="1"/>
  <c r="E41" i="2" s="1"/>
  <c r="E42" i="2" s="1"/>
  <c r="E43" i="2" s="1"/>
  <c r="E44" i="2" s="1"/>
  <c r="E45" i="2" s="1"/>
  <c r="E46" i="2" s="1"/>
  <c r="E47" i="2" s="1"/>
  <c r="E48" i="2" s="1"/>
  <c r="E49" i="2" s="1"/>
  <c r="E50" i="2" s="1"/>
  <c r="E51" i="2" s="1"/>
  <c r="E52" i="2" s="1"/>
  <c r="E53" i="2" s="1"/>
  <c r="E54" i="2" s="1"/>
  <c r="E55" i="2" s="1"/>
  <c r="E56" i="2" s="1"/>
  <c r="E57" i="2" s="1"/>
  <c r="E58" i="2" s="1"/>
  <c r="E59" i="2" s="1"/>
  <c r="E60" i="2" s="1"/>
  <c r="E61" i="2" s="1"/>
  <c r="E62" i="2" s="1"/>
  <c r="E63" i="2" s="1"/>
  <c r="E64" i="2" s="1"/>
  <c r="E65" i="2" s="1"/>
  <c r="E66" i="2" s="1"/>
  <c r="E67" i="2" s="1"/>
  <c r="E68" i="2" s="1"/>
  <c r="E69" i="2" s="1"/>
  <c r="E70" i="2" s="1"/>
  <c r="E71" i="2" s="1"/>
  <c r="E72" i="2" s="1"/>
  <c r="E73" i="2" s="1"/>
  <c r="E74" i="2" s="1"/>
  <c r="E75" i="2" s="1"/>
  <c r="E76" i="2" s="1"/>
  <c r="E77" i="2" s="1"/>
  <c r="E78" i="2" s="1"/>
  <c r="E79" i="2" s="1"/>
  <c r="E80" i="2" s="1"/>
  <c r="E81" i="2" s="1"/>
  <c r="E82" i="2" s="1"/>
  <c r="E83" i="2" s="1"/>
  <c r="E84" i="2" s="1"/>
  <c r="E85" i="2" s="1"/>
  <c r="E86" i="2" s="1"/>
  <c r="E87" i="2" s="1"/>
  <c r="E88" i="2" s="1"/>
  <c r="E89" i="2" s="1"/>
  <c r="E90" i="2" s="1"/>
  <c r="E91" i="2" s="1"/>
  <c r="E92" i="2" s="1"/>
  <c r="E93" i="2" s="1"/>
  <c r="E94" i="2" s="1"/>
  <c r="E95" i="2" s="1"/>
  <c r="E96" i="2" s="1"/>
  <c r="E97" i="2" s="1"/>
  <c r="E98" i="2" s="1"/>
  <c r="E99" i="2" s="1"/>
  <c r="E100" i="2" s="1"/>
  <c r="E101" i="2" s="1"/>
  <c r="E102" i="2" s="1"/>
  <c r="B4" i="2" l="1"/>
  <c r="B3" i="2"/>
  <c r="F24" i="1"/>
  <c r="S2" i="2" s="1"/>
  <c r="S3" i="2" s="1"/>
  <c r="S4" i="2" s="1"/>
  <c r="S5" i="2" s="1"/>
  <c r="S6" i="2" s="1"/>
  <c r="S7" i="2" s="1"/>
  <c r="S8" i="2" s="1"/>
  <c r="S9" i="2" s="1"/>
  <c r="S10" i="2" s="1"/>
  <c r="S11" i="2" s="1"/>
  <c r="S12" i="2" s="1"/>
  <c r="S13" i="2" s="1"/>
  <c r="S14" i="2" s="1"/>
  <c r="S15" i="2" s="1"/>
  <c r="S16" i="2" s="1"/>
  <c r="S17" i="2" s="1"/>
  <c r="S18" i="2" s="1"/>
  <c r="S19" i="2" s="1"/>
  <c r="S20" i="2" s="1"/>
  <c r="S21" i="2" s="1"/>
  <c r="S22" i="2" s="1"/>
  <c r="S23" i="2" s="1"/>
  <c r="S24" i="2" s="1"/>
  <c r="S25" i="2" s="1"/>
  <c r="S26" i="2" s="1"/>
  <c r="S27" i="2" s="1"/>
  <c r="S28" i="2" s="1"/>
  <c r="S29" i="2" s="1"/>
  <c r="S30" i="2" s="1"/>
  <c r="S31" i="2" s="1"/>
  <c r="S32" i="2" s="1"/>
  <c r="S33" i="2" s="1"/>
  <c r="S34" i="2" s="1"/>
  <c r="S35" i="2" s="1"/>
  <c r="S36" i="2" s="1"/>
  <c r="S37" i="2" s="1"/>
  <c r="S38" i="2" s="1"/>
  <c r="S39" i="2" s="1"/>
  <c r="S40" i="2" s="1"/>
  <c r="S41" i="2" s="1"/>
  <c r="S42" i="2" s="1"/>
  <c r="S43" i="2" s="1"/>
  <c r="S44" i="2" s="1"/>
  <c r="S45" i="2" s="1"/>
  <c r="S46" i="2" s="1"/>
  <c r="S47" i="2" s="1"/>
  <c r="S48" i="2" s="1"/>
  <c r="S49" i="2" s="1"/>
  <c r="S50" i="2" s="1"/>
  <c r="S51" i="2" s="1"/>
  <c r="S52" i="2" s="1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S67" i="2" s="1"/>
  <c r="S68" i="2" s="1"/>
  <c r="S69" i="2" s="1"/>
  <c r="S70" i="2" s="1"/>
  <c r="S71" i="2" s="1"/>
  <c r="S72" i="2" s="1"/>
  <c r="S73" i="2" s="1"/>
  <c r="S74" i="2" s="1"/>
  <c r="S75" i="2" s="1"/>
  <c r="S76" i="2" s="1"/>
  <c r="S77" i="2" s="1"/>
  <c r="S78" i="2" s="1"/>
  <c r="S79" i="2" s="1"/>
  <c r="S80" i="2" s="1"/>
  <c r="S81" i="2" s="1"/>
  <c r="S82" i="2" s="1"/>
  <c r="S83" i="2" s="1"/>
  <c r="S84" i="2" s="1"/>
  <c r="S85" i="2" s="1"/>
  <c r="S86" i="2" s="1"/>
  <c r="S87" i="2" s="1"/>
  <c r="S88" i="2" s="1"/>
  <c r="S89" i="2" s="1"/>
  <c r="S90" i="2" s="1"/>
  <c r="S91" i="2" s="1"/>
  <c r="S92" i="2" s="1"/>
  <c r="S93" i="2" s="1"/>
  <c r="S94" i="2" s="1"/>
  <c r="S95" i="2" s="1"/>
  <c r="S96" i="2" s="1"/>
  <c r="S97" i="2" s="1"/>
  <c r="S98" i="2" s="1"/>
  <c r="S99" i="2" s="1"/>
  <c r="S100" i="2" s="1"/>
  <c r="S101" i="2" s="1"/>
  <c r="S102" i="2" s="1"/>
  <c r="F4" i="2"/>
  <c r="F5" i="2" s="1"/>
  <c r="F6" i="2" s="1"/>
  <c r="F7" i="2" s="1"/>
  <c r="F8" i="2" s="1"/>
  <c r="F9" i="2" s="1"/>
  <c r="F10" i="2" s="1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22" i="2" s="1"/>
  <c r="F23" i="2" s="1"/>
  <c r="F24" i="2" s="1"/>
  <c r="F25" i="2" s="1"/>
  <c r="F26" i="2" s="1"/>
  <c r="F27" i="2" s="1"/>
  <c r="F28" i="2" s="1"/>
  <c r="F29" i="2" s="1"/>
  <c r="F30" i="2" s="1"/>
  <c r="F31" i="2" s="1"/>
  <c r="F32" i="2" s="1"/>
  <c r="F33" i="2" s="1"/>
  <c r="F34" i="2" s="1"/>
  <c r="F35" i="2" s="1"/>
  <c r="F36" i="2" s="1"/>
  <c r="F37" i="2" s="1"/>
  <c r="F38" i="2" s="1"/>
  <c r="F39" i="2" s="1"/>
  <c r="F40" i="2" s="1"/>
  <c r="F41" i="2" s="1"/>
  <c r="F42" i="2" s="1"/>
  <c r="F43" i="2" s="1"/>
  <c r="F44" i="2" s="1"/>
  <c r="F45" i="2" s="1"/>
  <c r="F46" i="2" s="1"/>
  <c r="F47" i="2" s="1"/>
  <c r="F48" i="2" s="1"/>
  <c r="F49" i="2" s="1"/>
  <c r="F50" i="2" s="1"/>
  <c r="F51" i="2" s="1"/>
  <c r="F52" i="2" s="1"/>
  <c r="F53" i="2" s="1"/>
  <c r="F54" i="2" s="1"/>
  <c r="F55" i="2" s="1"/>
  <c r="F56" i="2" s="1"/>
  <c r="F57" i="2" s="1"/>
  <c r="F58" i="2" s="1"/>
  <c r="F59" i="2" s="1"/>
  <c r="F60" i="2" s="1"/>
  <c r="F61" i="2" s="1"/>
  <c r="F62" i="2" s="1"/>
  <c r="F63" i="2" s="1"/>
  <c r="F64" i="2" s="1"/>
  <c r="F65" i="2" s="1"/>
  <c r="F66" i="2" s="1"/>
  <c r="F67" i="2" s="1"/>
  <c r="F68" i="2" s="1"/>
  <c r="F69" i="2" s="1"/>
  <c r="F70" i="2" s="1"/>
  <c r="F71" i="2" s="1"/>
  <c r="F72" i="2" s="1"/>
  <c r="F73" i="2" s="1"/>
  <c r="F74" i="2" s="1"/>
  <c r="F75" i="2" s="1"/>
  <c r="F76" i="2" s="1"/>
  <c r="F77" i="2" s="1"/>
  <c r="F78" i="2" s="1"/>
  <c r="F79" i="2" s="1"/>
  <c r="F80" i="2" s="1"/>
  <c r="F81" i="2" s="1"/>
  <c r="F82" i="2" s="1"/>
  <c r="F83" i="2" s="1"/>
  <c r="F84" i="2" s="1"/>
  <c r="F85" i="2" s="1"/>
  <c r="F86" i="2" s="1"/>
  <c r="F87" i="2" s="1"/>
  <c r="F88" i="2" s="1"/>
  <c r="F89" i="2" s="1"/>
  <c r="F90" i="2" s="1"/>
  <c r="F91" i="2" s="1"/>
  <c r="F92" i="2" s="1"/>
  <c r="F93" i="2" s="1"/>
  <c r="F94" i="2" s="1"/>
  <c r="F95" i="2" s="1"/>
  <c r="F96" i="2" s="1"/>
  <c r="F97" i="2" s="1"/>
  <c r="F98" i="2" s="1"/>
  <c r="F99" i="2" s="1"/>
  <c r="F100" i="2" s="1"/>
  <c r="F101" i="2" s="1"/>
  <c r="F102" i="2" s="1"/>
  <c r="F103" i="2" s="1"/>
  <c r="P3" i="2"/>
  <c r="B5" i="2"/>
  <c r="L6" i="2"/>
  <c r="P4" i="2" l="1"/>
  <c r="P5" i="2" s="1"/>
  <c r="P6" i="2" s="1"/>
  <c r="P7" i="2" s="1"/>
  <c r="P8" i="2" s="1"/>
  <c r="P9" i="2" s="1"/>
  <c r="P10" i="2" s="1"/>
  <c r="P11" i="2" s="1"/>
  <c r="P12" i="2" s="1"/>
  <c r="P13" i="2" s="1"/>
  <c r="P14" i="2" s="1"/>
  <c r="P15" i="2" s="1"/>
  <c r="P16" i="2" s="1"/>
  <c r="P17" i="2" s="1"/>
  <c r="P18" i="2" s="1"/>
  <c r="P19" i="2" s="1"/>
  <c r="P20" i="2" s="1"/>
  <c r="P21" i="2" s="1"/>
  <c r="P22" i="2" s="1"/>
  <c r="P23" i="2" s="1"/>
  <c r="P24" i="2" s="1"/>
  <c r="P25" i="2" s="1"/>
  <c r="P26" i="2" s="1"/>
  <c r="P27" i="2" s="1"/>
  <c r="P28" i="2" s="1"/>
  <c r="P29" i="2" s="1"/>
  <c r="P30" i="2" s="1"/>
  <c r="P31" i="2" s="1"/>
  <c r="P32" i="2" s="1"/>
  <c r="P33" i="2" s="1"/>
  <c r="P34" i="2" s="1"/>
  <c r="P35" i="2" s="1"/>
  <c r="P36" i="2" s="1"/>
  <c r="P37" i="2" s="1"/>
  <c r="P38" i="2" s="1"/>
  <c r="P39" i="2" s="1"/>
  <c r="P40" i="2" s="1"/>
  <c r="P41" i="2" s="1"/>
  <c r="P42" i="2" s="1"/>
  <c r="P43" i="2" s="1"/>
  <c r="P44" i="2" s="1"/>
  <c r="P45" i="2" s="1"/>
  <c r="P46" i="2" s="1"/>
  <c r="P47" i="2" s="1"/>
  <c r="P48" i="2" s="1"/>
  <c r="P49" i="2" s="1"/>
  <c r="P50" i="2" s="1"/>
  <c r="P51" i="2" s="1"/>
  <c r="P52" i="2" s="1"/>
  <c r="P53" i="2" s="1"/>
  <c r="P54" i="2" s="1"/>
  <c r="P55" i="2" s="1"/>
  <c r="P56" i="2" s="1"/>
  <c r="P57" i="2" s="1"/>
  <c r="P58" i="2" s="1"/>
  <c r="P59" i="2" s="1"/>
  <c r="P60" i="2" s="1"/>
  <c r="P61" i="2" s="1"/>
  <c r="P62" i="2" s="1"/>
  <c r="P63" i="2" s="1"/>
  <c r="P64" i="2" s="1"/>
  <c r="P65" i="2" s="1"/>
  <c r="P66" i="2" s="1"/>
  <c r="P67" i="2" s="1"/>
  <c r="P68" i="2" s="1"/>
  <c r="P69" i="2" s="1"/>
  <c r="P70" i="2" s="1"/>
  <c r="P71" i="2" s="1"/>
  <c r="P72" i="2" s="1"/>
  <c r="P73" i="2" s="1"/>
  <c r="P74" i="2" s="1"/>
  <c r="P75" i="2" s="1"/>
  <c r="P76" i="2" s="1"/>
  <c r="P77" i="2" s="1"/>
  <c r="P78" i="2" s="1"/>
  <c r="P79" i="2" s="1"/>
  <c r="P80" i="2" s="1"/>
  <c r="P81" i="2" s="1"/>
  <c r="P82" i="2" s="1"/>
  <c r="P83" i="2" s="1"/>
  <c r="P84" i="2" s="1"/>
  <c r="P85" i="2" s="1"/>
  <c r="P86" i="2" s="1"/>
  <c r="P87" i="2" s="1"/>
  <c r="P88" i="2" s="1"/>
  <c r="P89" i="2" s="1"/>
  <c r="P90" i="2" s="1"/>
  <c r="P91" i="2" s="1"/>
  <c r="P92" i="2" s="1"/>
  <c r="P93" i="2" s="1"/>
  <c r="P94" i="2" s="1"/>
  <c r="P95" i="2" s="1"/>
  <c r="P96" i="2" s="1"/>
  <c r="P97" i="2" s="1"/>
  <c r="P98" i="2" s="1"/>
  <c r="P99" i="2" s="1"/>
  <c r="P100" i="2" s="1"/>
  <c r="P101" i="2" s="1"/>
  <c r="P102" i="2" s="1"/>
  <c r="B6" i="2"/>
  <c r="L7" i="2"/>
  <c r="L8" i="2" l="1"/>
  <c r="B7" i="2"/>
  <c r="L9" i="2" l="1"/>
  <c r="B8" i="2"/>
  <c r="B9" i="2" l="1"/>
  <c r="L10" i="2"/>
  <c r="B10" i="2" l="1"/>
  <c r="L11" i="2"/>
  <c r="B11" i="2" l="1"/>
  <c r="L12" i="2"/>
  <c r="L13" i="2" l="1"/>
  <c r="B12" i="2"/>
  <c r="B13" i="2" l="1"/>
  <c r="L14" i="2"/>
  <c r="B14" i="2" l="1"/>
  <c r="L15" i="2"/>
  <c r="L16" i="2" l="1"/>
  <c r="B15" i="2"/>
  <c r="L17" i="2" l="1"/>
  <c r="B16" i="2"/>
  <c r="B17" i="2" l="1"/>
  <c r="L18" i="2"/>
  <c r="B18" i="2" l="1"/>
  <c r="L19" i="2"/>
  <c r="L20" i="2" l="1"/>
  <c r="B19" i="2"/>
  <c r="L21" i="2" l="1"/>
  <c r="B20" i="2"/>
  <c r="B21" i="2" l="1"/>
  <c r="L22" i="2"/>
  <c r="B22" i="2" l="1"/>
  <c r="L23" i="2"/>
  <c r="L24" i="2" l="1"/>
  <c r="B23" i="2"/>
  <c r="L25" i="2" l="1"/>
  <c r="B24" i="2"/>
  <c r="B25" i="2" l="1"/>
  <c r="L26" i="2"/>
  <c r="B26" i="2" l="1"/>
  <c r="L27" i="2"/>
  <c r="L28" i="2" l="1"/>
  <c r="B27" i="2"/>
  <c r="L29" i="2" l="1"/>
  <c r="B28" i="2"/>
  <c r="B29" i="2" l="1"/>
  <c r="L30" i="2"/>
  <c r="B30" i="2" l="1"/>
  <c r="L31" i="2"/>
  <c r="L32" i="2" l="1"/>
  <c r="B31" i="2"/>
  <c r="L33" i="2" l="1"/>
  <c r="B32" i="2"/>
  <c r="B33" i="2" l="1"/>
  <c r="L34" i="2"/>
  <c r="B34" i="2" l="1"/>
  <c r="L35" i="2"/>
  <c r="B35" i="2" l="1"/>
  <c r="L36" i="2"/>
  <c r="B36" i="2" l="1"/>
  <c r="L37" i="2"/>
  <c r="L38" i="2" l="1"/>
  <c r="B37" i="2"/>
  <c r="B38" i="2" l="1"/>
  <c r="L39" i="2"/>
  <c r="B39" i="2" l="1"/>
  <c r="L40" i="2"/>
  <c r="L41" i="2" l="1"/>
  <c r="B40" i="2"/>
  <c r="L42" i="2" l="1"/>
  <c r="B41" i="2"/>
  <c r="L43" i="2" l="1"/>
  <c r="B42" i="2"/>
  <c r="L44" i="2" l="1"/>
  <c r="B43" i="2"/>
  <c r="L45" i="2" l="1"/>
  <c r="B44" i="2"/>
  <c r="L46" i="2" l="1"/>
  <c r="B45" i="2"/>
  <c r="B46" i="2" l="1"/>
  <c r="L47" i="2"/>
  <c r="L48" i="2" l="1"/>
  <c r="B47" i="2"/>
  <c r="L49" i="2" l="1"/>
  <c r="B48" i="2"/>
  <c r="L50" i="2" l="1"/>
  <c r="B49" i="2"/>
  <c r="B50" i="2" l="1"/>
  <c r="L51" i="2"/>
  <c r="L52" i="2" l="1"/>
  <c r="B51" i="2"/>
  <c r="L53" i="2" l="1"/>
  <c r="B52" i="2"/>
  <c r="L54" i="2" l="1"/>
  <c r="B53" i="2"/>
  <c r="B54" i="2" l="1"/>
  <c r="L55" i="2"/>
  <c r="L56" i="2" l="1"/>
  <c r="B55" i="2"/>
  <c r="L57" i="2" l="1"/>
  <c r="B56" i="2"/>
  <c r="L58" i="2" l="1"/>
  <c r="B57" i="2"/>
  <c r="B58" i="2" l="1"/>
  <c r="L59" i="2"/>
  <c r="L60" i="2" l="1"/>
  <c r="B59" i="2"/>
  <c r="L61" i="2" l="1"/>
  <c r="B60" i="2"/>
  <c r="L62" i="2" l="1"/>
  <c r="B61" i="2"/>
  <c r="B62" i="2" l="1"/>
  <c r="L63" i="2"/>
  <c r="L64" i="2" l="1"/>
  <c r="B63" i="2"/>
  <c r="L65" i="2" l="1"/>
  <c r="B64" i="2"/>
  <c r="L66" i="2" l="1"/>
  <c r="B65" i="2"/>
  <c r="B66" i="2" l="1"/>
  <c r="L67" i="2"/>
  <c r="L68" i="2" l="1"/>
  <c r="B67" i="2"/>
  <c r="L69" i="2" l="1"/>
  <c r="B68" i="2"/>
  <c r="L70" i="2" l="1"/>
  <c r="B69" i="2"/>
  <c r="B70" i="2" l="1"/>
  <c r="L71" i="2"/>
  <c r="B71" i="2" l="1"/>
  <c r="L72" i="2"/>
  <c r="L73" i="2" l="1"/>
  <c r="B72" i="2"/>
  <c r="L74" i="2" l="1"/>
  <c r="B73" i="2"/>
  <c r="B74" i="2" l="1"/>
  <c r="L75" i="2"/>
  <c r="B75" i="2" l="1"/>
  <c r="L76" i="2"/>
  <c r="L77" i="2" l="1"/>
  <c r="B76" i="2"/>
  <c r="L78" i="2" l="1"/>
  <c r="B77" i="2"/>
  <c r="B78" i="2" l="1"/>
  <c r="L79" i="2"/>
  <c r="B79" i="2" l="1"/>
  <c r="L80" i="2"/>
  <c r="L81" i="2" l="1"/>
  <c r="B80" i="2"/>
  <c r="L82" i="2" l="1"/>
  <c r="B81" i="2"/>
  <c r="B82" i="2" l="1"/>
  <c r="L83" i="2"/>
  <c r="B83" i="2" l="1"/>
  <c r="L84" i="2"/>
  <c r="L85" i="2" l="1"/>
  <c r="B84" i="2"/>
  <c r="L86" i="2" l="1"/>
  <c r="B85" i="2"/>
  <c r="B86" i="2" l="1"/>
  <c r="L87" i="2"/>
  <c r="B87" i="2" l="1"/>
  <c r="L88" i="2"/>
  <c r="L89" i="2" l="1"/>
  <c r="B88" i="2"/>
  <c r="L90" i="2" l="1"/>
  <c r="B89" i="2"/>
  <c r="B90" i="2" l="1"/>
  <c r="L91" i="2"/>
  <c r="B91" i="2" l="1"/>
  <c r="L92" i="2"/>
  <c r="L93" i="2" l="1"/>
  <c r="B92" i="2"/>
  <c r="L94" i="2" l="1"/>
  <c r="B93" i="2"/>
  <c r="B94" i="2" l="1"/>
  <c r="L95" i="2"/>
  <c r="B95" i="2" l="1"/>
  <c r="L96" i="2"/>
  <c r="L97" i="2" l="1"/>
  <c r="B96" i="2"/>
  <c r="L98" i="2" l="1"/>
  <c r="B97" i="2"/>
  <c r="B98" i="2" l="1"/>
  <c r="L99" i="2"/>
  <c r="B99" i="2" l="1"/>
  <c r="L100" i="2"/>
  <c r="L101" i="2" l="1"/>
  <c r="B100" i="2"/>
  <c r="L102" i="2" l="1"/>
  <c r="B102" i="2" s="1"/>
  <c r="B10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J. Ribando</author>
    <author>rjr</author>
  </authors>
  <commentList>
    <comment ref="G17" authorId="0" shapeId="0" xr:uid="{D9F2660C-16B5-4EBF-9054-780F716DAAA8}">
      <text>
        <r>
          <rPr>
            <b/>
            <sz val="8"/>
            <color indexed="81"/>
            <rFont val="Tahoma"/>
            <family val="2"/>
          </rPr>
          <t>Computed based on constant value of c</t>
        </r>
        <r>
          <rPr>
            <b/>
            <vertAlign val="subscript"/>
            <sz val="8"/>
            <color indexed="81"/>
            <rFont val="Tahoma"/>
            <family val="2"/>
          </rPr>
          <t>p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26" authorId="1" shapeId="0" xr:uid="{6DF24211-03FB-493E-B5E8-1D00A0EBD134}">
      <text>
        <r>
          <rPr>
            <b/>
            <sz val="9"/>
            <color indexed="81"/>
            <rFont val="Tahoma"/>
            <family val="2"/>
          </rPr>
          <t>These two values better match!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<sst xmlns="http://schemas.openxmlformats.org/spreadsheetml/2006/main" count="47" uniqueCount="47">
  <si>
    <t>Diesel Cycle</t>
  </si>
  <si>
    <t>STATE POINTS</t>
  </si>
  <si>
    <t>P [kPa]</t>
  </si>
  <si>
    <t>T [K]</t>
  </si>
  <si>
    <t>v(m3/kg)</t>
  </si>
  <si>
    <r>
      <t>s[kJ/kg</t>
    </r>
    <r>
      <rPr>
        <b/>
        <sz val="10"/>
        <rFont val="Arial"/>
        <family val="2"/>
      </rPr>
      <t>·</t>
    </r>
    <r>
      <rPr>
        <b/>
        <sz val="10"/>
        <rFont val="Arial"/>
        <family val="2"/>
      </rPr>
      <t>K]</t>
    </r>
  </si>
  <si>
    <r>
      <t>u</t>
    </r>
    <r>
      <rPr>
        <b/>
        <vertAlign val="subscript"/>
        <sz val="10"/>
        <rFont val="Arial"/>
        <family val="2"/>
      </rPr>
      <t xml:space="preserve"> </t>
    </r>
    <r>
      <rPr>
        <b/>
        <sz val="10"/>
        <rFont val="Arial"/>
        <family val="2"/>
      </rPr>
      <t>[kJ/kg]</t>
    </r>
  </si>
  <si>
    <t>1 - Compressor In</t>
  </si>
  <si>
    <t>PROCESSES</t>
  </si>
  <si>
    <r>
      <t>u</t>
    </r>
    <r>
      <rPr>
        <b/>
        <vertAlign val="subscript"/>
        <sz val="10"/>
        <rFont val="Arial"/>
        <family val="2"/>
      </rPr>
      <t xml:space="preserve">in </t>
    </r>
    <r>
      <rPr>
        <b/>
        <sz val="10"/>
        <rFont val="Arial"/>
        <family val="2"/>
      </rPr>
      <t>[kJ/kg]</t>
    </r>
  </si>
  <si>
    <r>
      <t>u</t>
    </r>
    <r>
      <rPr>
        <b/>
        <vertAlign val="subscript"/>
        <sz val="10"/>
        <rFont val="Arial"/>
        <family val="2"/>
      </rPr>
      <t xml:space="preserve">out </t>
    </r>
    <r>
      <rPr>
        <b/>
        <sz val="10"/>
        <rFont val="Arial"/>
        <family val="2"/>
      </rPr>
      <t>[kJ/kg]</t>
    </r>
  </si>
  <si>
    <t>Q [kW]</t>
  </si>
  <si>
    <t>W [kW]</t>
  </si>
  <si>
    <t>Compression</t>
  </si>
  <si>
    <t>2 - Combustion Begins</t>
  </si>
  <si>
    <t>Combustion</t>
  </si>
  <si>
    <t>3 - Expansion Begins</t>
  </si>
  <si>
    <t>Power Stroke</t>
  </si>
  <si>
    <t>4 - Expansion Ends</t>
  </si>
  <si>
    <t>Heat Rejection</t>
  </si>
  <si>
    <t>5 - Compression In</t>
  </si>
  <si>
    <t xml:space="preserve">Sums = </t>
  </si>
  <si>
    <t>Compression Ratio,r</t>
  </si>
  <si>
    <t>Enter m_dot</t>
  </si>
  <si>
    <t>gamma</t>
  </si>
  <si>
    <t>R</t>
  </si>
  <si>
    <t>p1-p2</t>
  </si>
  <si>
    <t>v1-v2</t>
  </si>
  <si>
    <t>t1-t2</t>
  </si>
  <si>
    <t>p2-p3</t>
  </si>
  <si>
    <t>v2-v3</t>
  </si>
  <si>
    <t>p3-p4</t>
  </si>
  <si>
    <t>v3-v4</t>
  </si>
  <si>
    <t>t3-t4</t>
  </si>
  <si>
    <t>p4-p1</t>
  </si>
  <si>
    <t>v4-v1</t>
  </si>
  <si>
    <t>s1-s2</t>
  </si>
  <si>
    <t>t2-t3</t>
  </si>
  <si>
    <t>s2-s3</t>
  </si>
  <si>
    <t>s3-s4</t>
  </si>
  <si>
    <t>t4-t1</t>
  </si>
  <si>
    <t>s4-s1</t>
  </si>
  <si>
    <t>Enter cut-off ratio</t>
  </si>
  <si>
    <t>EFFICIENCY=</t>
  </si>
  <si>
    <r>
      <t>C</t>
    </r>
    <r>
      <rPr>
        <vertAlign val="subscript"/>
        <sz val="11"/>
        <color theme="0"/>
        <rFont val="Calibri"/>
        <family val="2"/>
        <scheme val="minor"/>
      </rPr>
      <t>v</t>
    </r>
  </si>
  <si>
    <t>Enter p1(kPa)</t>
  </si>
  <si>
    <t>Enter  T1(K)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</si>
</sst>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0"/>
      <name val="Times New Roman"/>
      <family val="1"/>
    </font>
    <font>
      <b/>
      <sz val="10"/>
      <name val="Arial"/>
      <family val="2"/>
    </font>
    <font>
      <b/>
      <vertAlign val="subscript"/>
      <sz val="10"/>
      <name val="Arial"/>
      <family val="2"/>
    </font>
    <font>
      <b/>
      <sz val="10"/>
      <color theme="1"/>
      <name val="Arial"/>
      <family val="2"/>
    </font>
    <font>
      <b/>
      <sz val="8"/>
      <color indexed="81"/>
      <name val="Tahoma"/>
      <family val="2"/>
    </font>
    <font>
      <b/>
      <vertAlign val="subscript"/>
      <sz val="8"/>
      <color indexed="81"/>
      <name val="Tahoma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color theme="1"/>
      <name val="Times New Roman"/>
      <family val="1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Times New Roman"/>
      <family val="1"/>
    </font>
    <font>
      <vertAlign val="subscript"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33CC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2" fontId="5" fillId="3" borderId="1" xfId="0" applyNumberFormat="1" applyFont="1" applyFill="1" applyBorder="1" applyAlignment="1" applyProtection="1">
      <alignment horizontal="center"/>
      <protection locked="0"/>
    </xf>
    <xf numFmtId="2" fontId="5" fillId="3" borderId="1" xfId="0" applyNumberFormat="1" applyFont="1" applyFill="1" applyBorder="1" applyAlignment="1">
      <alignment horizontal="center"/>
    </xf>
    <xf numFmtId="2" fontId="3" fillId="4" borderId="1" xfId="0" applyNumberFormat="1" applyFont="1" applyFill="1" applyBorder="1" applyAlignment="1">
      <alignment horizontal="center"/>
    </xf>
    <xf numFmtId="0" fontId="3" fillId="4" borderId="8" xfId="0" applyFont="1" applyFill="1" applyBorder="1" applyAlignment="1">
      <alignment horizontal="center"/>
    </xf>
    <xf numFmtId="2" fontId="3" fillId="4" borderId="8" xfId="0" applyNumberFormat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0" fillId="6" borderId="0" xfId="0" applyFill="1"/>
    <xf numFmtId="0" fontId="0" fillId="0" borderId="0" xfId="0" applyAlignment="1">
      <alignment horizontal="center"/>
    </xf>
    <xf numFmtId="2" fontId="1" fillId="3" borderId="1" xfId="0" applyNumberFormat="1" applyFont="1" applyFill="1" applyBorder="1" applyAlignment="1">
      <alignment horizontal="center"/>
    </xf>
    <xf numFmtId="0" fontId="13" fillId="0" borderId="0" xfId="0" applyFont="1"/>
    <xf numFmtId="0" fontId="14" fillId="0" borderId="0" xfId="0" applyFont="1"/>
    <xf numFmtId="0" fontId="11" fillId="7" borderId="0" xfId="0" applyFont="1" applyFill="1"/>
    <xf numFmtId="0" fontId="13" fillId="0" borderId="0" xfId="0" applyFont="1" applyAlignment="1">
      <alignment horizontal="center"/>
    </xf>
    <xf numFmtId="2" fontId="13" fillId="0" borderId="0" xfId="0" applyNumberFormat="1" applyFont="1" applyAlignment="1">
      <alignment horizontal="center"/>
    </xf>
    <xf numFmtId="0" fontId="3" fillId="5" borderId="5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4" xfId="0" applyFont="1" applyFill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5" fillId="0" borderId="11" xfId="0" applyFont="1" applyBorder="1" applyAlignment="1">
      <alignment horizontal="center"/>
    </xf>
    <xf numFmtId="0" fontId="3" fillId="5" borderId="6" xfId="0" applyFont="1" applyFill="1" applyBorder="1" applyAlignment="1">
      <alignment horizontal="center"/>
    </xf>
    <xf numFmtId="0" fontId="3" fillId="5" borderId="7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33CC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998781572379159"/>
          <c:y val="5.0925925925925923E-2"/>
          <c:w val="0.81065412735242404"/>
          <c:h val="0.77045726209414411"/>
        </c:manualLayout>
      </c:layout>
      <c:scatterChart>
        <c:scatterStyle val="lineMarker"/>
        <c:varyColors val="0"/>
        <c:ser>
          <c:idx val="0"/>
          <c:order val="0"/>
          <c:tx>
            <c:v>Compression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Data!$B$2:$B$102</c:f>
              <c:numCache>
                <c:formatCode>General</c:formatCode>
                <c:ptCount val="101"/>
                <c:pt idx="0" formatCode="0.00">
                  <c:v>0.57399999999999995</c:v>
                </c:pt>
                <c:pt idx="1">
                  <c:v>0.55073219127814943</c:v>
                </c:pt>
                <c:pt idx="2">
                  <c:v>0.52960661965708156</c:v>
                </c:pt>
                <c:pt idx="3">
                  <c:v>0.51032689825072053</c:v>
                </c:pt>
                <c:pt idx="4">
                  <c:v>0.49265003547756114</c:v>
                </c:pt>
                <c:pt idx="5">
                  <c:v>0.4763747900449074</c:v>
                </c:pt>
                <c:pt idx="6">
                  <c:v>0.46133296834135396</c:v>
                </c:pt>
                <c:pt idx="7">
                  <c:v>0.44738282761260217</c:v>
                </c:pt>
                <c:pt idx="8">
                  <c:v>0.43440401051154598</c:v>
                </c:pt>
                <c:pt idx="9">
                  <c:v>0.42229360961335627</c:v>
                </c:pt>
                <c:pt idx="10">
                  <c:v>0.41096307683771865</c:v>
                </c:pt>
                <c:pt idx="11">
                  <c:v>0.40033577235317974</c:v>
                </c:pt>
                <c:pt idx="12">
                  <c:v>0.39034500291918606</c:v>
                </c:pt>
                <c:pt idx="13">
                  <c:v>0.38093243870561727</c:v>
                </c:pt>
                <c:pt idx="14">
                  <c:v>0.372046825588637</c:v>
                </c:pt>
                <c:pt idx="15">
                  <c:v>0.36364293017407845</c:v>
                </c:pt>
                <c:pt idx="16">
                  <c:v>0.35568066964081935</c:v>
                </c:pt>
                <c:pt idx="17">
                  <c:v>0.34812438949045549</c:v>
                </c:pt>
                <c:pt idx="18">
                  <c:v>0.3409422605158019</c:v>
                </c:pt>
                <c:pt idx="19">
                  <c:v>0.33410577251421547</c:v>
                </c:pt>
                <c:pt idx="20">
                  <c:v>0.32758930700645739</c:v>
                </c:pt>
                <c:pt idx="21">
                  <c:v>0.32136977485967544</c:v>
                </c:pt>
                <c:pt idx="22">
                  <c:v>0.31542630753002227</c:v>
                </c:pt>
                <c:pt idx="23">
                  <c:v>0.30973999283773329</c:v>
                </c:pt>
                <c:pt idx="24">
                  <c:v>0.30429364791336522</c:v>
                </c:pt>
                <c:pt idx="25">
                  <c:v>0.29907162331839215</c:v>
                </c:pt>
                <c:pt idx="26">
                  <c:v>0.2940596334288369</c:v>
                </c:pt>
                <c:pt idx="27">
                  <c:v>0.28924460903923571</c:v>
                </c:pt>
                <c:pt idx="28">
                  <c:v>0.2846145688431948</c:v>
                </c:pt>
                <c:pt idx="29">
                  <c:v>0.28015850701224532</c:v>
                </c:pt>
                <c:pt idx="30">
                  <c:v>0.27586629455444533</c:v>
                </c:pt>
                <c:pt idx="31">
                  <c:v>0.27172859250978759</c:v>
                </c:pt>
                <c:pt idx="32">
                  <c:v>0.26773677534775608</c:v>
                </c:pt>
                <c:pt idx="33">
                  <c:v>0.26388286318651832</c:v>
                </c:pt>
                <c:pt idx="34">
                  <c:v>0.26015946166362841</c:v>
                </c:pt>
                <c:pt idx="35">
                  <c:v>0.25655970846298753</c:v>
                </c:pt>
                <c:pt idx="36">
                  <c:v>0.25307722564871987</c:v>
                </c:pt>
                <c:pt idx="37">
                  <c:v>0.24970607707881717</c:v>
                </c:pt>
                <c:pt idx="38">
                  <c:v>0.24644073027410821</c:v>
                </c:pt>
                <c:pt idx="39">
                  <c:v>0.24327602220471398</c:v>
                </c:pt>
                <c:pt idx="40">
                  <c:v>0.24020712852943529</c:v>
                </c:pt>
                <c:pt idx="41">
                  <c:v>0.2372295358857088</c:v>
                </c:pt>
                <c:pt idx="42">
                  <c:v>0.2343390168807247</c:v>
                </c:pt>
                <c:pt idx="43">
                  <c:v>0.23153160747950416</c:v>
                </c:pt>
                <c:pt idx="44">
                  <c:v>0.22880358652445046</c:v>
                </c:pt>
                <c:pt idx="45">
                  <c:v>0.22615145715412222</c:v>
                </c:pt>
                <c:pt idx="46">
                  <c:v>0.22357192991759053</c:v>
                </c:pt>
                <c:pt idx="47">
                  <c:v>0.22106190740543166</c:v>
                </c:pt>
                <c:pt idx="48">
                  <c:v>0.21861847023977296</c:v>
                </c:pt>
                <c:pt idx="49">
                  <c:v>0.21623886428433192</c:v>
                </c:pt>
                <c:pt idx="50">
                  <c:v>0.2139204889514936</c:v>
                </c:pt>
                <c:pt idx="51">
                  <c:v>0.21166088649749581</c:v>
                </c:pt>
                <c:pt idx="52">
                  <c:v>0.20945773220904063</c:v>
                </c:pt>
                <c:pt idx="53">
                  <c:v>0.20730882539536072</c:v>
                </c:pt>
                <c:pt idx="54">
                  <c:v>0.20521208110916186</c:v>
                </c:pt>
                <c:pt idx="55">
                  <c:v>0.20316552252811138</c:v>
                </c:pt>
                <c:pt idx="56">
                  <c:v>0.20116727393579972</c:v>
                </c:pt>
                <c:pt idx="57">
                  <c:v>0.19921555424750292</c:v>
                </c:pt>
                <c:pt idx="58">
                  <c:v>0.19730867103172534</c:v>
                </c:pt>
                <c:pt idx="59">
                  <c:v>0.19544501498350311</c:v>
                </c:pt>
                <c:pt idx="60">
                  <c:v>0.19362305480987976</c:v>
                </c:pt>
                <c:pt idx="61">
                  <c:v>0.19184133249190158</c:v>
                </c:pt>
                <c:pt idx="62">
                  <c:v>0.19009845889097671</c:v>
                </c:pt>
                <c:pt idx="63">
                  <c:v>0.18839310967055908</c:v>
                </c:pt>
                <c:pt idx="64">
                  <c:v>0.18672402150689613</c:v>
                </c:pt>
                <c:pt idx="65">
                  <c:v>0.18508998856506076</c:v>
                </c:pt>
                <c:pt idx="66">
                  <c:v>0.18348985921870989</c:v>
                </c:pt>
                <c:pt idx="67">
                  <c:v>0.18192253299399908</c:v>
                </c:pt>
                <c:pt idx="68">
                  <c:v>0.18038695771986757</c:v>
                </c:pt>
                <c:pt idx="69">
                  <c:v>0.17888212686851068</c:v>
                </c:pt>
                <c:pt idx="70">
                  <c:v>0.17740707707129741</c:v>
                </c:pt>
                <c:pt idx="71">
                  <c:v>0.17596088579668875</c:v>
                </c:pt>
                <c:pt idx="72">
                  <c:v>0.17454266917788383</c:v>
                </c:pt>
                <c:pt idx="73">
                  <c:v>0.17315157997897532</c:v>
                </c:pt>
                <c:pt idx="74">
                  <c:v>0.17178680568935259</c:v>
                </c:pt>
                <c:pt idx="75">
                  <c:v>0.17044756673695366</c:v>
                </c:pt>
                <c:pt idx="76">
                  <c:v>0.16913311481175114</c:v>
                </c:pt>
                <c:pt idx="77">
                  <c:v>0.16784273129156532</c:v>
                </c:pt>
                <c:pt idx="78">
                  <c:v>0.16657572576294413</c:v>
                </c:pt>
                <c:pt idx="79">
                  <c:v>0.16533143463043484</c:v>
                </c:pt>
                <c:pt idx="80">
                  <c:v>0.16410921980810389</c:v>
                </c:pt>
                <c:pt idx="81">
                  <c:v>0.16290846748764934</c:v>
                </c:pt>
                <c:pt idx="82">
                  <c:v>0.1617285869778905</c:v>
                </c:pt>
                <c:pt idx="83">
                  <c:v>0.16056900961082424</c:v>
                </c:pt>
                <c:pt idx="84">
                  <c:v>0.15942918770980635</c:v>
                </c:pt>
                <c:pt idx="85">
                  <c:v>0.158308593615753</c:v>
                </c:pt>
                <c:pt idx="86">
                  <c:v>0.15720671876756614</c:v>
                </c:pt>
                <c:pt idx="87">
                  <c:v>0.15612307283326973</c:v>
                </c:pt>
                <c:pt idx="88">
                  <c:v>0.15505718288860162</c:v>
                </c:pt>
                <c:pt idx="89">
                  <c:v>0.15400859264004532</c:v>
                </c:pt>
                <c:pt idx="90">
                  <c:v>0.15297686168950203</c:v>
                </c:pt>
                <c:pt idx="91">
                  <c:v>0.15196156483800624</c:v>
                </c:pt>
                <c:pt idx="92">
                  <c:v>0.15096229142607021</c:v>
                </c:pt>
                <c:pt idx="93">
                  <c:v>0.14997864470841529</c:v>
                </c:pt>
                <c:pt idx="94">
                  <c:v>0.14901024126100154</c:v>
                </c:pt>
                <c:pt idx="95">
                  <c:v>0.14805671041841356</c:v>
                </c:pt>
                <c:pt idx="96">
                  <c:v>0.147117693739793</c:v>
                </c:pt>
                <c:pt idx="97">
                  <c:v>0.14619284450163</c:v>
                </c:pt>
                <c:pt idx="98">
                  <c:v>0.14528182721584093</c:v>
                </c:pt>
                <c:pt idx="99">
                  <c:v>0.14438431717166378</c:v>
                </c:pt>
                <c:pt idx="100">
                  <c:v>0.14349999999999999</c:v>
                </c:pt>
              </c:numCache>
            </c:numRef>
          </c:xVal>
          <c:yVal>
            <c:numRef>
              <c:f>Data!$A$2:$A$102</c:f>
              <c:numCache>
                <c:formatCode>General</c:formatCode>
                <c:ptCount val="101"/>
                <c:pt idx="0" formatCode="0.00">
                  <c:v>1000</c:v>
                </c:pt>
                <c:pt idx="1">
                  <c:v>1059.6440450636899</c:v>
                </c:pt>
                <c:pt idx="2">
                  <c:v>1119.2880901273797</c:v>
                </c:pt>
                <c:pt idx="3">
                  <c:v>1178.9321351910696</c:v>
                </c:pt>
                <c:pt idx="4">
                  <c:v>1238.5761802547595</c:v>
                </c:pt>
                <c:pt idx="5">
                  <c:v>1298.2202253184494</c:v>
                </c:pt>
                <c:pt idx="6">
                  <c:v>1357.8642703821392</c:v>
                </c:pt>
                <c:pt idx="7">
                  <c:v>1417.5083154458291</c:v>
                </c:pt>
                <c:pt idx="8">
                  <c:v>1477.152360509519</c:v>
                </c:pt>
                <c:pt idx="9">
                  <c:v>1536.7964055732089</c:v>
                </c:pt>
                <c:pt idx="10">
                  <c:v>1596.4404506368987</c:v>
                </c:pt>
                <c:pt idx="11">
                  <c:v>1656.0844957005886</c:v>
                </c:pt>
                <c:pt idx="12">
                  <c:v>1715.7285407642785</c:v>
                </c:pt>
                <c:pt idx="13">
                  <c:v>1775.3725858279684</c:v>
                </c:pt>
                <c:pt idx="14">
                  <c:v>1835.0166308916582</c:v>
                </c:pt>
                <c:pt idx="15">
                  <c:v>1894.6606759553481</c:v>
                </c:pt>
                <c:pt idx="16">
                  <c:v>1954.304721019038</c:v>
                </c:pt>
                <c:pt idx="17">
                  <c:v>2013.9487660827278</c:v>
                </c:pt>
                <c:pt idx="18">
                  <c:v>2073.5928111464177</c:v>
                </c:pt>
                <c:pt idx="19">
                  <c:v>2133.2368562101078</c:v>
                </c:pt>
                <c:pt idx="20">
                  <c:v>2192.8809012737979</c:v>
                </c:pt>
                <c:pt idx="21">
                  <c:v>2252.524946337488</c:v>
                </c:pt>
                <c:pt idx="22">
                  <c:v>2312.1689914011781</c:v>
                </c:pt>
                <c:pt idx="23">
                  <c:v>2371.8130364648682</c:v>
                </c:pt>
                <c:pt idx="24">
                  <c:v>2431.4570815285583</c:v>
                </c:pt>
                <c:pt idx="25">
                  <c:v>2491.1011265922484</c:v>
                </c:pt>
                <c:pt idx="26">
                  <c:v>2550.7451716559385</c:v>
                </c:pt>
                <c:pt idx="27">
                  <c:v>2610.3892167196286</c:v>
                </c:pt>
                <c:pt idx="28">
                  <c:v>2670.0332617833187</c:v>
                </c:pt>
                <c:pt idx="29">
                  <c:v>2729.6773068470088</c:v>
                </c:pt>
                <c:pt idx="30">
                  <c:v>2789.3213519106989</c:v>
                </c:pt>
                <c:pt idx="31">
                  <c:v>2848.965396974389</c:v>
                </c:pt>
                <c:pt idx="32">
                  <c:v>2908.6094420380791</c:v>
                </c:pt>
                <c:pt idx="33">
                  <c:v>2968.2534871017692</c:v>
                </c:pt>
                <c:pt idx="34">
                  <c:v>3027.8975321654593</c:v>
                </c:pt>
                <c:pt idx="35">
                  <c:v>3087.5415772291494</c:v>
                </c:pt>
                <c:pt idx="36">
                  <c:v>3147.1856222928395</c:v>
                </c:pt>
                <c:pt idx="37">
                  <c:v>3206.8296673565296</c:v>
                </c:pt>
                <c:pt idx="38">
                  <c:v>3266.4737124202197</c:v>
                </c:pt>
                <c:pt idx="39">
                  <c:v>3326.1177574839098</c:v>
                </c:pt>
                <c:pt idx="40">
                  <c:v>3385.7618025475999</c:v>
                </c:pt>
                <c:pt idx="41">
                  <c:v>3445.40584761129</c:v>
                </c:pt>
                <c:pt idx="42">
                  <c:v>3505.0498926749801</c:v>
                </c:pt>
                <c:pt idx="43">
                  <c:v>3564.6939377386702</c:v>
                </c:pt>
                <c:pt idx="44">
                  <c:v>3624.3379828023603</c:v>
                </c:pt>
                <c:pt idx="45">
                  <c:v>3683.9820278660504</c:v>
                </c:pt>
                <c:pt idx="46">
                  <c:v>3743.6260729297405</c:v>
                </c:pt>
                <c:pt idx="47">
                  <c:v>3803.2701179934306</c:v>
                </c:pt>
                <c:pt idx="48">
                  <c:v>3862.9141630571207</c:v>
                </c:pt>
                <c:pt idx="49">
                  <c:v>3922.5582081208108</c:v>
                </c:pt>
                <c:pt idx="50">
                  <c:v>3982.2022531845009</c:v>
                </c:pt>
                <c:pt idx="51">
                  <c:v>4041.846298248191</c:v>
                </c:pt>
                <c:pt idx="52">
                  <c:v>4101.4903433118807</c:v>
                </c:pt>
                <c:pt idx="53">
                  <c:v>4161.1343883755708</c:v>
                </c:pt>
                <c:pt idx="54">
                  <c:v>4220.7784334392609</c:v>
                </c:pt>
                <c:pt idx="55">
                  <c:v>4280.422478502951</c:v>
                </c:pt>
                <c:pt idx="56">
                  <c:v>4340.0665235666411</c:v>
                </c:pt>
                <c:pt idx="57">
                  <c:v>4399.7105686303312</c:v>
                </c:pt>
                <c:pt idx="58">
                  <c:v>4459.3546136940213</c:v>
                </c:pt>
                <c:pt idx="59">
                  <c:v>4518.9986587577114</c:v>
                </c:pt>
                <c:pt idx="60">
                  <c:v>4578.6427038214015</c:v>
                </c:pt>
                <c:pt idx="61">
                  <c:v>4638.2867488850916</c:v>
                </c:pt>
                <c:pt idx="62">
                  <c:v>4697.9307939487817</c:v>
                </c:pt>
                <c:pt idx="63">
                  <c:v>4757.5748390124718</c:v>
                </c:pt>
                <c:pt idx="64">
                  <c:v>4817.2188840761619</c:v>
                </c:pt>
                <c:pt idx="65">
                  <c:v>4876.862929139852</c:v>
                </c:pt>
                <c:pt idx="66">
                  <c:v>4936.5069742035421</c:v>
                </c:pt>
                <c:pt idx="67">
                  <c:v>4996.1510192672322</c:v>
                </c:pt>
                <c:pt idx="68">
                  <c:v>5055.7950643309223</c:v>
                </c:pt>
                <c:pt idx="69">
                  <c:v>5115.4391093946124</c:v>
                </c:pt>
                <c:pt idx="70">
                  <c:v>5175.0831544583025</c:v>
                </c:pt>
                <c:pt idx="71">
                  <c:v>5234.7271995219926</c:v>
                </c:pt>
                <c:pt idx="72">
                  <c:v>5294.3712445856827</c:v>
                </c:pt>
                <c:pt idx="73">
                  <c:v>5354.0152896493728</c:v>
                </c:pt>
                <c:pt idx="74">
                  <c:v>5413.6593347130629</c:v>
                </c:pt>
                <c:pt idx="75">
                  <c:v>5473.303379776753</c:v>
                </c:pt>
                <c:pt idx="76">
                  <c:v>5532.9474248404431</c:v>
                </c:pt>
                <c:pt idx="77">
                  <c:v>5592.5914699041332</c:v>
                </c:pt>
                <c:pt idx="78">
                  <c:v>5652.2355149678233</c:v>
                </c:pt>
                <c:pt idx="79">
                  <c:v>5711.8795600315134</c:v>
                </c:pt>
                <c:pt idx="80">
                  <c:v>5771.5236050952035</c:v>
                </c:pt>
                <c:pt idx="81">
                  <c:v>5831.1676501588936</c:v>
                </c:pt>
                <c:pt idx="82">
                  <c:v>5890.8116952225837</c:v>
                </c:pt>
                <c:pt idx="83">
                  <c:v>5950.4557402862738</c:v>
                </c:pt>
                <c:pt idx="84">
                  <c:v>6010.0997853499639</c:v>
                </c:pt>
                <c:pt idx="85">
                  <c:v>6069.743830413654</c:v>
                </c:pt>
                <c:pt idx="86">
                  <c:v>6129.3878754773441</c:v>
                </c:pt>
                <c:pt idx="87">
                  <c:v>6189.0319205410342</c:v>
                </c:pt>
                <c:pt idx="88">
                  <c:v>6248.6759656047243</c:v>
                </c:pt>
                <c:pt idx="89">
                  <c:v>6308.3200106684144</c:v>
                </c:pt>
                <c:pt idx="90">
                  <c:v>6367.9640557321045</c:v>
                </c:pt>
                <c:pt idx="91">
                  <c:v>6427.6081007957946</c:v>
                </c:pt>
                <c:pt idx="92">
                  <c:v>6487.2521458594847</c:v>
                </c:pt>
                <c:pt idx="93">
                  <c:v>6546.8961909231748</c:v>
                </c:pt>
                <c:pt idx="94">
                  <c:v>6606.5402359868649</c:v>
                </c:pt>
                <c:pt idx="95">
                  <c:v>6666.184281050555</c:v>
                </c:pt>
                <c:pt idx="96">
                  <c:v>6725.8283261142451</c:v>
                </c:pt>
                <c:pt idx="97">
                  <c:v>6785.4723711779352</c:v>
                </c:pt>
                <c:pt idx="98">
                  <c:v>6845.1164162416253</c:v>
                </c:pt>
                <c:pt idx="99">
                  <c:v>6904.7604613053154</c:v>
                </c:pt>
                <c:pt idx="100">
                  <c:v>6964.4045063690055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56-4ED8-9395-28D08A688D2C}"/>
            </c:ext>
          </c:extLst>
        </c:ser>
        <c:ser>
          <c:idx val="1"/>
          <c:order val="1"/>
          <c:tx>
            <c:v>Combustion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Data!$E$2:$E$102</c:f>
              <c:numCache>
                <c:formatCode>General</c:formatCode>
                <c:ptCount val="101"/>
                <c:pt idx="0" formatCode="0.00">
                  <c:v>0.14349999999999999</c:v>
                </c:pt>
                <c:pt idx="1">
                  <c:v>0.14565249999999999</c:v>
                </c:pt>
                <c:pt idx="2">
                  <c:v>0.14780499999999999</c:v>
                </c:pt>
                <c:pt idx="3">
                  <c:v>0.14995749999999999</c:v>
                </c:pt>
                <c:pt idx="4">
                  <c:v>0.15211</c:v>
                </c:pt>
                <c:pt idx="5">
                  <c:v>0.1542625</c:v>
                </c:pt>
                <c:pt idx="6">
                  <c:v>0.156415</c:v>
                </c:pt>
                <c:pt idx="7">
                  <c:v>0.1585675</c:v>
                </c:pt>
                <c:pt idx="8">
                  <c:v>0.16072</c:v>
                </c:pt>
                <c:pt idx="9">
                  <c:v>0.1628725</c:v>
                </c:pt>
                <c:pt idx="10">
                  <c:v>0.16502500000000001</c:v>
                </c:pt>
                <c:pt idx="11">
                  <c:v>0.16717750000000001</c:v>
                </c:pt>
                <c:pt idx="12">
                  <c:v>0.16933000000000001</c:v>
                </c:pt>
                <c:pt idx="13">
                  <c:v>0.17148250000000001</c:v>
                </c:pt>
                <c:pt idx="14">
                  <c:v>0.17363500000000001</c:v>
                </c:pt>
                <c:pt idx="15">
                  <c:v>0.17578750000000001</c:v>
                </c:pt>
                <c:pt idx="16">
                  <c:v>0.17794000000000001</c:v>
                </c:pt>
                <c:pt idx="17">
                  <c:v>0.18009250000000002</c:v>
                </c:pt>
                <c:pt idx="18">
                  <c:v>0.18224500000000002</c:v>
                </c:pt>
                <c:pt idx="19">
                  <c:v>0.18439750000000002</c:v>
                </c:pt>
                <c:pt idx="20">
                  <c:v>0.18655000000000002</c:v>
                </c:pt>
                <c:pt idx="21">
                  <c:v>0.18870250000000002</c:v>
                </c:pt>
                <c:pt idx="22">
                  <c:v>0.19085500000000002</c:v>
                </c:pt>
                <c:pt idx="23">
                  <c:v>0.19300750000000003</c:v>
                </c:pt>
                <c:pt idx="24">
                  <c:v>0.19516000000000003</c:v>
                </c:pt>
                <c:pt idx="25">
                  <c:v>0.19731250000000003</c:v>
                </c:pt>
                <c:pt idx="26">
                  <c:v>0.19946500000000003</c:v>
                </c:pt>
                <c:pt idx="27">
                  <c:v>0.20161750000000003</c:v>
                </c:pt>
                <c:pt idx="28">
                  <c:v>0.20377000000000003</c:v>
                </c:pt>
                <c:pt idx="29">
                  <c:v>0.20592250000000004</c:v>
                </c:pt>
                <c:pt idx="30">
                  <c:v>0.20807500000000004</c:v>
                </c:pt>
                <c:pt idx="31">
                  <c:v>0.21022750000000004</c:v>
                </c:pt>
                <c:pt idx="32">
                  <c:v>0.21238000000000004</c:v>
                </c:pt>
                <c:pt idx="33">
                  <c:v>0.21453250000000004</c:v>
                </c:pt>
                <c:pt idx="34">
                  <c:v>0.21668500000000004</c:v>
                </c:pt>
                <c:pt idx="35">
                  <c:v>0.21883750000000005</c:v>
                </c:pt>
                <c:pt idx="36">
                  <c:v>0.22099000000000005</c:v>
                </c:pt>
                <c:pt idx="37">
                  <c:v>0.22314250000000005</c:v>
                </c:pt>
                <c:pt idx="38">
                  <c:v>0.22529500000000005</c:v>
                </c:pt>
                <c:pt idx="39">
                  <c:v>0.22744750000000005</c:v>
                </c:pt>
                <c:pt idx="40">
                  <c:v>0.22960000000000005</c:v>
                </c:pt>
                <c:pt idx="41">
                  <c:v>0.23175250000000006</c:v>
                </c:pt>
                <c:pt idx="42">
                  <c:v>0.23390500000000006</c:v>
                </c:pt>
                <c:pt idx="43">
                  <c:v>0.23605750000000006</c:v>
                </c:pt>
                <c:pt idx="44">
                  <c:v>0.23821000000000006</c:v>
                </c:pt>
                <c:pt idx="45">
                  <c:v>0.24036250000000006</c:v>
                </c:pt>
                <c:pt idx="46">
                  <c:v>0.24251500000000006</c:v>
                </c:pt>
                <c:pt idx="47">
                  <c:v>0.24466750000000007</c:v>
                </c:pt>
                <c:pt idx="48">
                  <c:v>0.24682000000000007</c:v>
                </c:pt>
                <c:pt idx="49">
                  <c:v>0.24897250000000007</c:v>
                </c:pt>
                <c:pt idx="50">
                  <c:v>0.25112500000000004</c:v>
                </c:pt>
                <c:pt idx="51">
                  <c:v>0.25327750000000004</c:v>
                </c:pt>
                <c:pt idx="52">
                  <c:v>0.25543000000000005</c:v>
                </c:pt>
                <c:pt idx="53">
                  <c:v>0.25758250000000005</c:v>
                </c:pt>
                <c:pt idx="54">
                  <c:v>0.25973500000000005</c:v>
                </c:pt>
                <c:pt idx="55">
                  <c:v>0.26188750000000005</c:v>
                </c:pt>
                <c:pt idx="56">
                  <c:v>0.26404000000000005</c:v>
                </c:pt>
                <c:pt idx="57">
                  <c:v>0.26619250000000005</c:v>
                </c:pt>
                <c:pt idx="58">
                  <c:v>0.26834500000000006</c:v>
                </c:pt>
                <c:pt idx="59">
                  <c:v>0.27049750000000006</c:v>
                </c:pt>
                <c:pt idx="60">
                  <c:v>0.27265000000000006</c:v>
                </c:pt>
                <c:pt idx="61">
                  <c:v>0.27480250000000006</c:v>
                </c:pt>
                <c:pt idx="62">
                  <c:v>0.27695500000000006</c:v>
                </c:pt>
                <c:pt idx="63">
                  <c:v>0.27910750000000006</c:v>
                </c:pt>
                <c:pt idx="64">
                  <c:v>0.28126000000000007</c:v>
                </c:pt>
                <c:pt idx="65">
                  <c:v>0.28341250000000007</c:v>
                </c:pt>
                <c:pt idx="66">
                  <c:v>0.28556500000000007</c:v>
                </c:pt>
                <c:pt idx="67">
                  <c:v>0.28771750000000007</c:v>
                </c:pt>
                <c:pt idx="68">
                  <c:v>0.28987000000000007</c:v>
                </c:pt>
                <c:pt idx="69">
                  <c:v>0.29202250000000007</c:v>
                </c:pt>
                <c:pt idx="70">
                  <c:v>0.29417500000000008</c:v>
                </c:pt>
                <c:pt idx="71">
                  <c:v>0.29632750000000008</c:v>
                </c:pt>
                <c:pt idx="72">
                  <c:v>0.29848000000000008</c:v>
                </c:pt>
                <c:pt idx="73">
                  <c:v>0.30063250000000008</c:v>
                </c:pt>
                <c:pt idx="74">
                  <c:v>0.30278500000000008</c:v>
                </c:pt>
                <c:pt idx="75">
                  <c:v>0.30493750000000008</c:v>
                </c:pt>
                <c:pt idx="76">
                  <c:v>0.30709000000000009</c:v>
                </c:pt>
                <c:pt idx="77">
                  <c:v>0.30924250000000009</c:v>
                </c:pt>
                <c:pt idx="78">
                  <c:v>0.31139500000000009</c:v>
                </c:pt>
                <c:pt idx="79">
                  <c:v>0.31354750000000009</c:v>
                </c:pt>
                <c:pt idx="80">
                  <c:v>0.31570000000000009</c:v>
                </c:pt>
                <c:pt idx="81">
                  <c:v>0.31785250000000009</c:v>
                </c:pt>
                <c:pt idx="82">
                  <c:v>0.32000500000000009</c:v>
                </c:pt>
                <c:pt idx="83">
                  <c:v>0.3221575000000001</c:v>
                </c:pt>
                <c:pt idx="84">
                  <c:v>0.3243100000000001</c:v>
                </c:pt>
                <c:pt idx="85">
                  <c:v>0.3264625000000001</c:v>
                </c:pt>
                <c:pt idx="86">
                  <c:v>0.3286150000000001</c:v>
                </c:pt>
                <c:pt idx="87">
                  <c:v>0.3307675000000001</c:v>
                </c:pt>
                <c:pt idx="88">
                  <c:v>0.3329200000000001</c:v>
                </c:pt>
                <c:pt idx="89">
                  <c:v>0.33507250000000011</c:v>
                </c:pt>
                <c:pt idx="90">
                  <c:v>0.33722500000000011</c:v>
                </c:pt>
                <c:pt idx="91">
                  <c:v>0.33937750000000011</c:v>
                </c:pt>
                <c:pt idx="92">
                  <c:v>0.34153000000000011</c:v>
                </c:pt>
                <c:pt idx="93">
                  <c:v>0.34368250000000011</c:v>
                </c:pt>
                <c:pt idx="94">
                  <c:v>0.34583500000000011</c:v>
                </c:pt>
                <c:pt idx="95">
                  <c:v>0.34798750000000012</c:v>
                </c:pt>
                <c:pt idx="96">
                  <c:v>0.35014000000000012</c:v>
                </c:pt>
                <c:pt idx="97">
                  <c:v>0.35229250000000012</c:v>
                </c:pt>
                <c:pt idx="98">
                  <c:v>0.35444500000000012</c:v>
                </c:pt>
                <c:pt idx="99">
                  <c:v>0.35659750000000012</c:v>
                </c:pt>
                <c:pt idx="100">
                  <c:v>0.35875000000000012</c:v>
                </c:pt>
              </c:numCache>
            </c:numRef>
          </c:xVal>
          <c:yVal>
            <c:numRef>
              <c:f>Data!$D$2:$D$102</c:f>
              <c:numCache>
                <c:formatCode>0.00</c:formatCode>
                <c:ptCount val="101"/>
                <c:pt idx="0">
                  <c:v>6964.4045063689919</c:v>
                </c:pt>
                <c:pt idx="1">
                  <c:v>6964.4045063689919</c:v>
                </c:pt>
                <c:pt idx="2">
                  <c:v>6964.4045063689919</c:v>
                </c:pt>
                <c:pt idx="3">
                  <c:v>6964.4045063689919</c:v>
                </c:pt>
                <c:pt idx="4">
                  <c:v>6964.4045063689919</c:v>
                </c:pt>
                <c:pt idx="5">
                  <c:v>6964.4045063689919</c:v>
                </c:pt>
                <c:pt idx="6">
                  <c:v>6964.4045063689919</c:v>
                </c:pt>
                <c:pt idx="7">
                  <c:v>6964.4045063689919</c:v>
                </c:pt>
                <c:pt idx="8">
                  <c:v>6964.4045063689919</c:v>
                </c:pt>
                <c:pt idx="9">
                  <c:v>6964.4045063689919</c:v>
                </c:pt>
                <c:pt idx="10">
                  <c:v>6964.4045063689919</c:v>
                </c:pt>
                <c:pt idx="11">
                  <c:v>6964.4045063689919</c:v>
                </c:pt>
                <c:pt idx="12">
                  <c:v>6964.4045063689919</c:v>
                </c:pt>
                <c:pt idx="13">
                  <c:v>6964.4045063689919</c:v>
                </c:pt>
                <c:pt idx="14">
                  <c:v>6964.4045063689919</c:v>
                </c:pt>
                <c:pt idx="15">
                  <c:v>6964.4045063689919</c:v>
                </c:pt>
                <c:pt idx="16">
                  <c:v>6964.4045063689919</c:v>
                </c:pt>
                <c:pt idx="17">
                  <c:v>6964.4045063689919</c:v>
                </c:pt>
                <c:pt idx="18">
                  <c:v>6964.4045063689919</c:v>
                </c:pt>
                <c:pt idx="19">
                  <c:v>6964.4045063689919</c:v>
                </c:pt>
                <c:pt idx="20">
                  <c:v>6964.4045063689919</c:v>
                </c:pt>
                <c:pt idx="21">
                  <c:v>6964.4045063689919</c:v>
                </c:pt>
                <c:pt idx="22">
                  <c:v>6964.4045063689919</c:v>
                </c:pt>
                <c:pt idx="23">
                  <c:v>6964.4045063689919</c:v>
                </c:pt>
                <c:pt idx="24">
                  <c:v>6964.4045063689919</c:v>
                </c:pt>
                <c:pt idx="25">
                  <c:v>6964.4045063689919</c:v>
                </c:pt>
                <c:pt idx="26">
                  <c:v>6964.4045063689919</c:v>
                </c:pt>
                <c:pt idx="27">
                  <c:v>6964.4045063689919</c:v>
                </c:pt>
                <c:pt idx="28">
                  <c:v>6964.4045063689919</c:v>
                </c:pt>
                <c:pt idx="29">
                  <c:v>6964.4045063689919</c:v>
                </c:pt>
                <c:pt idx="30">
                  <c:v>6964.4045063689919</c:v>
                </c:pt>
                <c:pt idx="31">
                  <c:v>6964.4045063689919</c:v>
                </c:pt>
                <c:pt idx="32">
                  <c:v>6964.4045063689919</c:v>
                </c:pt>
                <c:pt idx="33">
                  <c:v>6964.4045063689919</c:v>
                </c:pt>
                <c:pt idx="34">
                  <c:v>6964.4045063689919</c:v>
                </c:pt>
                <c:pt idx="35">
                  <c:v>6964.4045063689919</c:v>
                </c:pt>
                <c:pt idx="36">
                  <c:v>6964.4045063689919</c:v>
                </c:pt>
                <c:pt idx="37">
                  <c:v>6964.4045063689919</c:v>
                </c:pt>
                <c:pt idx="38">
                  <c:v>6964.4045063689919</c:v>
                </c:pt>
                <c:pt idx="39">
                  <c:v>6964.4045063689919</c:v>
                </c:pt>
                <c:pt idx="40">
                  <c:v>6964.4045063689919</c:v>
                </c:pt>
                <c:pt idx="41">
                  <c:v>6964.4045063689919</c:v>
                </c:pt>
                <c:pt idx="42">
                  <c:v>6964.4045063689919</c:v>
                </c:pt>
                <c:pt idx="43">
                  <c:v>6964.4045063689919</c:v>
                </c:pt>
                <c:pt idx="44">
                  <c:v>6964.4045063689919</c:v>
                </c:pt>
                <c:pt idx="45">
                  <c:v>6964.4045063689919</c:v>
                </c:pt>
                <c:pt idx="46">
                  <c:v>6964.4045063689919</c:v>
                </c:pt>
                <c:pt idx="47">
                  <c:v>6964.4045063689919</c:v>
                </c:pt>
                <c:pt idx="48">
                  <c:v>6964.4045063689919</c:v>
                </c:pt>
                <c:pt idx="49">
                  <c:v>6964.4045063689919</c:v>
                </c:pt>
                <c:pt idx="50">
                  <c:v>6964.4045063689919</c:v>
                </c:pt>
                <c:pt idx="51">
                  <c:v>6964.4045063689919</c:v>
                </c:pt>
                <c:pt idx="52">
                  <c:v>6964.4045063689919</c:v>
                </c:pt>
                <c:pt idx="53">
                  <c:v>6964.4045063689919</c:v>
                </c:pt>
                <c:pt idx="54">
                  <c:v>6964.4045063689919</c:v>
                </c:pt>
                <c:pt idx="55">
                  <c:v>6964.4045063689919</c:v>
                </c:pt>
                <c:pt idx="56">
                  <c:v>6964.4045063689919</c:v>
                </c:pt>
                <c:pt idx="57">
                  <c:v>6964.4045063689919</c:v>
                </c:pt>
                <c:pt idx="58">
                  <c:v>6964.4045063689919</c:v>
                </c:pt>
                <c:pt idx="59">
                  <c:v>6964.4045063689919</c:v>
                </c:pt>
                <c:pt idx="60">
                  <c:v>6964.4045063689919</c:v>
                </c:pt>
                <c:pt idx="61">
                  <c:v>6964.4045063689919</c:v>
                </c:pt>
                <c:pt idx="62">
                  <c:v>6964.4045063689919</c:v>
                </c:pt>
                <c:pt idx="63">
                  <c:v>6964.4045063689919</c:v>
                </c:pt>
                <c:pt idx="64">
                  <c:v>6964.4045063689919</c:v>
                </c:pt>
                <c:pt idx="65">
                  <c:v>6964.4045063689919</c:v>
                </c:pt>
                <c:pt idx="66">
                  <c:v>6964.4045063689919</c:v>
                </c:pt>
                <c:pt idx="67">
                  <c:v>6964.4045063689919</c:v>
                </c:pt>
                <c:pt idx="68">
                  <c:v>6964.4045063689919</c:v>
                </c:pt>
                <c:pt idx="69">
                  <c:v>6964.4045063689919</c:v>
                </c:pt>
                <c:pt idx="70">
                  <c:v>6964.4045063689919</c:v>
                </c:pt>
                <c:pt idx="71">
                  <c:v>6964.4045063689919</c:v>
                </c:pt>
                <c:pt idx="72">
                  <c:v>6964.4045063689919</c:v>
                </c:pt>
                <c:pt idx="73">
                  <c:v>6964.4045063689919</c:v>
                </c:pt>
                <c:pt idx="74">
                  <c:v>6964.4045063689919</c:v>
                </c:pt>
                <c:pt idx="75">
                  <c:v>6964.4045063689919</c:v>
                </c:pt>
                <c:pt idx="76">
                  <c:v>6964.4045063689919</c:v>
                </c:pt>
                <c:pt idx="77">
                  <c:v>6964.4045063689919</c:v>
                </c:pt>
                <c:pt idx="78">
                  <c:v>6964.4045063689919</c:v>
                </c:pt>
                <c:pt idx="79">
                  <c:v>6964.4045063689919</c:v>
                </c:pt>
                <c:pt idx="80">
                  <c:v>6964.4045063689919</c:v>
                </c:pt>
                <c:pt idx="81">
                  <c:v>6964.4045063689919</c:v>
                </c:pt>
                <c:pt idx="82">
                  <c:v>6964.4045063689919</c:v>
                </c:pt>
                <c:pt idx="83">
                  <c:v>6964.4045063689919</c:v>
                </c:pt>
                <c:pt idx="84">
                  <c:v>6964.4045063689919</c:v>
                </c:pt>
                <c:pt idx="85">
                  <c:v>6964.4045063689919</c:v>
                </c:pt>
                <c:pt idx="86">
                  <c:v>6964.4045063689919</c:v>
                </c:pt>
                <c:pt idx="87">
                  <c:v>6964.4045063689919</c:v>
                </c:pt>
                <c:pt idx="88">
                  <c:v>6964.4045063689919</c:v>
                </c:pt>
                <c:pt idx="89">
                  <c:v>6964.4045063689919</c:v>
                </c:pt>
                <c:pt idx="90">
                  <c:v>6964.4045063689919</c:v>
                </c:pt>
                <c:pt idx="91">
                  <c:v>6964.4045063689919</c:v>
                </c:pt>
                <c:pt idx="92">
                  <c:v>6964.4045063689919</c:v>
                </c:pt>
                <c:pt idx="93">
                  <c:v>6964.4045063689919</c:v>
                </c:pt>
                <c:pt idx="94">
                  <c:v>6964.4045063689919</c:v>
                </c:pt>
                <c:pt idx="95">
                  <c:v>6964.4045063689919</c:v>
                </c:pt>
                <c:pt idx="96">
                  <c:v>6964.4045063689919</c:v>
                </c:pt>
                <c:pt idx="97">
                  <c:v>6964.4045063689919</c:v>
                </c:pt>
                <c:pt idx="98">
                  <c:v>6964.4045063689919</c:v>
                </c:pt>
                <c:pt idx="99">
                  <c:v>6964.4045063689919</c:v>
                </c:pt>
                <c:pt idx="100">
                  <c:v>6964.4045063689919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856-4ED8-9395-28D08A688D2C}"/>
            </c:ext>
          </c:extLst>
        </c:ser>
        <c:ser>
          <c:idx val="2"/>
          <c:order val="2"/>
          <c:tx>
            <c:v>Power Stroke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Data!$G$2:$G$102</c:f>
              <c:numCache>
                <c:formatCode>General</c:formatCode>
                <c:ptCount val="101"/>
                <c:pt idx="0" formatCode="0.00">
                  <c:v>0.35875000000000007</c:v>
                </c:pt>
                <c:pt idx="1">
                  <c:v>0.36090250000000007</c:v>
                </c:pt>
                <c:pt idx="2">
                  <c:v>0.36305500000000007</c:v>
                </c:pt>
                <c:pt idx="3">
                  <c:v>0.36520750000000007</c:v>
                </c:pt>
                <c:pt idx="4">
                  <c:v>0.36736000000000008</c:v>
                </c:pt>
                <c:pt idx="5">
                  <c:v>0.36951250000000008</c:v>
                </c:pt>
                <c:pt idx="6">
                  <c:v>0.37166500000000008</c:v>
                </c:pt>
                <c:pt idx="7">
                  <c:v>0.37381750000000008</c:v>
                </c:pt>
                <c:pt idx="8">
                  <c:v>0.37597000000000008</c:v>
                </c:pt>
                <c:pt idx="9">
                  <c:v>0.37812250000000008</c:v>
                </c:pt>
                <c:pt idx="10">
                  <c:v>0.38027500000000009</c:v>
                </c:pt>
                <c:pt idx="11">
                  <c:v>0.38242750000000009</c:v>
                </c:pt>
                <c:pt idx="12">
                  <c:v>0.38458000000000009</c:v>
                </c:pt>
                <c:pt idx="13">
                  <c:v>0.38673250000000009</c:v>
                </c:pt>
                <c:pt idx="14">
                  <c:v>0.38888500000000009</c:v>
                </c:pt>
                <c:pt idx="15">
                  <c:v>0.39103750000000009</c:v>
                </c:pt>
                <c:pt idx="16">
                  <c:v>0.39319000000000009</c:v>
                </c:pt>
                <c:pt idx="17">
                  <c:v>0.3953425000000001</c:v>
                </c:pt>
                <c:pt idx="18">
                  <c:v>0.3974950000000001</c:v>
                </c:pt>
                <c:pt idx="19">
                  <c:v>0.3996475000000001</c:v>
                </c:pt>
                <c:pt idx="20">
                  <c:v>0.4018000000000001</c:v>
                </c:pt>
                <c:pt idx="21">
                  <c:v>0.4039525000000001</c:v>
                </c:pt>
                <c:pt idx="22">
                  <c:v>0.4061050000000001</c:v>
                </c:pt>
                <c:pt idx="23">
                  <c:v>0.40825750000000011</c:v>
                </c:pt>
                <c:pt idx="24">
                  <c:v>0.41041000000000011</c:v>
                </c:pt>
                <c:pt idx="25">
                  <c:v>0.41256250000000011</c:v>
                </c:pt>
                <c:pt idx="26">
                  <c:v>0.41471500000000011</c:v>
                </c:pt>
                <c:pt idx="27">
                  <c:v>0.41686750000000011</c:v>
                </c:pt>
                <c:pt idx="28">
                  <c:v>0.41902000000000011</c:v>
                </c:pt>
                <c:pt idx="29">
                  <c:v>0.42117250000000012</c:v>
                </c:pt>
                <c:pt idx="30">
                  <c:v>0.42332500000000012</c:v>
                </c:pt>
                <c:pt idx="31">
                  <c:v>0.42547750000000012</c:v>
                </c:pt>
                <c:pt idx="32">
                  <c:v>0.42763000000000012</c:v>
                </c:pt>
                <c:pt idx="33">
                  <c:v>0.42978250000000012</c:v>
                </c:pt>
                <c:pt idx="34">
                  <c:v>0.43193500000000012</c:v>
                </c:pt>
                <c:pt idx="35">
                  <c:v>0.43408750000000013</c:v>
                </c:pt>
                <c:pt idx="36">
                  <c:v>0.43624000000000013</c:v>
                </c:pt>
                <c:pt idx="37">
                  <c:v>0.43839250000000013</c:v>
                </c:pt>
                <c:pt idx="38">
                  <c:v>0.44054500000000013</c:v>
                </c:pt>
                <c:pt idx="39">
                  <c:v>0.44269750000000013</c:v>
                </c:pt>
                <c:pt idx="40">
                  <c:v>0.44485000000000013</c:v>
                </c:pt>
                <c:pt idx="41">
                  <c:v>0.44700250000000014</c:v>
                </c:pt>
                <c:pt idx="42">
                  <c:v>0.44915500000000014</c:v>
                </c:pt>
                <c:pt idx="43">
                  <c:v>0.45130750000000014</c:v>
                </c:pt>
                <c:pt idx="44">
                  <c:v>0.45346000000000014</c:v>
                </c:pt>
                <c:pt idx="45">
                  <c:v>0.45561250000000014</c:v>
                </c:pt>
                <c:pt idx="46">
                  <c:v>0.45776500000000014</c:v>
                </c:pt>
                <c:pt idx="47">
                  <c:v>0.45991750000000015</c:v>
                </c:pt>
                <c:pt idx="48">
                  <c:v>0.46207000000000015</c:v>
                </c:pt>
                <c:pt idx="49">
                  <c:v>0.46422250000000015</c:v>
                </c:pt>
                <c:pt idx="50">
                  <c:v>0.46637500000000015</c:v>
                </c:pt>
                <c:pt idx="51">
                  <c:v>0.46852750000000015</c:v>
                </c:pt>
                <c:pt idx="52">
                  <c:v>0.47068000000000015</c:v>
                </c:pt>
                <c:pt idx="53">
                  <c:v>0.47283250000000016</c:v>
                </c:pt>
                <c:pt idx="54">
                  <c:v>0.47498500000000016</c:v>
                </c:pt>
                <c:pt idx="55">
                  <c:v>0.47713750000000016</c:v>
                </c:pt>
                <c:pt idx="56">
                  <c:v>0.47929000000000016</c:v>
                </c:pt>
                <c:pt idx="57">
                  <c:v>0.48144250000000016</c:v>
                </c:pt>
                <c:pt idx="58">
                  <c:v>0.48359500000000016</c:v>
                </c:pt>
                <c:pt idx="59">
                  <c:v>0.48574750000000017</c:v>
                </c:pt>
                <c:pt idx="60">
                  <c:v>0.48790000000000017</c:v>
                </c:pt>
                <c:pt idx="61">
                  <c:v>0.49005250000000017</c:v>
                </c:pt>
                <c:pt idx="62">
                  <c:v>0.49220500000000017</c:v>
                </c:pt>
                <c:pt idx="63">
                  <c:v>0.49435750000000017</c:v>
                </c:pt>
                <c:pt idx="64">
                  <c:v>0.49651000000000017</c:v>
                </c:pt>
                <c:pt idx="65">
                  <c:v>0.49866250000000018</c:v>
                </c:pt>
                <c:pt idx="66">
                  <c:v>0.50081500000000012</c:v>
                </c:pt>
                <c:pt idx="67">
                  <c:v>0.50296750000000012</c:v>
                </c:pt>
                <c:pt idx="68">
                  <c:v>0.50512000000000012</c:v>
                </c:pt>
                <c:pt idx="69">
                  <c:v>0.50727250000000013</c:v>
                </c:pt>
                <c:pt idx="70">
                  <c:v>0.50942500000000013</c:v>
                </c:pt>
                <c:pt idx="71">
                  <c:v>0.51157750000000013</c:v>
                </c:pt>
                <c:pt idx="72">
                  <c:v>0.51373000000000013</c:v>
                </c:pt>
                <c:pt idx="73">
                  <c:v>0.51588250000000013</c:v>
                </c:pt>
                <c:pt idx="74">
                  <c:v>0.51803500000000013</c:v>
                </c:pt>
                <c:pt idx="75">
                  <c:v>0.52018750000000014</c:v>
                </c:pt>
                <c:pt idx="76">
                  <c:v>0.52234000000000014</c:v>
                </c:pt>
                <c:pt idx="77">
                  <c:v>0.52449250000000014</c:v>
                </c:pt>
                <c:pt idx="78">
                  <c:v>0.52664500000000014</c:v>
                </c:pt>
                <c:pt idx="79">
                  <c:v>0.52879750000000014</c:v>
                </c:pt>
                <c:pt idx="80">
                  <c:v>0.53095000000000014</c:v>
                </c:pt>
                <c:pt idx="81">
                  <c:v>0.53310250000000015</c:v>
                </c:pt>
                <c:pt idx="82">
                  <c:v>0.53525500000000015</c:v>
                </c:pt>
                <c:pt idx="83">
                  <c:v>0.53740750000000015</c:v>
                </c:pt>
                <c:pt idx="84">
                  <c:v>0.53956000000000015</c:v>
                </c:pt>
                <c:pt idx="85">
                  <c:v>0.54171250000000015</c:v>
                </c:pt>
                <c:pt idx="86">
                  <c:v>0.54386500000000015</c:v>
                </c:pt>
                <c:pt idx="87">
                  <c:v>0.54601750000000016</c:v>
                </c:pt>
                <c:pt idx="88">
                  <c:v>0.54817000000000016</c:v>
                </c:pt>
                <c:pt idx="89">
                  <c:v>0.55032250000000016</c:v>
                </c:pt>
                <c:pt idx="90">
                  <c:v>0.55247500000000016</c:v>
                </c:pt>
                <c:pt idx="91">
                  <c:v>0.55462750000000016</c:v>
                </c:pt>
                <c:pt idx="92">
                  <c:v>0.55678000000000016</c:v>
                </c:pt>
                <c:pt idx="93">
                  <c:v>0.55893250000000017</c:v>
                </c:pt>
                <c:pt idx="94">
                  <c:v>0.56108500000000017</c:v>
                </c:pt>
                <c:pt idx="95">
                  <c:v>0.56323750000000017</c:v>
                </c:pt>
                <c:pt idx="96">
                  <c:v>0.56539000000000017</c:v>
                </c:pt>
                <c:pt idx="97">
                  <c:v>0.56754250000000017</c:v>
                </c:pt>
                <c:pt idx="98">
                  <c:v>0.56969500000000017</c:v>
                </c:pt>
                <c:pt idx="99">
                  <c:v>0.57184750000000018</c:v>
                </c:pt>
                <c:pt idx="100">
                  <c:v>0.57400000000000018</c:v>
                </c:pt>
              </c:numCache>
            </c:numRef>
          </c:xVal>
          <c:yVal>
            <c:numRef>
              <c:f>Data!$F$2:$F$102</c:f>
              <c:numCache>
                <c:formatCode>General</c:formatCode>
                <c:ptCount val="101"/>
                <c:pt idx="0" formatCode="0.00">
                  <c:v>6964.4045063689919</c:v>
                </c:pt>
                <c:pt idx="1">
                  <c:v>6906.3218702732438</c:v>
                </c:pt>
                <c:pt idx="2">
                  <c:v>6849.064724319448</c:v>
                </c:pt>
                <c:pt idx="3">
                  <c:v>6792.6165458305713</c:v>
                </c:pt>
                <c:pt idx="4">
                  <c:v>6736.9612376035866</c:v>
                </c:pt>
                <c:pt idx="5">
                  <c:v>6682.0831145412976</c:v>
                </c:pt>
                <c:pt idx="6">
                  <c:v>6627.9668907791001</c:v>
                </c:pt>
                <c:pt idx="7">
                  <c:v>6574.5976672855832</c:v>
                </c:pt>
                <c:pt idx="8">
                  <c:v>6521.9609199169518</c:v>
                </c:pt>
                <c:pt idx="9">
                  <c:v>6470.0424879061502</c:v>
                </c:pt>
                <c:pt idx="10">
                  <c:v>6418.8285627685136</c:v>
                </c:pt>
                <c:pt idx="11">
                  <c:v>6368.3056776066096</c:v>
                </c:pt>
                <c:pt idx="12">
                  <c:v>6318.4606967977597</c:v>
                </c:pt>
                <c:pt idx="13">
                  <c:v>6269.2808060484986</c:v>
                </c:pt>
                <c:pt idx="14">
                  <c:v>6220.7535028009497</c:v>
                </c:pt>
                <c:pt idx="15">
                  <c:v>6172.866586976811</c:v>
                </c:pt>
                <c:pt idx="16">
                  <c:v>6125.6081520452763</c:v>
                </c:pt>
                <c:pt idx="17">
                  <c:v>6078.9665764018609</c:v>
                </c:pt>
                <c:pt idx="18">
                  <c:v>6032.9305150456903</c:v>
                </c:pt>
                <c:pt idx="19">
                  <c:v>5987.4888915433603</c:v>
                </c:pt>
                <c:pt idx="20">
                  <c:v>5942.6308902680266</c:v>
                </c:pt>
                <c:pt idx="21">
                  <c:v>5898.3459489028855</c:v>
                </c:pt>
                <c:pt idx="22">
                  <c:v>5854.6237511986765</c:v>
                </c:pt>
                <c:pt idx="23">
                  <c:v>5811.4542199753123</c:v>
                </c:pt>
                <c:pt idx="24">
                  <c:v>5768.8275103581782</c:v>
                </c:pt>
                <c:pt idx="25">
                  <c:v>5726.7340032400343</c:v>
                </c:pt>
                <c:pt idx="26">
                  <c:v>5685.1642989598804</c:v>
                </c:pt>
                <c:pt idx="27">
                  <c:v>5644.1092111904936</c:v>
                </c:pt>
                <c:pt idx="28">
                  <c:v>5603.5597610267132</c:v>
                </c:pt>
                <c:pt idx="29">
                  <c:v>5563.5071712668941</c:v>
                </c:pt>
                <c:pt idx="30">
                  <c:v>5523.9428608802627</c:v>
                </c:pt>
                <c:pt idx="31">
                  <c:v>5484.8584396532297</c:v>
                </c:pt>
                <c:pt idx="32">
                  <c:v>5446.2457030079913</c:v>
                </c:pt>
                <c:pt idx="33">
                  <c:v>5408.0966269870451</c:v>
                </c:pt>
                <c:pt idx="34">
                  <c:v>5370.4033633975114</c:v>
                </c:pt>
                <c:pt idx="35">
                  <c:v>5333.1582351093975</c:v>
                </c:pt>
                <c:pt idx="36">
                  <c:v>5296.3537315021849</c:v>
                </c:pt>
                <c:pt idx="37">
                  <c:v>5259.982504054371</c:v>
                </c:pt>
                <c:pt idx="38">
                  <c:v>5224.0373620707842</c:v>
                </c:pt>
                <c:pt idx="39">
                  <c:v>5188.5112685427293</c:v>
                </c:pt>
                <c:pt idx="40">
                  <c:v>5153.3973361362159</c:v>
                </c:pt>
                <c:pt idx="41">
                  <c:v>5118.6888233036943</c:v>
                </c:pt>
                <c:pt idx="42">
                  <c:v>5084.3791305149407</c:v>
                </c:pt>
                <c:pt idx="43">
                  <c:v>5050.4617966028818</c:v>
                </c:pt>
                <c:pt idx="44">
                  <c:v>5016.9304952203256</c:v>
                </c:pt>
                <c:pt idx="45">
                  <c:v>4983.7790314037238</c:v>
                </c:pt>
                <c:pt idx="46">
                  <c:v>4951.0013382402503</c:v>
                </c:pt>
                <c:pt idx="47">
                  <c:v>4918.591473634614</c:v>
                </c:pt>
                <c:pt idx="48">
                  <c:v>4886.5436171721758</c:v>
                </c:pt>
                <c:pt idx="49">
                  <c:v>4854.8520670750704</c:v>
                </c:pt>
                <c:pt idx="50">
                  <c:v>4823.5112372481499</c:v>
                </c:pt>
                <c:pt idx="51">
                  <c:v>4792.515654411709</c:v>
                </c:pt>
                <c:pt idx="52">
                  <c:v>4761.8599553180538</c:v>
                </c:pt>
                <c:pt idx="53">
                  <c:v>4731.5388840490878</c:v>
                </c:pt>
                <c:pt idx="54">
                  <c:v>4701.5472893922088</c:v>
                </c:pt>
                <c:pt idx="55">
                  <c:v>4671.8801222919001</c:v>
                </c:pt>
                <c:pt idx="56">
                  <c:v>4642.5324333744993</c:v>
                </c:pt>
                <c:pt idx="57">
                  <c:v>4613.4993705437346</c:v>
                </c:pt>
                <c:pt idx="58">
                  <c:v>4584.7761766446929</c:v>
                </c:pt>
                <c:pt idx="59">
                  <c:v>4556.3581871939814</c:v>
                </c:pt>
                <c:pt idx="60">
                  <c:v>4528.2408281739163</c:v>
                </c:pt>
                <c:pt idx="61">
                  <c:v>4500.4196138886737</c:v>
                </c:pt>
                <c:pt idx="62">
                  <c:v>4472.8901448803826</c:v>
                </c:pt>
                <c:pt idx="63">
                  <c:v>4445.648105903244</c:v>
                </c:pt>
                <c:pt idx="64">
                  <c:v>4418.6892639538073</c:v>
                </c:pt>
                <c:pt idx="65">
                  <c:v>4392.0094663556138</c:v>
                </c:pt>
                <c:pt idx="66">
                  <c:v>4365.6046388964869</c:v>
                </c:pt>
                <c:pt idx="67">
                  <c:v>4339.4707840167866</c:v>
                </c:pt>
                <c:pt idx="68">
                  <c:v>4313.603979047044</c:v>
                </c:pt>
                <c:pt idx="69">
                  <c:v>4288.0003744934102</c:v>
                </c:pt>
                <c:pt idx="70">
                  <c:v>4262.6561923694289</c:v>
                </c:pt>
                <c:pt idx="71">
                  <c:v>4237.5677245726984</c:v>
                </c:pt>
                <c:pt idx="72">
                  <c:v>4212.7313313050254</c:v>
                </c:pt>
                <c:pt idx="73">
                  <c:v>4188.1434395347324</c:v>
                </c:pt>
                <c:pt idx="74">
                  <c:v>4163.8005414998215</c:v>
                </c:pt>
                <c:pt idx="75">
                  <c:v>4139.6991932507453</c:v>
                </c:pt>
                <c:pt idx="76">
                  <c:v>4115.8360132315811</c:v>
                </c:pt>
                <c:pt idx="77">
                  <c:v>4092.2076808984348</c:v>
                </c:pt>
                <c:pt idx="78">
                  <c:v>4068.8109353739637</c:v>
                </c:pt>
                <c:pt idx="79">
                  <c:v>4045.6425741369126</c:v>
                </c:pt>
                <c:pt idx="80">
                  <c:v>4022.699451745631</c:v>
                </c:pt>
                <c:pt idx="81">
                  <c:v>3999.9784785945458</c:v>
                </c:pt>
                <c:pt idx="82">
                  <c:v>3977.4766197026129</c:v>
                </c:pt>
                <c:pt idx="83">
                  <c:v>3955.1908935328033</c:v>
                </c:pt>
                <c:pt idx="84">
                  <c:v>3933.1183708417038</c:v>
                </c:pt>
                <c:pt idx="85">
                  <c:v>3911.2561735583499</c:v>
                </c:pt>
                <c:pt idx="86">
                  <c:v>3889.6014736914353</c:v>
                </c:pt>
                <c:pt idx="87">
                  <c:v>3868.1514922640713</c:v>
                </c:pt>
                <c:pt idx="88">
                  <c:v>3846.9034982752937</c:v>
                </c:pt>
                <c:pt idx="89">
                  <c:v>3825.8548076875481</c:v>
                </c:pt>
                <c:pt idx="90">
                  <c:v>3805.0027824394001</c:v>
                </c:pt>
                <c:pt idx="91">
                  <c:v>3784.3448294827494</c:v>
                </c:pt>
                <c:pt idx="92">
                  <c:v>3763.8783998438498</c:v>
                </c:pt>
                <c:pt idx="93">
                  <c:v>3743.6009877074484</c:v>
                </c:pt>
                <c:pt idx="94">
                  <c:v>3723.5101295234017</c:v>
                </c:pt>
                <c:pt idx="95">
                  <c:v>3703.6034031351187</c:v>
                </c:pt>
                <c:pt idx="96">
                  <c:v>3683.8784269292287</c:v>
                </c:pt>
                <c:pt idx="97">
                  <c:v>3664.3328590058704</c:v>
                </c:pt>
                <c:pt idx="98">
                  <c:v>3644.9643963690319</c:v>
                </c:pt>
                <c:pt idx="99">
                  <c:v>3625.7707741363788</c:v>
                </c:pt>
                <c:pt idx="100">
                  <c:v>3606.7497647680325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856-4ED8-9395-28D08A688D2C}"/>
            </c:ext>
          </c:extLst>
        </c:ser>
        <c:ser>
          <c:idx val="3"/>
          <c:order val="3"/>
          <c:tx>
            <c:v>Heat Rejection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Data!$J$2:$J$102</c:f>
              <c:numCache>
                <c:formatCode>0.00</c:formatCode>
                <c:ptCount val="101"/>
                <c:pt idx="0">
                  <c:v>0.57399999999999995</c:v>
                </c:pt>
                <c:pt idx="1">
                  <c:v>0.57399999999999995</c:v>
                </c:pt>
                <c:pt idx="2">
                  <c:v>0.57399999999999995</c:v>
                </c:pt>
                <c:pt idx="3">
                  <c:v>0.57399999999999995</c:v>
                </c:pt>
                <c:pt idx="4">
                  <c:v>0.57399999999999995</c:v>
                </c:pt>
                <c:pt idx="5">
                  <c:v>0.57399999999999995</c:v>
                </c:pt>
                <c:pt idx="6">
                  <c:v>0.57399999999999995</c:v>
                </c:pt>
                <c:pt idx="7">
                  <c:v>0.57399999999999995</c:v>
                </c:pt>
                <c:pt idx="8">
                  <c:v>0.57399999999999995</c:v>
                </c:pt>
                <c:pt idx="9">
                  <c:v>0.57399999999999995</c:v>
                </c:pt>
                <c:pt idx="10">
                  <c:v>0.57399999999999995</c:v>
                </c:pt>
                <c:pt idx="11">
                  <c:v>0.57399999999999995</c:v>
                </c:pt>
                <c:pt idx="12">
                  <c:v>0.57399999999999995</c:v>
                </c:pt>
                <c:pt idx="13">
                  <c:v>0.57399999999999995</c:v>
                </c:pt>
                <c:pt idx="14">
                  <c:v>0.57399999999999995</c:v>
                </c:pt>
                <c:pt idx="15">
                  <c:v>0.57399999999999995</c:v>
                </c:pt>
                <c:pt idx="16">
                  <c:v>0.57399999999999995</c:v>
                </c:pt>
                <c:pt idx="17">
                  <c:v>0.57399999999999995</c:v>
                </c:pt>
                <c:pt idx="18">
                  <c:v>0.57399999999999995</c:v>
                </c:pt>
                <c:pt idx="19">
                  <c:v>0.57399999999999995</c:v>
                </c:pt>
                <c:pt idx="20">
                  <c:v>0.57399999999999995</c:v>
                </c:pt>
                <c:pt idx="21">
                  <c:v>0.57399999999999995</c:v>
                </c:pt>
                <c:pt idx="22">
                  <c:v>0.57399999999999995</c:v>
                </c:pt>
                <c:pt idx="23">
                  <c:v>0.57399999999999995</c:v>
                </c:pt>
                <c:pt idx="24">
                  <c:v>0.57399999999999995</c:v>
                </c:pt>
                <c:pt idx="25">
                  <c:v>0.57399999999999995</c:v>
                </c:pt>
                <c:pt idx="26">
                  <c:v>0.57399999999999995</c:v>
                </c:pt>
                <c:pt idx="27">
                  <c:v>0.57399999999999995</c:v>
                </c:pt>
                <c:pt idx="28">
                  <c:v>0.57399999999999995</c:v>
                </c:pt>
                <c:pt idx="29">
                  <c:v>0.57399999999999995</c:v>
                </c:pt>
                <c:pt idx="30">
                  <c:v>0.57399999999999995</c:v>
                </c:pt>
                <c:pt idx="31">
                  <c:v>0.57399999999999995</c:v>
                </c:pt>
                <c:pt idx="32">
                  <c:v>0.57399999999999995</c:v>
                </c:pt>
                <c:pt idx="33">
                  <c:v>0.57399999999999995</c:v>
                </c:pt>
                <c:pt idx="34">
                  <c:v>0.57399999999999995</c:v>
                </c:pt>
                <c:pt idx="35">
                  <c:v>0.57399999999999995</c:v>
                </c:pt>
                <c:pt idx="36">
                  <c:v>0.57399999999999995</c:v>
                </c:pt>
                <c:pt idx="37">
                  <c:v>0.57399999999999995</c:v>
                </c:pt>
                <c:pt idx="38">
                  <c:v>0.57399999999999995</c:v>
                </c:pt>
                <c:pt idx="39">
                  <c:v>0.57399999999999995</c:v>
                </c:pt>
                <c:pt idx="40">
                  <c:v>0.57399999999999995</c:v>
                </c:pt>
                <c:pt idx="41">
                  <c:v>0.57399999999999995</c:v>
                </c:pt>
                <c:pt idx="42">
                  <c:v>0.57399999999999995</c:v>
                </c:pt>
                <c:pt idx="43">
                  <c:v>0.57399999999999995</c:v>
                </c:pt>
                <c:pt idx="44">
                  <c:v>0.57399999999999995</c:v>
                </c:pt>
                <c:pt idx="45">
                  <c:v>0.57399999999999995</c:v>
                </c:pt>
                <c:pt idx="46">
                  <c:v>0.57399999999999995</c:v>
                </c:pt>
                <c:pt idx="47">
                  <c:v>0.57399999999999995</c:v>
                </c:pt>
                <c:pt idx="48">
                  <c:v>0.57399999999999995</c:v>
                </c:pt>
                <c:pt idx="49">
                  <c:v>0.57399999999999995</c:v>
                </c:pt>
                <c:pt idx="50">
                  <c:v>0.57399999999999995</c:v>
                </c:pt>
                <c:pt idx="51">
                  <c:v>0.57399999999999995</c:v>
                </c:pt>
                <c:pt idx="52">
                  <c:v>0.57399999999999995</c:v>
                </c:pt>
                <c:pt idx="53">
                  <c:v>0.57399999999999995</c:v>
                </c:pt>
                <c:pt idx="54">
                  <c:v>0.57399999999999995</c:v>
                </c:pt>
                <c:pt idx="55">
                  <c:v>0.57399999999999995</c:v>
                </c:pt>
                <c:pt idx="56">
                  <c:v>0.57399999999999995</c:v>
                </c:pt>
                <c:pt idx="57">
                  <c:v>0.57399999999999995</c:v>
                </c:pt>
                <c:pt idx="58">
                  <c:v>0.57399999999999995</c:v>
                </c:pt>
                <c:pt idx="59">
                  <c:v>0.57399999999999995</c:v>
                </c:pt>
                <c:pt idx="60">
                  <c:v>0.57399999999999995</c:v>
                </c:pt>
                <c:pt idx="61">
                  <c:v>0.57399999999999995</c:v>
                </c:pt>
                <c:pt idx="62">
                  <c:v>0.57399999999999995</c:v>
                </c:pt>
                <c:pt idx="63">
                  <c:v>0.57399999999999995</c:v>
                </c:pt>
                <c:pt idx="64">
                  <c:v>0.57399999999999995</c:v>
                </c:pt>
                <c:pt idx="65">
                  <c:v>0.57399999999999995</c:v>
                </c:pt>
                <c:pt idx="66">
                  <c:v>0.57399999999999995</c:v>
                </c:pt>
                <c:pt idx="67">
                  <c:v>0.57399999999999995</c:v>
                </c:pt>
                <c:pt idx="68">
                  <c:v>0.57399999999999995</c:v>
                </c:pt>
                <c:pt idx="69">
                  <c:v>0.57399999999999995</c:v>
                </c:pt>
                <c:pt idx="70">
                  <c:v>0.57399999999999995</c:v>
                </c:pt>
                <c:pt idx="71">
                  <c:v>0.57399999999999995</c:v>
                </c:pt>
                <c:pt idx="72">
                  <c:v>0.57399999999999995</c:v>
                </c:pt>
                <c:pt idx="73">
                  <c:v>0.57399999999999995</c:v>
                </c:pt>
                <c:pt idx="74">
                  <c:v>0.57399999999999995</c:v>
                </c:pt>
                <c:pt idx="75">
                  <c:v>0.57399999999999995</c:v>
                </c:pt>
                <c:pt idx="76">
                  <c:v>0.57399999999999995</c:v>
                </c:pt>
                <c:pt idx="77">
                  <c:v>0.57399999999999995</c:v>
                </c:pt>
                <c:pt idx="78">
                  <c:v>0.57399999999999995</c:v>
                </c:pt>
                <c:pt idx="79">
                  <c:v>0.57399999999999995</c:v>
                </c:pt>
                <c:pt idx="80">
                  <c:v>0.57399999999999995</c:v>
                </c:pt>
                <c:pt idx="81">
                  <c:v>0.57399999999999995</c:v>
                </c:pt>
                <c:pt idx="82">
                  <c:v>0.57399999999999995</c:v>
                </c:pt>
                <c:pt idx="83">
                  <c:v>0.57399999999999995</c:v>
                </c:pt>
                <c:pt idx="84">
                  <c:v>0.57399999999999995</c:v>
                </c:pt>
                <c:pt idx="85">
                  <c:v>0.57399999999999995</c:v>
                </c:pt>
                <c:pt idx="86">
                  <c:v>0.57399999999999995</c:v>
                </c:pt>
                <c:pt idx="87">
                  <c:v>0.57399999999999995</c:v>
                </c:pt>
                <c:pt idx="88">
                  <c:v>0.57399999999999995</c:v>
                </c:pt>
                <c:pt idx="89">
                  <c:v>0.57399999999999995</c:v>
                </c:pt>
                <c:pt idx="90">
                  <c:v>0.57399999999999995</c:v>
                </c:pt>
                <c:pt idx="91">
                  <c:v>0.57399999999999995</c:v>
                </c:pt>
                <c:pt idx="92">
                  <c:v>0.57399999999999995</c:v>
                </c:pt>
                <c:pt idx="93">
                  <c:v>0.57399999999999995</c:v>
                </c:pt>
                <c:pt idx="94">
                  <c:v>0.57399999999999995</c:v>
                </c:pt>
                <c:pt idx="95">
                  <c:v>0.57399999999999995</c:v>
                </c:pt>
                <c:pt idx="96">
                  <c:v>0.57399999999999995</c:v>
                </c:pt>
                <c:pt idx="97">
                  <c:v>0.57399999999999995</c:v>
                </c:pt>
                <c:pt idx="98">
                  <c:v>0.57399999999999995</c:v>
                </c:pt>
                <c:pt idx="99">
                  <c:v>0.57399999999999995</c:v>
                </c:pt>
                <c:pt idx="100">
                  <c:v>0.57399999999999995</c:v>
                </c:pt>
              </c:numCache>
            </c:numRef>
          </c:xVal>
          <c:yVal>
            <c:numRef>
              <c:f>Data!$I$2:$I$102</c:f>
              <c:numCache>
                <c:formatCode>General</c:formatCode>
                <c:ptCount val="101"/>
                <c:pt idx="0" formatCode="0.00">
                  <c:v>3606.7497647680329</c:v>
                </c:pt>
                <c:pt idx="1">
                  <c:v>3580.6822671203527</c:v>
                </c:pt>
                <c:pt idx="2">
                  <c:v>3554.6147694726724</c:v>
                </c:pt>
                <c:pt idx="3">
                  <c:v>3528.5472718249921</c:v>
                </c:pt>
                <c:pt idx="4">
                  <c:v>3502.4797741773118</c:v>
                </c:pt>
                <c:pt idx="5">
                  <c:v>3476.4122765296315</c:v>
                </c:pt>
                <c:pt idx="6">
                  <c:v>3450.3447788819512</c:v>
                </c:pt>
                <c:pt idx="7">
                  <c:v>3424.277281234271</c:v>
                </c:pt>
                <c:pt idx="8">
                  <c:v>3398.2097835865907</c:v>
                </c:pt>
                <c:pt idx="9">
                  <c:v>3372.1422859389104</c:v>
                </c:pt>
                <c:pt idx="10">
                  <c:v>3346.0747882912301</c:v>
                </c:pt>
                <c:pt idx="11">
                  <c:v>3320.0072906435498</c:v>
                </c:pt>
                <c:pt idx="12">
                  <c:v>3293.9397929958695</c:v>
                </c:pt>
                <c:pt idx="13">
                  <c:v>3267.8722953481893</c:v>
                </c:pt>
                <c:pt idx="14">
                  <c:v>3241.804797700509</c:v>
                </c:pt>
                <c:pt idx="15">
                  <c:v>3215.7373000528287</c:v>
                </c:pt>
                <c:pt idx="16">
                  <c:v>3189.6698024051484</c:v>
                </c:pt>
                <c:pt idx="17">
                  <c:v>3163.6023047574681</c:v>
                </c:pt>
                <c:pt idx="18">
                  <c:v>3137.5348071097878</c:v>
                </c:pt>
                <c:pt idx="19">
                  <c:v>3111.4673094621076</c:v>
                </c:pt>
                <c:pt idx="20">
                  <c:v>3085.3998118144273</c:v>
                </c:pt>
                <c:pt idx="21">
                  <c:v>3059.332314166747</c:v>
                </c:pt>
                <c:pt idx="22">
                  <c:v>3033.2648165190667</c:v>
                </c:pt>
                <c:pt idx="23">
                  <c:v>3007.1973188713864</c:v>
                </c:pt>
                <c:pt idx="24">
                  <c:v>2981.1298212237061</c:v>
                </c:pt>
                <c:pt idx="25">
                  <c:v>2955.0623235760258</c:v>
                </c:pt>
                <c:pt idx="26">
                  <c:v>2928.9948259283456</c:v>
                </c:pt>
                <c:pt idx="27">
                  <c:v>2902.9273282806653</c:v>
                </c:pt>
                <c:pt idx="28">
                  <c:v>2876.859830632985</c:v>
                </c:pt>
                <c:pt idx="29">
                  <c:v>2850.7923329853047</c:v>
                </c:pt>
                <c:pt idx="30">
                  <c:v>2824.7248353376244</c:v>
                </c:pt>
                <c:pt idx="31">
                  <c:v>2798.6573376899441</c:v>
                </c:pt>
                <c:pt idx="32">
                  <c:v>2772.5898400422639</c:v>
                </c:pt>
                <c:pt idx="33">
                  <c:v>2746.5223423945836</c:v>
                </c:pt>
                <c:pt idx="34">
                  <c:v>2720.4548447469033</c:v>
                </c:pt>
                <c:pt idx="35">
                  <c:v>2694.387347099223</c:v>
                </c:pt>
                <c:pt idx="36">
                  <c:v>2668.3198494515427</c:v>
                </c:pt>
                <c:pt idx="37">
                  <c:v>2642.2523518038624</c:v>
                </c:pt>
                <c:pt idx="38">
                  <c:v>2616.1848541561822</c:v>
                </c:pt>
                <c:pt idx="39">
                  <c:v>2590.1173565085019</c:v>
                </c:pt>
                <c:pt idx="40">
                  <c:v>2564.0498588608216</c:v>
                </c:pt>
                <c:pt idx="41">
                  <c:v>2537.9823612131413</c:v>
                </c:pt>
                <c:pt idx="42">
                  <c:v>2511.914863565461</c:v>
                </c:pt>
                <c:pt idx="43">
                  <c:v>2485.8473659177807</c:v>
                </c:pt>
                <c:pt idx="44">
                  <c:v>2459.7798682701005</c:v>
                </c:pt>
                <c:pt idx="45">
                  <c:v>2433.7123706224202</c:v>
                </c:pt>
                <c:pt idx="46">
                  <c:v>2407.6448729747399</c:v>
                </c:pt>
                <c:pt idx="47">
                  <c:v>2381.5773753270596</c:v>
                </c:pt>
                <c:pt idx="48">
                  <c:v>2355.5098776793793</c:v>
                </c:pt>
                <c:pt idx="49">
                  <c:v>2329.442380031699</c:v>
                </c:pt>
                <c:pt idx="50">
                  <c:v>2303.3748823840187</c:v>
                </c:pt>
                <c:pt idx="51">
                  <c:v>2277.3073847363385</c:v>
                </c:pt>
                <c:pt idx="52">
                  <c:v>2251.2398870886582</c:v>
                </c:pt>
                <c:pt idx="53">
                  <c:v>2225.1723894409779</c:v>
                </c:pt>
                <c:pt idx="54">
                  <c:v>2199.1048917932976</c:v>
                </c:pt>
                <c:pt idx="55">
                  <c:v>2173.0373941456173</c:v>
                </c:pt>
                <c:pt idx="56">
                  <c:v>2146.969896497937</c:v>
                </c:pt>
                <c:pt idx="57">
                  <c:v>2120.9023988502568</c:v>
                </c:pt>
                <c:pt idx="58">
                  <c:v>2094.8349012025765</c:v>
                </c:pt>
                <c:pt idx="59">
                  <c:v>2068.7674035548962</c:v>
                </c:pt>
                <c:pt idx="60">
                  <c:v>2042.6999059072159</c:v>
                </c:pt>
                <c:pt idx="61">
                  <c:v>2016.6324082595356</c:v>
                </c:pt>
                <c:pt idx="62">
                  <c:v>1990.5649106118553</c:v>
                </c:pt>
                <c:pt idx="63">
                  <c:v>1964.4974129641751</c:v>
                </c:pt>
                <c:pt idx="64">
                  <c:v>1938.4299153164948</c:v>
                </c:pt>
                <c:pt idx="65">
                  <c:v>1912.3624176688145</c:v>
                </c:pt>
                <c:pt idx="66">
                  <c:v>1886.2949200211342</c:v>
                </c:pt>
                <c:pt idx="67">
                  <c:v>1860.2274223734539</c:v>
                </c:pt>
                <c:pt idx="68">
                  <c:v>1834.1599247257736</c:v>
                </c:pt>
                <c:pt idx="69">
                  <c:v>1808.0924270780934</c:v>
                </c:pt>
                <c:pt idx="70">
                  <c:v>1782.0249294304131</c:v>
                </c:pt>
                <c:pt idx="71">
                  <c:v>1755.9574317827328</c:v>
                </c:pt>
                <c:pt idx="72">
                  <c:v>1729.8899341350525</c:v>
                </c:pt>
                <c:pt idx="73">
                  <c:v>1703.8224364873722</c:v>
                </c:pt>
                <c:pt idx="74">
                  <c:v>1677.7549388396919</c:v>
                </c:pt>
                <c:pt idx="75">
                  <c:v>1651.6874411920116</c:v>
                </c:pt>
                <c:pt idx="76">
                  <c:v>1625.6199435443314</c:v>
                </c:pt>
                <c:pt idx="77">
                  <c:v>1599.5524458966511</c:v>
                </c:pt>
                <c:pt idx="78">
                  <c:v>1573.4849482489708</c:v>
                </c:pt>
                <c:pt idx="79">
                  <c:v>1547.4174506012905</c:v>
                </c:pt>
                <c:pt idx="80">
                  <c:v>1521.3499529536102</c:v>
                </c:pt>
                <c:pt idx="81">
                  <c:v>1495.2824553059299</c:v>
                </c:pt>
                <c:pt idx="82">
                  <c:v>1469.2149576582497</c:v>
                </c:pt>
                <c:pt idx="83">
                  <c:v>1443.1474600105694</c:v>
                </c:pt>
                <c:pt idx="84">
                  <c:v>1417.0799623628891</c:v>
                </c:pt>
                <c:pt idx="85">
                  <c:v>1391.0124647152088</c:v>
                </c:pt>
                <c:pt idx="86">
                  <c:v>1364.9449670675285</c:v>
                </c:pt>
                <c:pt idx="87">
                  <c:v>1338.8774694198482</c:v>
                </c:pt>
                <c:pt idx="88">
                  <c:v>1312.809971772168</c:v>
                </c:pt>
                <c:pt idx="89">
                  <c:v>1286.7424741244877</c:v>
                </c:pt>
                <c:pt idx="90">
                  <c:v>1260.6749764768074</c:v>
                </c:pt>
                <c:pt idx="91">
                  <c:v>1234.6074788291271</c:v>
                </c:pt>
                <c:pt idx="92">
                  <c:v>1208.5399811814468</c:v>
                </c:pt>
                <c:pt idx="93">
                  <c:v>1182.4724835337665</c:v>
                </c:pt>
                <c:pt idx="94">
                  <c:v>1156.4049858860863</c:v>
                </c:pt>
                <c:pt idx="95">
                  <c:v>1130.337488238406</c:v>
                </c:pt>
                <c:pt idx="96">
                  <c:v>1104.2699905907257</c:v>
                </c:pt>
                <c:pt idx="97">
                  <c:v>1078.2024929430454</c:v>
                </c:pt>
                <c:pt idx="98">
                  <c:v>1052.1349952953651</c:v>
                </c:pt>
                <c:pt idx="99">
                  <c:v>1026.0674976476848</c:v>
                </c:pt>
                <c:pt idx="100">
                  <c:v>1000.0000000000045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856-4ED8-9395-28D08A688D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6739488"/>
        <c:axId val="626736208"/>
      </c:scatterChart>
      <c:valAx>
        <c:axId val="6267394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600" b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Specific Volume,v(m3/kg)</a:t>
                </a:r>
              </a:p>
            </c:rich>
          </c:tx>
          <c:layout>
            <c:manualLayout>
              <c:xMode val="edge"/>
              <c:yMode val="edge"/>
              <c:x val="0.2854075572888804"/>
              <c:y val="0.8933439780887253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736208"/>
        <c:crosses val="autoZero"/>
        <c:crossBetween val="midCat"/>
      </c:valAx>
      <c:valAx>
        <c:axId val="6267362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2000" b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Pressure,P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739488"/>
        <c:crosses val="autoZero"/>
        <c:crossBetween val="midCat"/>
      </c:valAx>
      <c:spPr>
        <a:solidFill>
          <a:schemeClr val="bg2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5743820976333625"/>
          <c:y val="5.2538691051397086E-2"/>
          <c:w val="0.15785168596968782"/>
          <c:h val="0.391205890930300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66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314797524436"/>
          <c:y val="4.0611822778959181E-2"/>
          <c:w val="0.81185952310371789"/>
          <c:h val="0.76840824620590509"/>
        </c:manualLayout>
      </c:layout>
      <c:scatterChart>
        <c:scatterStyle val="lineMarker"/>
        <c:varyColors val="0"/>
        <c:ser>
          <c:idx val="0"/>
          <c:order val="0"/>
          <c:tx>
            <c:v>Compression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Data!$M$2:$M$102</c:f>
              <c:numCache>
                <c:formatCode>0.00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</c:numCache>
            </c:numRef>
          </c:xVal>
          <c:yVal>
            <c:numRef>
              <c:f>Data!$L$2:$L$102</c:f>
              <c:numCache>
                <c:formatCode>General</c:formatCode>
                <c:ptCount val="101"/>
                <c:pt idx="0" formatCode="0.00">
                  <c:v>2000</c:v>
                </c:pt>
                <c:pt idx="1">
                  <c:v>2033.380093772711</c:v>
                </c:pt>
                <c:pt idx="2">
                  <c:v>2065.4438391456183</c:v>
                </c:pt>
                <c:pt idx="3">
                  <c:v>2096.3093372827798</c:v>
                </c:pt>
                <c:pt idx="4">
                  <c:v>2126.0787426626111</c:v>
                </c:pt>
                <c:pt idx="5">
                  <c:v>2154.8410706206578</c:v>
                </c:pt>
                <c:pt idx="6">
                  <c:v>2182.6744057841784</c:v>
                </c:pt>
                <c:pt idx="7">
                  <c:v>2209.6476596812945</c:v>
                </c:pt>
                <c:pt idx="8">
                  <c:v>2235.8219844666623</c:v>
                </c:pt>
                <c:pt idx="9">
                  <c:v>2261.2519210813302</c:v>
                </c:pt>
                <c:pt idx="10">
                  <c:v>2285.9863400067388</c:v>
                </c:pt>
                <c:pt idx="11">
                  <c:v>2310.069218356869</c:v>
                </c:pt>
                <c:pt idx="12">
                  <c:v>2333.5402865963874</c:v>
                </c:pt>
                <c:pt idx="13">
                  <c:v>2356.4355704897071</c:v>
                </c:pt>
                <c:pt idx="14">
                  <c:v>2378.7878481728121</c:v>
                </c:pt>
                <c:pt idx="15">
                  <c:v>2400.6270379442612</c:v>
                </c:pt>
                <c:pt idx="16">
                  <c:v>2421.980529108941</c:v>
                </c:pt>
                <c:pt idx="17">
                  <c:v>2442.8734657059435</c:v>
                </c:pt>
                <c:pt idx="18">
                  <c:v>2463.3289910159442</c:v>
                </c:pt>
                <c:pt idx="19">
                  <c:v>2483.3684592330123</c:v>
                </c:pt>
                <c:pt idx="20">
                  <c:v>2503.0116194981856</c:v>
                </c:pt>
                <c:pt idx="21">
                  <c:v>2522.2767765515018</c:v>
                </c:pt>
                <c:pt idx="22">
                  <c:v>2541.1809315090227</c:v>
                </c:pt>
                <c:pt idx="23">
                  <c:v>2559.7399056692361</c:v>
                </c:pt>
                <c:pt idx="24">
                  <c:v>2577.9684497669332</c:v>
                </c:pt>
                <c:pt idx="25">
                  <c:v>2595.8803406976281</c:v>
                </c:pt>
                <c:pt idx="26">
                  <c:v>2613.4884674129653</c:v>
                </c:pt>
                <c:pt idx="27">
                  <c:v>2630.8049074226683</c:v>
                </c:pt>
                <c:pt idx="28">
                  <c:v>2647.8409951200292</c:v>
                </c:pt>
                <c:pt idx="29">
                  <c:v>2664.6073829667757</c:v>
                </c:pt>
                <c:pt idx="30">
                  <c:v>2681.1140964223018</c:v>
                </c:pt>
                <c:pt idx="31">
                  <c:v>2697.3705833760946</c:v>
                </c:pt>
                <c:pt idx="32">
                  <c:v>2713.3857587362768</c:v>
                </c:pt>
                <c:pt idx="33">
                  <c:v>2729.1680447379172</c:v>
                </c:pt>
                <c:pt idx="34">
                  <c:v>2744.7254074592161</c:v>
                </c:pt>
                <c:pt idx="35">
                  <c:v>2760.065389969559</c:v>
                </c:pt>
                <c:pt idx="36">
                  <c:v>2775.1951424787867</c:v>
                </c:pt>
                <c:pt idx="37">
                  <c:v>2790.1214498103391</c:v>
                </c:pt>
                <c:pt idx="38">
                  <c:v>2804.8507564808929</c:v>
                </c:pt>
                <c:pt idx="39">
                  <c:v>2819.3891896346663</c:v>
                </c:pt>
                <c:pt idx="40">
                  <c:v>2833.7425800508845</c:v>
                </c:pt>
                <c:pt idx="41">
                  <c:v>2847.91648141719</c:v>
                </c:pt>
                <c:pt idx="42">
                  <c:v>2861.9161880395282</c:v>
                </c:pt>
                <c:pt idx="43">
                  <c:v>2875.7467511396444</c:v>
                </c:pt>
                <c:pt idx="44">
                  <c:v>2889.4129938744672</c:v>
                </c:pt>
                <c:pt idx="45">
                  <c:v>2902.9195251968831</c:v>
                </c:pt>
                <c:pt idx="46">
                  <c:v>2916.270752664504</c:v>
                </c:pt>
                <c:pt idx="47">
                  <c:v>2929.4708942916691</c:v>
                </c:pt>
                <c:pt idx="48">
                  <c:v>2942.5239895299674</c:v>
                </c:pt>
                <c:pt idx="49">
                  <c:v>2955.4339094537572</c:v>
                </c:pt>
                <c:pt idx="50">
                  <c:v>2968.2043662194005</c:v>
                </c:pt>
                <c:pt idx="51">
                  <c:v>2980.8389218600487</c:v>
                </c:pt>
                <c:pt idx="52">
                  <c:v>2993.3409964717284</c:v>
                </c:pt>
                <c:pt idx="53">
                  <c:v>3005.7138758410533</c:v>
                </c:pt>
                <c:pt idx="54">
                  <c:v>3017.9607185600653</c:v>
                </c:pt>
                <c:pt idx="55">
                  <c:v>3030.0845626694277</c:v>
                </c:pt>
                <c:pt idx="56">
                  <c:v>3042.0883318673332</c:v>
                </c:pt>
                <c:pt idx="57">
                  <c:v>3053.9748413180755</c:v>
                </c:pt>
                <c:pt idx="58">
                  <c:v>3065.7468030911509</c:v>
                </c:pt>
                <c:pt idx="59">
                  <c:v>3077.4068312589943</c:v>
                </c:pt>
                <c:pt idx="60">
                  <c:v>3088.9574466789804</c:v>
                </c:pt>
                <c:pt idx="61">
                  <c:v>3100.4010814830876</c:v>
                </c:pt>
                <c:pt idx="62">
                  <c:v>3111.7400832966064</c:v>
                </c:pt>
                <c:pt idx="63">
                  <c:v>3122.9767192054674</c:v>
                </c:pt>
                <c:pt idx="64">
                  <c:v>3134.1131794901166</c:v>
                </c:pt>
                <c:pt idx="65">
                  <c:v>3145.1515811423833</c:v>
                </c:pt>
                <c:pt idx="66">
                  <c:v>3156.0939711804444</c:v>
                </c:pt>
                <c:pt idx="67">
                  <c:v>3166.9423297757676</c:v>
                </c:pt>
                <c:pt idx="68">
                  <c:v>3177.6985732047992</c:v>
                </c:pt>
                <c:pt idx="69">
                  <c:v>3188.3645566371724</c:v>
                </c:pt>
                <c:pt idx="70">
                  <c:v>3198.9420767712791</c:v>
                </c:pt>
                <c:pt idx="71">
                  <c:v>3209.4328743272117</c:v>
                </c:pt>
                <c:pt idx="72">
                  <c:v>3219.8386364063417</c:v>
                </c:pt>
                <c:pt idx="73">
                  <c:v>3230.1609987260636</c:v>
                </c:pt>
                <c:pt idx="74">
                  <c:v>3240.4015477376402</c:v>
                </c:pt>
                <c:pt idx="75">
                  <c:v>3250.5618226344677</c:v>
                </c:pt>
                <c:pt idx="76">
                  <c:v>3260.6433172575667</c:v>
                </c:pt>
                <c:pt idx="77">
                  <c:v>3270.6474819045984</c:v>
                </c:pt>
                <c:pt idx="78">
                  <c:v>3280.5757250482702</c:v>
                </c:pt>
                <c:pt idx="79">
                  <c:v>3290.429414969572</c:v>
                </c:pt>
                <c:pt idx="80">
                  <c:v>3300.2098813109023</c:v>
                </c:pt>
                <c:pt idx="81">
                  <c:v>3309.9184165538077</c:v>
                </c:pt>
                <c:pt idx="82">
                  <c:v>3319.5562774257155</c:v>
                </c:pt>
                <c:pt idx="83">
                  <c:v>3329.1246862397597</c:v>
                </c:pt>
                <c:pt idx="84">
                  <c:v>3338.6248321715207</c:v>
                </c:pt>
                <c:pt idx="85">
                  <c:v>3348.057872476234</c:v>
                </c:pt>
                <c:pt idx="86">
                  <c:v>3357.4249336498142</c:v>
                </c:pt>
                <c:pt idx="87">
                  <c:v>3366.7271125367915</c:v>
                </c:pt>
                <c:pt idx="88">
                  <c:v>3375.9654773880879</c:v>
                </c:pt>
                <c:pt idx="89">
                  <c:v>3385.1410688713527</c:v>
                </c:pt>
                <c:pt idx="90">
                  <c:v>3394.2549010364137</c:v>
                </c:pt>
                <c:pt idx="91">
                  <c:v>3403.3079622382379</c:v>
                </c:pt>
                <c:pt idx="92">
                  <c:v>3412.3012160196481</c:v>
                </c:pt>
                <c:pt idx="93">
                  <c:v>3421.2356019559038</c:v>
                </c:pt>
                <c:pt idx="94">
                  <c:v>3430.1120364631247</c:v>
                </c:pt>
                <c:pt idx="95">
                  <c:v>3438.931413572413</c:v>
                </c:pt>
                <c:pt idx="96">
                  <c:v>3447.6946056714291</c:v>
                </c:pt>
                <c:pt idx="97">
                  <c:v>3456.4024642150612</c:v>
                </c:pt>
                <c:pt idx="98">
                  <c:v>3465.055820406732</c:v>
                </c:pt>
                <c:pt idx="99">
                  <c:v>3473.655485851813</c:v>
                </c:pt>
                <c:pt idx="100">
                  <c:v>3482.2022531845028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F5-489F-BBBD-6F7D62D25120}"/>
            </c:ext>
          </c:extLst>
        </c:ser>
        <c:ser>
          <c:idx val="1"/>
          <c:order val="1"/>
          <c:tx>
            <c:v>Combustion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Data!$O$2:$O$102</c:f>
              <c:numCache>
                <c:formatCode>General</c:formatCode>
                <c:ptCount val="101"/>
                <c:pt idx="0" formatCode="0.00">
                  <c:v>1</c:v>
                </c:pt>
                <c:pt idx="1">
                  <c:v>1.0149556112499725</c:v>
                </c:pt>
                <c:pt idx="2">
                  <c:v>1.0296918168516311</c:v>
                </c:pt>
                <c:pt idx="3">
                  <c:v>1.0442149614011496</c:v>
                </c:pt>
                <c:pt idx="4">
                  <c:v>1.0585311182105335</c:v>
                </c:pt>
                <c:pt idx="5">
                  <c:v>1.0726461045567341</c:v>
                </c:pt>
                <c:pt idx="6">
                  <c:v>1.0865654958741369</c:v>
                </c:pt>
                <c:pt idx="7">
                  <c:v>1.1002946389770798</c:v>
                </c:pt>
                <c:pt idx="8">
                  <c:v>1.1138386643908846</c:v>
                </c:pt>
                <c:pt idx="9">
                  <c:v>1.1272024978625661</c:v>
                </c:pt>
                <c:pt idx="10">
                  <c:v>1.1403908711158468</c:v>
                </c:pt>
                <c:pt idx="11">
                  <c:v>1.1534083319092432</c:v>
                </c:pt>
                <c:pt idx="12">
                  <c:v>1.1662592534507223</c:v>
                </c:pt>
                <c:pt idx="13">
                  <c:v>1.1789478432176994</c:v>
                </c:pt>
                <c:pt idx="14">
                  <c:v>1.1914781512268886</c:v>
                </c:pt>
                <c:pt idx="15">
                  <c:v>1.2038540777946753</c:v>
                </c:pt>
                <c:pt idx="16">
                  <c:v>1.2160793808252217</c:v>
                </c:pt>
                <c:pt idx="17">
                  <c:v>1.228157682660374</c:v>
                </c:pt>
                <c:pt idx="18">
                  <c:v>1.2400924765226171</c:v>
                </c:pt>
                <c:pt idx="19">
                  <c:v>1.2518871325797454</c:v>
                </c:pt>
                <c:pt idx="20">
                  <c:v>1.2635449036575948</c:v>
                </c:pt>
                <c:pt idx="21">
                  <c:v>1.2750689306250615</c:v>
                </c:pt>
                <c:pt idx="22">
                  <c:v>1.2864622474737137</c:v>
                </c:pt>
                <c:pt idx="23">
                  <c:v>1.2977277861125445</c:v>
                </c:pt>
                <c:pt idx="24">
                  <c:v>1.3088683808968262</c:v>
                </c:pt>
                <c:pt idx="25">
                  <c:v>1.3198867729085677</c:v>
                </c:pt>
                <c:pt idx="26">
                  <c:v>1.3307856140047418</c:v>
                </c:pt>
                <c:pt idx="27">
                  <c:v>1.3415674706482446</c:v>
                </c:pt>
                <c:pt idx="28">
                  <c:v>1.3522348275354286</c:v>
                </c:pt>
                <c:pt idx="29">
                  <c:v>1.3627900910330364</c:v>
                </c:pt>
                <c:pt idx="30">
                  <c:v>1.373235592436429</c:v>
                </c:pt>
                <c:pt idx="31">
                  <c:v>1.383573591060141</c:v>
                </c:pt>
                <c:pt idx="32">
                  <c:v>1.3938062771710154</c:v>
                </c:pt>
                <c:pt idx="33">
                  <c:v>1.4039357747734411</c:v>
                </c:pt>
                <c:pt idx="34">
                  <c:v>1.4139641442555531</c:v>
                </c:pt>
                <c:pt idx="35">
                  <c:v>1.4238933849046413</c:v>
                </c:pt>
                <c:pt idx="36">
                  <c:v>1.4337254372994519</c:v>
                </c:pt>
                <c:pt idx="37">
                  <c:v>1.443462185586537</c:v>
                </c:pt>
                <c:pt idx="38">
                  <c:v>1.4531054596473367</c:v>
                </c:pt>
                <c:pt idx="39">
                  <c:v>1.4626570371622245</c:v>
                </c:pt>
                <c:pt idx="40">
                  <c:v>1.4721186455773403</c:v>
                </c:pt>
                <c:pt idx="41">
                  <c:v>1.4814919639796544</c:v>
                </c:pt>
                <c:pt idx="42">
                  <c:v>1.4907786248853536</c:v>
                </c:pt>
                <c:pt idx="43">
                  <c:v>1.4999802159463118</c:v>
                </c:pt>
                <c:pt idx="44">
                  <c:v>1.5090982815791085</c:v>
                </c:pt>
                <c:pt idx="45">
                  <c:v>1.518134324520775</c:v>
                </c:pt>
                <c:pt idx="46">
                  <c:v>1.5270898073151882</c:v>
                </c:pt>
                <c:pt idx="47">
                  <c:v>1.5359661537337883</c:v>
                </c:pt>
                <c:pt idx="48">
                  <c:v>1.5447647501340744</c:v>
                </c:pt>
                <c:pt idx="49">
                  <c:v>1.5534869467591159</c:v>
                </c:pt>
                <c:pt idx="50">
                  <c:v>1.5621340589811308</c:v>
                </c:pt>
                <c:pt idx="51">
                  <c:v>1.5707073684919923</c:v>
                </c:pt>
                <c:pt idx="52">
                  <c:v>1.5792081244433605</c:v>
                </c:pt>
                <c:pt idx="53">
                  <c:v>1.5876375445389719</c:v>
                </c:pt>
                <c:pt idx="54">
                  <c:v>1.5959968160814828</c:v>
                </c:pt>
                <c:pt idx="55">
                  <c:v>1.6042870969761085</c:v>
                </c:pt>
                <c:pt idx="56">
                  <c:v>1.6125095166931869</c:v>
                </c:pt>
                <c:pt idx="57">
                  <c:v>1.6206651771916643</c:v>
                </c:pt>
                <c:pt idx="58">
                  <c:v>1.628755153805393</c:v>
                </c:pt>
                <c:pt idx="59">
                  <c:v>1.6367804960940227</c:v>
                </c:pt>
                <c:pt idx="60">
                  <c:v>1.6447422286601692</c:v>
                </c:pt>
                <c:pt idx="61">
                  <c:v>1.6526413519344545</c:v>
                </c:pt>
                <c:pt idx="62">
                  <c:v>1.6604788429299182</c:v>
                </c:pt>
                <c:pt idx="63">
                  <c:v>1.668255655967225</c:v>
                </c:pt>
                <c:pt idx="64">
                  <c:v>1.6759727233720154</c:v>
                </c:pt>
                <c:pt idx="65">
                  <c:v>1.6836309561456728</c:v>
                </c:pt>
                <c:pt idx="66">
                  <c:v>1.6912312446107136</c:v>
                </c:pt>
                <c:pt idx="67">
                  <c:v>1.6987744590319447</c:v>
                </c:pt>
                <c:pt idx="68">
                  <c:v>1.7062614502144713</c:v>
                </c:pt>
                <c:pt idx="69">
                  <c:v>1.7136930500795826</c:v>
                </c:pt>
                <c:pt idx="70">
                  <c:v>1.721070072219492</c:v>
                </c:pt>
                <c:pt idx="71">
                  <c:v>1.7283933124318533</c:v>
                </c:pt>
                <c:pt idx="72">
                  <c:v>1.735663549234935</c:v>
                </c:pt>
                <c:pt idx="73">
                  <c:v>1.7428815443642836</c:v>
                </c:pt>
                <c:pt idx="74">
                  <c:v>1.7500480432516701</c:v>
                </c:pt>
                <c:pt idx="75">
                  <c:v>1.757163775487073</c:v>
                </c:pt>
                <c:pt idx="76">
                  <c:v>1.7642294552644113</c:v>
                </c:pt>
                <c:pt idx="77">
                  <c:v>1.7712457818117111</c:v>
                </c:pt>
                <c:pt idx="78">
                  <c:v>1.7782134398063532</c:v>
                </c:pt>
                <c:pt idx="79">
                  <c:v>1.7851330997760169</c:v>
                </c:pt>
                <c:pt idx="80">
                  <c:v>1.7920054184859089</c:v>
                </c:pt>
                <c:pt idx="81">
                  <c:v>1.7988310393128355</c:v>
                </c:pt>
                <c:pt idx="82">
                  <c:v>1.805610592606651</c:v>
                </c:pt>
                <c:pt idx="83">
                  <c:v>1.812344696039591</c:v>
                </c:pt>
                <c:pt idx="84">
                  <c:v>1.8190339549439729</c:v>
                </c:pt>
                <c:pt idx="85">
                  <c:v>1.8256789626387264</c:v>
                </c:pt>
                <c:pt idx="86">
                  <c:v>1.8322803007451955</c:v>
                </c:pt>
                <c:pt idx="87">
                  <c:v>1.8388385394926303</c:v>
                </c:pt>
                <c:pt idx="88">
                  <c:v>1.8453542380137702</c:v>
                </c:pt>
                <c:pt idx="89">
                  <c:v>1.8518279446309041</c:v>
                </c:pt>
                <c:pt idx="90">
                  <c:v>1.8582601971327695</c:v>
                </c:pt>
                <c:pt idx="91">
                  <c:v>1.8646515230426435</c:v>
                </c:pt>
                <c:pt idx="92">
                  <c:v>1.8710024398779583</c:v>
                </c:pt>
                <c:pt idx="93">
                  <c:v>1.8773134554017612</c:v>
                </c:pt>
                <c:pt idx="94">
                  <c:v>1.8835850678663248</c:v>
                </c:pt>
                <c:pt idx="95">
                  <c:v>1.8898177662491986</c:v>
                </c:pt>
                <c:pt idx="96">
                  <c:v>1.896012030481983</c:v>
                </c:pt>
                <c:pt idx="97">
                  <c:v>1.9021683316720925</c:v>
                </c:pt>
                <c:pt idx="98">
                  <c:v>1.9082871323177648</c:v>
                </c:pt>
                <c:pt idx="99">
                  <c:v>1.9143688865165602</c:v>
                </c:pt>
                <c:pt idx="100">
                  <c:v>1.9204140401675882</c:v>
                </c:pt>
              </c:numCache>
            </c:numRef>
          </c:xVal>
          <c:yVal>
            <c:numRef>
              <c:f>Data!$N$2:$N$102</c:f>
              <c:numCache>
                <c:formatCode>General</c:formatCode>
                <c:ptCount val="101"/>
                <c:pt idx="0" formatCode="0.00">
                  <c:v>3482.2022531844964</c:v>
                </c:pt>
                <c:pt idx="1">
                  <c:v>3534.4352869822637</c:v>
                </c:pt>
                <c:pt idx="2">
                  <c:v>3586.6683207800311</c:v>
                </c:pt>
                <c:pt idx="3">
                  <c:v>3638.9013545777984</c:v>
                </c:pt>
                <c:pt idx="4">
                  <c:v>3691.1343883755658</c:v>
                </c:pt>
                <c:pt idx="5">
                  <c:v>3743.3674221733331</c:v>
                </c:pt>
                <c:pt idx="6">
                  <c:v>3795.6004559711005</c:v>
                </c:pt>
                <c:pt idx="7">
                  <c:v>3847.8334897688678</c:v>
                </c:pt>
                <c:pt idx="8">
                  <c:v>3900.0665235666352</c:v>
                </c:pt>
                <c:pt idx="9">
                  <c:v>3952.2995573644025</c:v>
                </c:pt>
                <c:pt idx="10">
                  <c:v>4004.5325911621699</c:v>
                </c:pt>
                <c:pt idx="11">
                  <c:v>4056.7656249599372</c:v>
                </c:pt>
                <c:pt idx="12">
                  <c:v>4108.998658757705</c:v>
                </c:pt>
                <c:pt idx="13">
                  <c:v>4161.2316925554724</c:v>
                </c:pt>
                <c:pt idx="14">
                  <c:v>4213.4647263532397</c:v>
                </c:pt>
                <c:pt idx="15">
                  <c:v>4265.6977601510071</c:v>
                </c:pt>
                <c:pt idx="16">
                  <c:v>4317.9307939487744</c:v>
                </c:pt>
                <c:pt idx="17">
                  <c:v>4370.1638277465418</c:v>
                </c:pt>
                <c:pt idx="18">
                  <c:v>4422.3968615443091</c:v>
                </c:pt>
                <c:pt idx="19">
                  <c:v>4474.6298953420765</c:v>
                </c:pt>
                <c:pt idx="20">
                  <c:v>4526.8629291398438</c:v>
                </c:pt>
                <c:pt idx="21">
                  <c:v>4579.0959629376111</c:v>
                </c:pt>
                <c:pt idx="22">
                  <c:v>4631.3289967353785</c:v>
                </c:pt>
                <c:pt idx="23">
                  <c:v>4683.5620305331458</c:v>
                </c:pt>
                <c:pt idx="24">
                  <c:v>4735.7950643309132</c:v>
                </c:pt>
                <c:pt idx="25">
                  <c:v>4788.0280981286805</c:v>
                </c:pt>
                <c:pt idx="26">
                  <c:v>4840.2611319264479</c:v>
                </c:pt>
                <c:pt idx="27">
                  <c:v>4892.4941657242152</c:v>
                </c:pt>
                <c:pt idx="28">
                  <c:v>4944.7271995219826</c:v>
                </c:pt>
                <c:pt idx="29">
                  <c:v>4996.9602333197499</c:v>
                </c:pt>
                <c:pt idx="30">
                  <c:v>5049.1932671175173</c:v>
                </c:pt>
                <c:pt idx="31">
                  <c:v>5101.4263009152846</c:v>
                </c:pt>
                <c:pt idx="32">
                  <c:v>5153.659334713052</c:v>
                </c:pt>
                <c:pt idx="33">
                  <c:v>5205.8923685108193</c:v>
                </c:pt>
                <c:pt idx="34">
                  <c:v>5258.1254023085867</c:v>
                </c:pt>
                <c:pt idx="35">
                  <c:v>5310.358436106354</c:v>
                </c:pt>
                <c:pt idx="36">
                  <c:v>5362.5914699041214</c:v>
                </c:pt>
                <c:pt idx="37">
                  <c:v>5414.8245037018887</c:v>
                </c:pt>
                <c:pt idx="38">
                  <c:v>5467.0575374996561</c:v>
                </c:pt>
                <c:pt idx="39">
                  <c:v>5519.2905712974234</c:v>
                </c:pt>
                <c:pt idx="40">
                  <c:v>5571.5236050951908</c:v>
                </c:pt>
                <c:pt idx="41">
                  <c:v>5623.7566388929581</c:v>
                </c:pt>
                <c:pt idx="42">
                  <c:v>5675.9896726907255</c:v>
                </c:pt>
                <c:pt idx="43">
                  <c:v>5728.2227064884928</c:v>
                </c:pt>
                <c:pt idx="44">
                  <c:v>5780.4557402862602</c:v>
                </c:pt>
                <c:pt idx="45">
                  <c:v>5832.6887740840275</c:v>
                </c:pt>
                <c:pt idx="46">
                  <c:v>5884.9218078817948</c:v>
                </c:pt>
                <c:pt idx="47">
                  <c:v>5937.1548416795622</c:v>
                </c:pt>
                <c:pt idx="48">
                  <c:v>5989.3878754773295</c:v>
                </c:pt>
                <c:pt idx="49">
                  <c:v>6041.6209092750969</c:v>
                </c:pt>
                <c:pt idx="50">
                  <c:v>6093.8539430728642</c:v>
                </c:pt>
                <c:pt idx="51">
                  <c:v>6146.0869768706316</c:v>
                </c:pt>
                <c:pt idx="52">
                  <c:v>6198.3200106683989</c:v>
                </c:pt>
                <c:pt idx="53">
                  <c:v>6250.5530444661663</c:v>
                </c:pt>
                <c:pt idx="54">
                  <c:v>6302.7860782639336</c:v>
                </c:pt>
                <c:pt idx="55">
                  <c:v>6355.019112061701</c:v>
                </c:pt>
                <c:pt idx="56">
                  <c:v>6407.2521458594683</c:v>
                </c:pt>
                <c:pt idx="57">
                  <c:v>6459.4851796572357</c:v>
                </c:pt>
                <c:pt idx="58">
                  <c:v>6511.718213455003</c:v>
                </c:pt>
                <c:pt idx="59">
                  <c:v>6563.9512472527704</c:v>
                </c:pt>
                <c:pt idx="60">
                  <c:v>6616.1842810505377</c:v>
                </c:pt>
                <c:pt idx="61">
                  <c:v>6668.4173148483051</c:v>
                </c:pt>
                <c:pt idx="62">
                  <c:v>6720.6503486460724</c:v>
                </c:pt>
                <c:pt idx="63">
                  <c:v>6772.8833824438398</c:v>
                </c:pt>
                <c:pt idx="64">
                  <c:v>6825.1164162416071</c:v>
                </c:pt>
                <c:pt idx="65">
                  <c:v>6877.3494500393745</c:v>
                </c:pt>
                <c:pt idx="66">
                  <c:v>6929.5824838371418</c:v>
                </c:pt>
                <c:pt idx="67">
                  <c:v>6981.8155176349092</c:v>
                </c:pt>
                <c:pt idx="68">
                  <c:v>7034.0485514326765</c:v>
                </c:pt>
                <c:pt idx="69">
                  <c:v>7086.2815852304439</c:v>
                </c:pt>
                <c:pt idx="70">
                  <c:v>7138.5146190282112</c:v>
                </c:pt>
                <c:pt idx="71">
                  <c:v>7190.7476528259785</c:v>
                </c:pt>
                <c:pt idx="72">
                  <c:v>7242.9806866237459</c:v>
                </c:pt>
                <c:pt idx="73">
                  <c:v>7295.2137204215132</c:v>
                </c:pt>
                <c:pt idx="74">
                  <c:v>7347.4467542192806</c:v>
                </c:pt>
                <c:pt idx="75">
                  <c:v>7399.6797880170479</c:v>
                </c:pt>
                <c:pt idx="76">
                  <c:v>7451.9128218148153</c:v>
                </c:pt>
                <c:pt idx="77">
                  <c:v>7504.1458556125826</c:v>
                </c:pt>
                <c:pt idx="78">
                  <c:v>7556.37888941035</c:v>
                </c:pt>
                <c:pt idx="79">
                  <c:v>7608.6119232081173</c:v>
                </c:pt>
                <c:pt idx="80">
                  <c:v>7660.8449570058847</c:v>
                </c:pt>
                <c:pt idx="81">
                  <c:v>7713.077990803652</c:v>
                </c:pt>
                <c:pt idx="82">
                  <c:v>7765.3110246014194</c:v>
                </c:pt>
                <c:pt idx="83">
                  <c:v>7817.5440583991867</c:v>
                </c:pt>
                <c:pt idx="84">
                  <c:v>7869.7770921969541</c:v>
                </c:pt>
                <c:pt idx="85">
                  <c:v>7922.0101259947214</c:v>
                </c:pt>
                <c:pt idx="86">
                  <c:v>7974.2431597924888</c:v>
                </c:pt>
                <c:pt idx="87">
                  <c:v>8026.4761935902561</c:v>
                </c:pt>
                <c:pt idx="88">
                  <c:v>8078.7092273880235</c:v>
                </c:pt>
                <c:pt idx="89">
                  <c:v>8130.9422611857908</c:v>
                </c:pt>
                <c:pt idx="90">
                  <c:v>8183.1752949835582</c:v>
                </c:pt>
                <c:pt idx="91">
                  <c:v>8235.4083287813264</c:v>
                </c:pt>
                <c:pt idx="92">
                  <c:v>8287.6413625790938</c:v>
                </c:pt>
                <c:pt idx="93">
                  <c:v>8339.8743963768611</c:v>
                </c:pt>
                <c:pt idx="94">
                  <c:v>8392.1074301746285</c:v>
                </c:pt>
                <c:pt idx="95">
                  <c:v>8444.3404639723958</c:v>
                </c:pt>
                <c:pt idx="96">
                  <c:v>8496.5734977701632</c:v>
                </c:pt>
                <c:pt idx="97">
                  <c:v>8548.8065315679305</c:v>
                </c:pt>
                <c:pt idx="98">
                  <c:v>8601.0395653656979</c:v>
                </c:pt>
                <c:pt idx="99">
                  <c:v>8653.2725991634652</c:v>
                </c:pt>
                <c:pt idx="100">
                  <c:v>8705.5056329612325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F5-489F-BBBD-6F7D62D25120}"/>
            </c:ext>
          </c:extLst>
        </c:ser>
        <c:ser>
          <c:idx val="2"/>
          <c:order val="2"/>
          <c:tx>
            <c:v>Power Stroke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Data!$Q$2:$Q$102</c:f>
              <c:numCache>
                <c:formatCode>0.00</c:formatCode>
                <c:ptCount val="101"/>
                <c:pt idx="0">
                  <c:v>1.9204140401675889</c:v>
                </c:pt>
                <c:pt idx="1">
                  <c:v>1.9204140401675889</c:v>
                </c:pt>
                <c:pt idx="2">
                  <c:v>1.9204140401675889</c:v>
                </c:pt>
                <c:pt idx="3">
                  <c:v>1.9204140401675889</c:v>
                </c:pt>
                <c:pt idx="4">
                  <c:v>1.9204140401675889</c:v>
                </c:pt>
                <c:pt idx="5">
                  <c:v>1.9204140401675889</c:v>
                </c:pt>
                <c:pt idx="6">
                  <c:v>1.9204140401675889</c:v>
                </c:pt>
                <c:pt idx="7">
                  <c:v>1.9204140401675889</c:v>
                </c:pt>
                <c:pt idx="8">
                  <c:v>1.9204140401675889</c:v>
                </c:pt>
                <c:pt idx="9">
                  <c:v>1.9204140401675889</c:v>
                </c:pt>
                <c:pt idx="10">
                  <c:v>1.9204140401675889</c:v>
                </c:pt>
                <c:pt idx="11">
                  <c:v>1.9204140401675889</c:v>
                </c:pt>
                <c:pt idx="12">
                  <c:v>1.9204140401675889</c:v>
                </c:pt>
                <c:pt idx="13">
                  <c:v>1.9204140401675889</c:v>
                </c:pt>
                <c:pt idx="14">
                  <c:v>1.9204140401675889</c:v>
                </c:pt>
                <c:pt idx="15">
                  <c:v>1.9204140401675889</c:v>
                </c:pt>
                <c:pt idx="16">
                  <c:v>1.9204140401675889</c:v>
                </c:pt>
                <c:pt idx="17">
                  <c:v>1.9204140401675889</c:v>
                </c:pt>
                <c:pt idx="18">
                  <c:v>1.9204140401675889</c:v>
                </c:pt>
                <c:pt idx="19">
                  <c:v>1.9204140401675889</c:v>
                </c:pt>
                <c:pt idx="20">
                  <c:v>1.9204140401675889</c:v>
                </c:pt>
                <c:pt idx="21">
                  <c:v>1.9204140401675889</c:v>
                </c:pt>
                <c:pt idx="22">
                  <c:v>1.9204140401675889</c:v>
                </c:pt>
                <c:pt idx="23">
                  <c:v>1.9204140401675889</c:v>
                </c:pt>
                <c:pt idx="24">
                  <c:v>1.9204140401675889</c:v>
                </c:pt>
                <c:pt idx="25">
                  <c:v>1.9204140401675889</c:v>
                </c:pt>
                <c:pt idx="26">
                  <c:v>1.9204140401675889</c:v>
                </c:pt>
                <c:pt idx="27">
                  <c:v>1.9204140401675889</c:v>
                </c:pt>
                <c:pt idx="28">
                  <c:v>1.9204140401675889</c:v>
                </c:pt>
                <c:pt idx="29">
                  <c:v>1.9204140401675889</c:v>
                </c:pt>
                <c:pt idx="30">
                  <c:v>1.9204140401675889</c:v>
                </c:pt>
                <c:pt idx="31">
                  <c:v>1.9204140401675889</c:v>
                </c:pt>
                <c:pt idx="32">
                  <c:v>1.9204140401675889</c:v>
                </c:pt>
                <c:pt idx="33">
                  <c:v>1.9204140401675889</c:v>
                </c:pt>
                <c:pt idx="34">
                  <c:v>1.9204140401675889</c:v>
                </c:pt>
                <c:pt idx="35">
                  <c:v>1.9204140401675889</c:v>
                </c:pt>
                <c:pt idx="36">
                  <c:v>1.9204140401675889</c:v>
                </c:pt>
                <c:pt idx="37">
                  <c:v>1.9204140401675889</c:v>
                </c:pt>
                <c:pt idx="38">
                  <c:v>1.9204140401675889</c:v>
                </c:pt>
                <c:pt idx="39">
                  <c:v>1.9204140401675889</c:v>
                </c:pt>
                <c:pt idx="40">
                  <c:v>1.9204140401675889</c:v>
                </c:pt>
                <c:pt idx="41">
                  <c:v>1.9204140401675889</c:v>
                </c:pt>
                <c:pt idx="42">
                  <c:v>1.9204140401675889</c:v>
                </c:pt>
                <c:pt idx="43">
                  <c:v>1.9204140401675889</c:v>
                </c:pt>
                <c:pt idx="44">
                  <c:v>1.9204140401675889</c:v>
                </c:pt>
                <c:pt idx="45">
                  <c:v>1.9204140401675889</c:v>
                </c:pt>
                <c:pt idx="46">
                  <c:v>1.9204140401675889</c:v>
                </c:pt>
                <c:pt idx="47">
                  <c:v>1.9204140401675889</c:v>
                </c:pt>
                <c:pt idx="48">
                  <c:v>1.9204140401675889</c:v>
                </c:pt>
                <c:pt idx="49">
                  <c:v>1.9204140401675889</c:v>
                </c:pt>
                <c:pt idx="50">
                  <c:v>1.9204140401675889</c:v>
                </c:pt>
                <c:pt idx="51">
                  <c:v>1.9204140401675889</c:v>
                </c:pt>
                <c:pt idx="52">
                  <c:v>1.9204140401675889</c:v>
                </c:pt>
                <c:pt idx="53">
                  <c:v>1.9204140401675889</c:v>
                </c:pt>
                <c:pt idx="54">
                  <c:v>1.9204140401675889</c:v>
                </c:pt>
                <c:pt idx="55">
                  <c:v>1.9204140401675889</c:v>
                </c:pt>
                <c:pt idx="56">
                  <c:v>1.9204140401675889</c:v>
                </c:pt>
                <c:pt idx="57">
                  <c:v>1.9204140401675889</c:v>
                </c:pt>
                <c:pt idx="58">
                  <c:v>1.9204140401675889</c:v>
                </c:pt>
                <c:pt idx="59">
                  <c:v>1.9204140401675889</c:v>
                </c:pt>
                <c:pt idx="60">
                  <c:v>1.9204140401675889</c:v>
                </c:pt>
                <c:pt idx="61">
                  <c:v>1.9204140401675889</c:v>
                </c:pt>
                <c:pt idx="62">
                  <c:v>1.9204140401675889</c:v>
                </c:pt>
                <c:pt idx="63">
                  <c:v>1.9204140401675889</c:v>
                </c:pt>
                <c:pt idx="64">
                  <c:v>1.9204140401675889</c:v>
                </c:pt>
                <c:pt idx="65">
                  <c:v>1.9204140401675889</c:v>
                </c:pt>
                <c:pt idx="66">
                  <c:v>1.9204140401675889</c:v>
                </c:pt>
                <c:pt idx="67">
                  <c:v>1.9204140401675889</c:v>
                </c:pt>
                <c:pt idx="68">
                  <c:v>1.9204140401675889</c:v>
                </c:pt>
                <c:pt idx="69">
                  <c:v>1.9204140401675889</c:v>
                </c:pt>
                <c:pt idx="70">
                  <c:v>1.9204140401675889</c:v>
                </c:pt>
                <c:pt idx="71">
                  <c:v>1.9204140401675889</c:v>
                </c:pt>
                <c:pt idx="72">
                  <c:v>1.9204140401675889</c:v>
                </c:pt>
                <c:pt idx="73">
                  <c:v>1.9204140401675889</c:v>
                </c:pt>
                <c:pt idx="74">
                  <c:v>1.9204140401675889</c:v>
                </c:pt>
                <c:pt idx="75">
                  <c:v>1.9204140401675889</c:v>
                </c:pt>
                <c:pt idx="76">
                  <c:v>1.9204140401675889</c:v>
                </c:pt>
                <c:pt idx="77">
                  <c:v>1.9204140401675889</c:v>
                </c:pt>
                <c:pt idx="78">
                  <c:v>1.9204140401675889</c:v>
                </c:pt>
                <c:pt idx="79">
                  <c:v>1.9204140401675889</c:v>
                </c:pt>
                <c:pt idx="80">
                  <c:v>1.9204140401675889</c:v>
                </c:pt>
                <c:pt idx="81">
                  <c:v>1.9204140401675889</c:v>
                </c:pt>
                <c:pt idx="82">
                  <c:v>1.9204140401675889</c:v>
                </c:pt>
                <c:pt idx="83">
                  <c:v>1.9204140401675889</c:v>
                </c:pt>
                <c:pt idx="84">
                  <c:v>1.9204140401675889</c:v>
                </c:pt>
                <c:pt idx="85">
                  <c:v>1.9204140401675889</c:v>
                </c:pt>
                <c:pt idx="86">
                  <c:v>1.9204140401675889</c:v>
                </c:pt>
                <c:pt idx="87">
                  <c:v>1.9204140401675889</c:v>
                </c:pt>
                <c:pt idx="88">
                  <c:v>1.9204140401675889</c:v>
                </c:pt>
                <c:pt idx="89">
                  <c:v>1.9204140401675889</c:v>
                </c:pt>
                <c:pt idx="90">
                  <c:v>1.9204140401675889</c:v>
                </c:pt>
                <c:pt idx="91">
                  <c:v>1.9204140401675889</c:v>
                </c:pt>
                <c:pt idx="92">
                  <c:v>1.9204140401675889</c:v>
                </c:pt>
                <c:pt idx="93">
                  <c:v>1.9204140401675889</c:v>
                </c:pt>
                <c:pt idx="94">
                  <c:v>1.9204140401675889</c:v>
                </c:pt>
                <c:pt idx="95">
                  <c:v>1.9204140401675889</c:v>
                </c:pt>
                <c:pt idx="96">
                  <c:v>1.9204140401675889</c:v>
                </c:pt>
                <c:pt idx="97">
                  <c:v>1.9204140401675889</c:v>
                </c:pt>
                <c:pt idx="98">
                  <c:v>1.9204140401675889</c:v>
                </c:pt>
                <c:pt idx="99">
                  <c:v>1.9204140401675889</c:v>
                </c:pt>
                <c:pt idx="100">
                  <c:v>1.9204140401675889</c:v>
                </c:pt>
              </c:numCache>
            </c:numRef>
          </c:xVal>
          <c:yVal>
            <c:numRef>
              <c:f>Data!$P$2:$P$102</c:f>
              <c:numCache>
                <c:formatCode>General</c:formatCode>
                <c:ptCount val="101"/>
                <c:pt idx="0" formatCode="0.00">
                  <c:v>8705.5056329612416</c:v>
                </c:pt>
                <c:pt idx="1">
                  <c:v>8684.6997518686057</c:v>
                </c:pt>
                <c:pt idx="2">
                  <c:v>8664.0668762641035</c:v>
                </c:pt>
                <c:pt idx="3">
                  <c:v>8643.6045545694051</c:v>
                </c:pt>
                <c:pt idx="4">
                  <c:v>8623.3103841325938</c:v>
                </c:pt>
                <c:pt idx="5">
                  <c:v>8603.1820099719243</c:v>
                </c:pt>
                <c:pt idx="6">
                  <c:v>8583.2171235589376</c:v>
                </c:pt>
                <c:pt idx="7">
                  <c:v>8563.4134616394749</c:v>
                </c:pt>
                <c:pt idx="8">
                  <c:v>8543.7688050912093</c:v>
                </c:pt>
                <c:pt idx="9">
                  <c:v>8524.2809778163555</c:v>
                </c:pt>
                <c:pt idx="10">
                  <c:v>8504.9478456682828</c:v>
                </c:pt>
                <c:pt idx="11">
                  <c:v>8485.7673154108088</c:v>
                </c:pt>
                <c:pt idx="12">
                  <c:v>8466.7373337089994</c:v>
                </c:pt>
                <c:pt idx="13">
                  <c:v>8447.8558861503534</c:v>
                </c:pt>
                <c:pt idx="14">
                  <c:v>8429.1209962952889</c:v>
                </c:pt>
                <c:pt idx="15">
                  <c:v>8410.5307247559085</c:v>
                </c:pt>
                <c:pt idx="16">
                  <c:v>8392.0831683020315</c:v>
                </c:pt>
                <c:pt idx="17">
                  <c:v>8373.7764589935668</c:v>
                </c:pt>
                <c:pt idx="18">
                  <c:v>8355.6087633382831</c:v>
                </c:pt>
                <c:pt idx="19">
                  <c:v>8337.5782814741306</c:v>
                </c:pt>
                <c:pt idx="20">
                  <c:v>8319.6832463752398</c:v>
                </c:pt>
                <c:pt idx="21">
                  <c:v>8301.9219230808139</c:v>
                </c:pt>
                <c:pt idx="22">
                  <c:v>8284.2926079461304</c:v>
                </c:pt>
                <c:pt idx="23">
                  <c:v>8266.7936279148853</c:v>
                </c:pt>
                <c:pt idx="24">
                  <c:v>8249.4233398121978</c:v>
                </c:pt>
                <c:pt idx="25">
                  <c:v>8232.1801296575522</c:v>
                </c:pt>
                <c:pt idx="26">
                  <c:v>8215.0624119970307</c:v>
                </c:pt>
                <c:pt idx="27">
                  <c:v>8198.0686292541959</c:v>
                </c:pt>
                <c:pt idx="28">
                  <c:v>8181.1972510990054</c:v>
                </c:pt>
                <c:pt idx="29">
                  <c:v>8164.4467738341709</c:v>
                </c:pt>
                <c:pt idx="30">
                  <c:v>8147.815719798391</c:v>
                </c:pt>
                <c:pt idx="31">
                  <c:v>8131.3026367859165</c:v>
                </c:pt>
                <c:pt idx="32">
                  <c:v>8114.9060974819104</c:v>
                </c:pt>
                <c:pt idx="33">
                  <c:v>8098.6246989131032</c:v>
                </c:pt>
                <c:pt idx="34">
                  <c:v>8082.4570619132583</c:v>
                </c:pt>
                <c:pt idx="35">
                  <c:v>8066.4018306029666</c:v>
                </c:pt>
                <c:pt idx="36">
                  <c:v>8050.4576718833241</c:v>
                </c:pt>
                <c:pt idx="37">
                  <c:v>8034.6232749430555</c:v>
                </c:pt>
                <c:pt idx="38">
                  <c:v>8018.8973507786568</c:v>
                </c:pt>
                <c:pt idx="39">
                  <c:v>8003.2786317271639</c:v>
                </c:pt>
                <c:pt idx="40">
                  <c:v>7987.7658710111382</c:v>
                </c:pt>
                <c:pt idx="41">
                  <c:v>7972.357842295507</c:v>
                </c:pt>
                <c:pt idx="42">
                  <c:v>7957.0533392558855</c:v>
                </c:pt>
                <c:pt idx="43">
                  <c:v>7941.8511751580345</c:v>
                </c:pt>
                <c:pt idx="44">
                  <c:v>7926.7501824481169</c:v>
                </c:pt>
                <c:pt idx="45">
                  <c:v>7911.7492123534139</c:v>
                </c:pt>
                <c:pt idx="46">
                  <c:v>7896.8471344932022</c:v>
                </c:pt>
                <c:pt idx="47">
                  <c:v>7882.0428364994714</c:v>
                </c:pt>
                <c:pt idx="48">
                  <c:v>7867.3352236472056</c:v>
                </c:pt>
                <c:pt idx="49">
                  <c:v>7852.7232184939294</c:v>
                </c:pt>
                <c:pt idx="50">
                  <c:v>7838.2057605282462</c:v>
                </c:pt>
                <c:pt idx="51">
                  <c:v>7823.7818058271178</c:v>
                </c:pt>
                <c:pt idx="52">
                  <c:v>7809.4503267216105</c:v>
                </c:pt>
                <c:pt idx="53">
                  <c:v>7795.2103114708743</c:v>
                </c:pt>
                <c:pt idx="54">
                  <c:v>7781.0607639441077</c:v>
                </c:pt>
                <c:pt idx="55">
                  <c:v>7767.0007033102866</c:v>
                </c:pt>
                <c:pt idx="56">
                  <c:v>7753.0291637354158</c:v>
                </c:pt>
                <c:pt idx="57">
                  <c:v>7739.1451940871166</c:v>
                </c:pt>
                <c:pt idx="58">
                  <c:v>7725.3478576463094</c:v>
                </c:pt>
                <c:pt idx="59">
                  <c:v>7711.6362318258152</c:v>
                </c:pt>
                <c:pt idx="60">
                  <c:v>7698.009407895659</c:v>
                </c:pt>
                <c:pt idx="61">
                  <c:v>7684.4664907149117</c:v>
                </c:pt>
                <c:pt idx="62">
                  <c:v>7671.0065984698576</c:v>
                </c:pt>
                <c:pt idx="63">
                  <c:v>7657.6288624183398</c:v>
                </c:pt>
                <c:pt idx="64">
                  <c:v>7644.3324266400887</c:v>
                </c:pt>
                <c:pt idx="65">
                  <c:v>7631.1164477928814</c:v>
                </c:pt>
                <c:pt idx="66">
                  <c:v>7617.9800948743714</c:v>
                </c:pt>
                <c:pt idx="67">
                  <c:v>7604.9225489894206</c:v>
                </c:pt>
                <c:pt idx="68">
                  <c:v>7591.9430031228003</c:v>
                </c:pt>
                <c:pt idx="69">
                  <c:v>7579.0406619171054</c:v>
                </c:pt>
                <c:pt idx="70">
                  <c:v>7566.2147414557394</c:v>
                </c:pt>
                <c:pt idx="71">
                  <c:v>7553.4644690508376</c:v>
                </c:pt>
                <c:pt idx="72">
                  <c:v>7540.7890830359984</c:v>
                </c:pt>
                <c:pt idx="73">
                  <c:v>7528.1878325636844</c:v>
                </c:pt>
                <c:pt idx="74">
                  <c:v>7515.659977407181</c:v>
                </c:pt>
                <c:pt idx="75">
                  <c:v>7503.2047877669793</c:v>
                </c:pt>
                <c:pt idx="76">
                  <c:v>7490.8215440814802</c:v>
                </c:pt>
                <c:pt idx="77">
                  <c:v>7478.5095368418924</c:v>
                </c:pt>
                <c:pt idx="78">
                  <c:v>7466.2680664112258</c:v>
                </c:pt>
                <c:pt idx="79">
                  <c:v>7454.0964428472635</c:v>
                </c:pt>
                <c:pt idx="80">
                  <c:v>7441.9939857294194</c:v>
                </c:pt>
                <c:pt idx="81">
                  <c:v>7429.9600239893707</c:v>
                </c:pt>
                <c:pt idx="82">
                  <c:v>7417.9938957453751</c:v>
                </c:pt>
                <c:pt idx="83">
                  <c:v>7406.0949481401758</c:v>
                </c:pt>
                <c:pt idx="84">
                  <c:v>7394.2625371824051</c:v>
                </c:pt>
                <c:pt idx="85">
                  <c:v>7382.4960275913872</c:v>
                </c:pt>
                <c:pt idx="86">
                  <c:v>7370.7947926452716</c:v>
                </c:pt>
                <c:pt idx="87">
                  <c:v>7359.1582140323981</c:v>
                </c:pt>
                <c:pt idx="88">
                  <c:v>7347.5856817058138</c:v>
                </c:pt>
                <c:pt idx="89">
                  <c:v>7336.0765937408769</c:v>
                </c:pt>
                <c:pt idx="90">
                  <c:v>7324.6303561958484</c:v>
                </c:pt>
                <c:pt idx="91">
                  <c:v>7313.246382975417</c:v>
                </c:pt>
                <c:pt idx="92">
                  <c:v>7301.9240956970725</c:v>
                </c:pt>
                <c:pt idx="93">
                  <c:v>7290.6629235602604</c:v>
                </c:pt>
                <c:pt idx="94">
                  <c:v>7279.4623032182553</c:v>
                </c:pt>
                <c:pt idx="95">
                  <c:v>7268.3216786526755</c:v>
                </c:pt>
                <c:pt idx="96">
                  <c:v>7257.2405010505854</c:v>
                </c:pt>
                <c:pt idx="97">
                  <c:v>7246.2182286841144</c:v>
                </c:pt>
                <c:pt idx="98">
                  <c:v>7235.2543267925348</c:v>
                </c:pt>
                <c:pt idx="99">
                  <c:v>7224.3482674667412</c:v>
                </c:pt>
                <c:pt idx="100">
                  <c:v>7213.4995295360723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4F5-489F-BBBD-6F7D62D25120}"/>
            </c:ext>
          </c:extLst>
        </c:ser>
        <c:ser>
          <c:idx val="3"/>
          <c:order val="3"/>
          <c:tx>
            <c:v>Heat Rejection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Data!$S$2:$S$102</c:f>
              <c:numCache>
                <c:formatCode>General</c:formatCode>
                <c:ptCount val="101"/>
                <c:pt idx="0" formatCode="0.00">
                  <c:v>1.9204140401675889</c:v>
                </c:pt>
                <c:pt idx="1">
                  <c:v>1.9152095355581751</c:v>
                </c:pt>
                <c:pt idx="2">
                  <c:v>1.9099670032075879</c:v>
                </c:pt>
                <c:pt idx="3">
                  <c:v>1.9046858833085683</c:v>
                </c:pt>
                <c:pt idx="4">
                  <c:v>1.8993656036007356</c:v>
                </c:pt>
                <c:pt idx="5">
                  <c:v>1.8940055789984611</c:v>
                </c:pt>
                <c:pt idx="6">
                  <c:v>1.888605211204736</c:v>
                </c:pt>
                <c:pt idx="7">
                  <c:v>1.8831638883103985</c:v>
                </c:pt>
                <c:pt idx="8">
                  <c:v>1.8776809843780466</c:v>
                </c:pt>
                <c:pt idx="9">
                  <c:v>1.872155859009931</c:v>
                </c:pt>
                <c:pt idx="10">
                  <c:v>1.8665878568990801</c:v>
                </c:pt>
                <c:pt idx="11">
                  <c:v>1.8609763073628731</c:v>
                </c:pt>
                <c:pt idx="12">
                  <c:v>1.8553205238582275</c:v>
                </c:pt>
                <c:pt idx="13">
                  <c:v>1.8496198034775273</c:v>
                </c:pt>
                <c:pt idx="14">
                  <c:v>1.8438734264243648</c:v>
                </c:pt>
                <c:pt idx="15">
                  <c:v>1.8380806554681195</c:v>
                </c:pt>
                <c:pt idx="16">
                  <c:v>1.8322407353763395</c:v>
                </c:pt>
                <c:pt idx="17">
                  <c:v>1.8263528923238319</c:v>
                </c:pt>
                <c:pt idx="18">
                  <c:v>1.820416333277308</c:v>
                </c:pt>
                <c:pt idx="19">
                  <c:v>1.8144302453543573</c:v>
                </c:pt>
                <c:pt idx="20">
                  <c:v>1.8083937951554561</c:v>
                </c:pt>
                <c:pt idx="21">
                  <c:v>1.8023061280676371</c:v>
                </c:pt>
                <c:pt idx="22">
                  <c:v>1.7961663675383648</c:v>
                </c:pt>
                <c:pt idx="23">
                  <c:v>1.7899736143180738</c:v>
                </c:pt>
                <c:pt idx="24">
                  <c:v>1.7837269456697338</c:v>
                </c:pt>
                <c:pt idx="25">
                  <c:v>1.7774254145437027</c:v>
                </c:pt>
                <c:pt idx="26">
                  <c:v>1.7710680487160231</c:v>
                </c:pt>
                <c:pt idx="27">
                  <c:v>1.7646538498882001</c:v>
                </c:pt>
                <c:pt idx="28">
                  <c:v>1.758181792746377</c:v>
                </c:pt>
                <c:pt idx="29">
                  <c:v>1.7516508239776909</c:v>
                </c:pt>
                <c:pt idx="30">
                  <c:v>1.7450598612414476</c:v>
                </c:pt>
                <c:pt idx="31">
                  <c:v>1.7384077920926029</c:v>
                </c:pt>
                <c:pt idx="32">
                  <c:v>1.7316934728548719</c:v>
                </c:pt>
                <c:pt idx="33">
                  <c:v>1.7249157274406119</c:v>
                </c:pt>
                <c:pt idx="34">
                  <c:v>1.7180733461144329</c:v>
                </c:pt>
                <c:pt idx="35">
                  <c:v>1.711165084197283</c:v>
                </c:pt>
                <c:pt idx="36">
                  <c:v>1.7041896607075404</c:v>
                </c:pt>
                <c:pt idx="37">
                  <c:v>1.6971457569353972</c:v>
                </c:pt>
                <c:pt idx="38">
                  <c:v>1.6900320149465684</c:v>
                </c:pt>
                <c:pt idx="39">
                  <c:v>1.6828470360110797</c:v>
                </c:pt>
                <c:pt idx="40">
                  <c:v>1.675589378952586</c:v>
                </c:pt>
                <c:pt idx="41">
                  <c:v>1.6682575584133483</c:v>
                </c:pt>
                <c:pt idx="42">
                  <c:v>1.6608500430296451</c:v>
                </c:pt>
                <c:pt idx="43">
                  <c:v>1.65336525351201</c:v>
                </c:pt>
                <c:pt idx="44">
                  <c:v>1.6458015606242775</c:v>
                </c:pt>
                <c:pt idx="45">
                  <c:v>1.6381572830549669</c:v>
                </c:pt>
                <c:pt idx="46">
                  <c:v>1.6304306851740478</c:v>
                </c:pt>
                <c:pt idx="47">
                  <c:v>1.6226199746676009</c:v>
                </c:pt>
                <c:pt idx="48">
                  <c:v>1.6147233000423094</c:v>
                </c:pt>
                <c:pt idx="49">
                  <c:v>1.6067387479910895</c:v>
                </c:pt>
                <c:pt idx="50">
                  <c:v>1.5986643406104848</c:v>
                </c:pt>
                <c:pt idx="51">
                  <c:v>1.590498032459698</c:v>
                </c:pt>
                <c:pt idx="52">
                  <c:v>1.5822377074503233</c:v>
                </c:pt>
                <c:pt idx="53">
                  <c:v>1.573881175554946</c:v>
                </c:pt>
                <c:pt idx="54">
                  <c:v>1.5654261693218019</c:v>
                </c:pt>
                <c:pt idx="55">
                  <c:v>1.5568703401816208</c:v>
                </c:pt>
                <c:pt idx="56">
                  <c:v>1.5482112545316042</c:v>
                </c:pt>
                <c:pt idx="57">
                  <c:v>1.5394463895802009</c:v>
                </c:pt>
                <c:pt idx="58">
                  <c:v>1.5305731289349296</c:v>
                </c:pt>
                <c:pt idx="59">
                  <c:v>1.5215887579139444</c:v>
                </c:pt>
                <c:pt idx="60">
                  <c:v>1.5124904585603198</c:v>
                </c:pt>
                <c:pt idx="61">
                  <c:v>1.5032753043361469</c:v>
                </c:pt>
                <c:pt idx="62">
                  <c:v>1.4939402544714435</c:v>
                </c:pt>
                <c:pt idx="63">
                  <c:v>1.4844821479405736</c:v>
                </c:pt>
                <c:pt idx="64">
                  <c:v>1.4748976970363201</c:v>
                </c:pt>
                <c:pt idx="65">
                  <c:v>1.4651834805089223</c:v>
                </c:pt>
                <c:pt idx="66">
                  <c:v>1.4553359362342522</c:v>
                </c:pt>
                <c:pt idx="67">
                  <c:v>1.4453513533718096</c:v>
                </c:pt>
                <c:pt idx="68">
                  <c:v>1.4352258639693352</c:v>
                </c:pt>
                <c:pt idx="69">
                  <c:v>1.4249554339665074</c:v>
                </c:pt>
                <c:pt idx="70">
                  <c:v>1.4145358535453612</c:v>
                </c:pt>
                <c:pt idx="71">
                  <c:v>1.4039627267696599</c:v>
                </c:pt>
                <c:pt idx="72">
                  <c:v>1.3932314604494065</c:v>
                </c:pt>
                <c:pt idx="73">
                  <c:v>1.3823372521598942</c:v>
                </c:pt>
                <c:pt idx="74">
                  <c:v>1.3712750773370797</c:v>
                </c:pt>
                <c:pt idx="75">
                  <c:v>1.3600396753624822</c:v>
                </c:pt>
                <c:pt idx="76">
                  <c:v>1.3486255345411504</c:v>
                </c:pt>
                <c:pt idx="77">
                  <c:v>1.3370268758653185</c:v>
                </c:pt>
                <c:pt idx="78">
                  <c:v>1.325237635444023</c:v>
                </c:pt>
                <c:pt idx="79">
                  <c:v>1.3132514454649467</c:v>
                </c:pt>
                <c:pt idx="80">
                  <c:v>1.3010616135388526</c:v>
                </c:pt>
                <c:pt idx="81">
                  <c:v>1.2886611002588608</c:v>
                </c:pt>
                <c:pt idx="82">
                  <c:v>1.276042494786169</c:v>
                </c:pt>
                <c:pt idx="83">
                  <c:v>1.2631979882502051</c:v>
                </c:pt>
                <c:pt idx="84">
                  <c:v>1.2501193447241403</c:v>
                </c:pt>
                <c:pt idx="85">
                  <c:v>1.2367978695056174</c:v>
                </c:pt>
                <c:pt idx="86">
                  <c:v>1.2232243743967688</c:v>
                </c:pt>
                <c:pt idx="87">
                  <c:v>1.209389139636291</c:v>
                </c:pt>
                <c:pt idx="88">
                  <c:v>1.1952818720885521</c:v>
                </c:pt>
                <c:pt idx="89">
                  <c:v>1.1808916592392282</c:v>
                </c:pt>
                <c:pt idx="90">
                  <c:v>1.1662069184824162</c:v>
                </c:pt>
                <c:pt idx="91">
                  <c:v>1.1512153411088162</c:v>
                </c:pt>
                <c:pt idx="92">
                  <c:v>1.1359038303163627</c:v>
                </c:pt>
                <c:pt idx="93">
                  <c:v>1.1202584324610736</c:v>
                </c:pt>
                <c:pt idx="94">
                  <c:v>1.1042642606437914</c:v>
                </c:pt>
                <c:pt idx="95">
                  <c:v>1.0879054095841263</c:v>
                </c:pt>
                <c:pt idx="96">
                  <c:v>1.0711648605615804</c:v>
                </c:pt>
                <c:pt idx="97">
                  <c:v>1.0540243749997591</c:v>
                </c:pt>
                <c:pt idx="98">
                  <c:v>1.0364643750255207</c:v>
                </c:pt>
                <c:pt idx="99">
                  <c:v>1.0184638090418714</c:v>
                </c:pt>
                <c:pt idx="100">
                  <c:v>1.0000000000000024</c:v>
                </c:pt>
              </c:numCache>
            </c:numRef>
          </c:xVal>
          <c:yVal>
            <c:numRef>
              <c:f>Data!$R$2:$R$102</c:f>
              <c:numCache>
                <c:formatCode>General</c:formatCode>
                <c:ptCount val="101"/>
                <c:pt idx="0" formatCode="0.00">
                  <c:v>7213.4995295360668</c:v>
                </c:pt>
                <c:pt idx="1">
                  <c:v>7161.3645342407062</c:v>
                </c:pt>
                <c:pt idx="2">
                  <c:v>7109.2295389453457</c:v>
                </c:pt>
                <c:pt idx="3">
                  <c:v>7057.0945436499851</c:v>
                </c:pt>
                <c:pt idx="4">
                  <c:v>7004.9595483546245</c:v>
                </c:pt>
                <c:pt idx="5">
                  <c:v>6952.824553059264</c:v>
                </c:pt>
                <c:pt idx="6">
                  <c:v>6900.6895577639034</c:v>
                </c:pt>
                <c:pt idx="7">
                  <c:v>6848.5545624685428</c:v>
                </c:pt>
                <c:pt idx="8">
                  <c:v>6796.4195671731823</c:v>
                </c:pt>
                <c:pt idx="9">
                  <c:v>6744.2845718778217</c:v>
                </c:pt>
                <c:pt idx="10">
                  <c:v>6692.1495765824611</c:v>
                </c:pt>
                <c:pt idx="11">
                  <c:v>6640.0145812871006</c:v>
                </c:pt>
                <c:pt idx="12">
                  <c:v>6587.87958599174</c:v>
                </c:pt>
                <c:pt idx="13">
                  <c:v>6535.7445906963794</c:v>
                </c:pt>
                <c:pt idx="14">
                  <c:v>6483.6095954010189</c:v>
                </c:pt>
                <c:pt idx="15">
                  <c:v>6431.4746001056583</c:v>
                </c:pt>
                <c:pt idx="16">
                  <c:v>6379.3396048102977</c:v>
                </c:pt>
                <c:pt idx="17">
                  <c:v>6327.2046095149371</c:v>
                </c:pt>
                <c:pt idx="18">
                  <c:v>6275.0696142195766</c:v>
                </c:pt>
                <c:pt idx="19">
                  <c:v>6222.934618924216</c:v>
                </c:pt>
                <c:pt idx="20">
                  <c:v>6170.7996236288554</c:v>
                </c:pt>
                <c:pt idx="21">
                  <c:v>6118.6646283334949</c:v>
                </c:pt>
                <c:pt idx="22">
                  <c:v>6066.5296330381343</c:v>
                </c:pt>
                <c:pt idx="23">
                  <c:v>6014.3946377427737</c:v>
                </c:pt>
                <c:pt idx="24">
                  <c:v>5962.2596424474132</c:v>
                </c:pt>
                <c:pt idx="25">
                  <c:v>5910.1246471520526</c:v>
                </c:pt>
                <c:pt idx="26">
                  <c:v>5857.989651856692</c:v>
                </c:pt>
                <c:pt idx="27">
                  <c:v>5805.8546565613315</c:v>
                </c:pt>
                <c:pt idx="28">
                  <c:v>5753.7196612659709</c:v>
                </c:pt>
                <c:pt idx="29">
                  <c:v>5701.5846659706103</c:v>
                </c:pt>
                <c:pt idx="30">
                  <c:v>5649.4496706752498</c:v>
                </c:pt>
                <c:pt idx="31">
                  <c:v>5597.3146753798892</c:v>
                </c:pt>
                <c:pt idx="32">
                  <c:v>5545.1796800845286</c:v>
                </c:pt>
                <c:pt idx="33">
                  <c:v>5493.0446847891681</c:v>
                </c:pt>
                <c:pt idx="34">
                  <c:v>5440.9096894938075</c:v>
                </c:pt>
                <c:pt idx="35">
                  <c:v>5388.7746941984469</c:v>
                </c:pt>
                <c:pt idx="36">
                  <c:v>5336.6396989030864</c:v>
                </c:pt>
                <c:pt idx="37">
                  <c:v>5284.5047036077258</c:v>
                </c:pt>
                <c:pt idx="38">
                  <c:v>5232.3697083123652</c:v>
                </c:pt>
                <c:pt idx="39">
                  <c:v>5180.2347130170047</c:v>
                </c:pt>
                <c:pt idx="40">
                  <c:v>5128.0997177216441</c:v>
                </c:pt>
                <c:pt idx="41">
                  <c:v>5075.9647224262835</c:v>
                </c:pt>
                <c:pt idx="42">
                  <c:v>5023.8297271309229</c:v>
                </c:pt>
                <c:pt idx="43">
                  <c:v>4971.6947318355624</c:v>
                </c:pt>
                <c:pt idx="44">
                  <c:v>4919.5597365402018</c:v>
                </c:pt>
                <c:pt idx="45">
                  <c:v>4867.4247412448412</c:v>
                </c:pt>
                <c:pt idx="46">
                  <c:v>4815.2897459494807</c:v>
                </c:pt>
                <c:pt idx="47">
                  <c:v>4763.1547506541201</c:v>
                </c:pt>
                <c:pt idx="48">
                  <c:v>4711.0197553587595</c:v>
                </c:pt>
                <c:pt idx="49">
                  <c:v>4658.884760063399</c:v>
                </c:pt>
                <c:pt idx="50">
                  <c:v>4606.7497647680384</c:v>
                </c:pt>
                <c:pt idx="51">
                  <c:v>4554.6147694726778</c:v>
                </c:pt>
                <c:pt idx="52">
                  <c:v>4502.4797741773173</c:v>
                </c:pt>
                <c:pt idx="53">
                  <c:v>4450.3447788819567</c:v>
                </c:pt>
                <c:pt idx="54">
                  <c:v>4398.2097835865961</c:v>
                </c:pt>
                <c:pt idx="55">
                  <c:v>4346.0747882912356</c:v>
                </c:pt>
                <c:pt idx="56">
                  <c:v>4293.939792995875</c:v>
                </c:pt>
                <c:pt idx="57">
                  <c:v>4241.8047977005144</c:v>
                </c:pt>
                <c:pt idx="58">
                  <c:v>4189.6698024051539</c:v>
                </c:pt>
                <c:pt idx="59">
                  <c:v>4137.5348071097933</c:v>
                </c:pt>
                <c:pt idx="60">
                  <c:v>4085.3998118144327</c:v>
                </c:pt>
                <c:pt idx="61">
                  <c:v>4033.2648165190722</c:v>
                </c:pt>
                <c:pt idx="62">
                  <c:v>3981.1298212237116</c:v>
                </c:pt>
                <c:pt idx="63">
                  <c:v>3928.994825928351</c:v>
                </c:pt>
                <c:pt idx="64">
                  <c:v>3876.8598306329905</c:v>
                </c:pt>
                <c:pt idx="65">
                  <c:v>3824.7248353376299</c:v>
                </c:pt>
                <c:pt idx="66">
                  <c:v>3772.5898400422693</c:v>
                </c:pt>
                <c:pt idx="67">
                  <c:v>3720.4548447469087</c:v>
                </c:pt>
                <c:pt idx="68">
                  <c:v>3668.3198494515482</c:v>
                </c:pt>
                <c:pt idx="69">
                  <c:v>3616.1848541561876</c:v>
                </c:pt>
                <c:pt idx="70">
                  <c:v>3564.049858860827</c:v>
                </c:pt>
                <c:pt idx="71">
                  <c:v>3511.9148635654665</c:v>
                </c:pt>
                <c:pt idx="72">
                  <c:v>3459.7798682701059</c:v>
                </c:pt>
                <c:pt idx="73">
                  <c:v>3407.6448729747453</c:v>
                </c:pt>
                <c:pt idx="74">
                  <c:v>3355.5098776793848</c:v>
                </c:pt>
                <c:pt idx="75">
                  <c:v>3303.3748823840242</c:v>
                </c:pt>
                <c:pt idx="76">
                  <c:v>3251.2398870886636</c:v>
                </c:pt>
                <c:pt idx="77">
                  <c:v>3199.1048917933031</c:v>
                </c:pt>
                <c:pt idx="78">
                  <c:v>3146.9698964979425</c:v>
                </c:pt>
                <c:pt idx="79">
                  <c:v>3094.8349012025819</c:v>
                </c:pt>
                <c:pt idx="80">
                  <c:v>3042.6999059072214</c:v>
                </c:pt>
                <c:pt idx="81">
                  <c:v>2990.5649106118608</c:v>
                </c:pt>
                <c:pt idx="82">
                  <c:v>2938.4299153165002</c:v>
                </c:pt>
                <c:pt idx="83">
                  <c:v>2886.2949200211397</c:v>
                </c:pt>
                <c:pt idx="84">
                  <c:v>2834.1599247257791</c:v>
                </c:pt>
                <c:pt idx="85">
                  <c:v>2782.0249294304185</c:v>
                </c:pt>
                <c:pt idx="86">
                  <c:v>2729.889934135058</c:v>
                </c:pt>
                <c:pt idx="87">
                  <c:v>2677.7549388396974</c:v>
                </c:pt>
                <c:pt idx="88">
                  <c:v>2625.6199435443368</c:v>
                </c:pt>
                <c:pt idx="89">
                  <c:v>2573.4849482489763</c:v>
                </c:pt>
                <c:pt idx="90">
                  <c:v>2521.3499529536157</c:v>
                </c:pt>
                <c:pt idx="91">
                  <c:v>2469.2149576582551</c:v>
                </c:pt>
                <c:pt idx="92">
                  <c:v>2417.0799623628945</c:v>
                </c:pt>
                <c:pt idx="93">
                  <c:v>2364.944967067534</c:v>
                </c:pt>
                <c:pt idx="94">
                  <c:v>2312.8099717721734</c:v>
                </c:pt>
                <c:pt idx="95">
                  <c:v>2260.6749764768128</c:v>
                </c:pt>
                <c:pt idx="96">
                  <c:v>2208.5399811814523</c:v>
                </c:pt>
                <c:pt idx="97">
                  <c:v>2156.4049858860917</c:v>
                </c:pt>
                <c:pt idx="98">
                  <c:v>2104.2699905907311</c:v>
                </c:pt>
                <c:pt idx="99">
                  <c:v>2052.1349952953706</c:v>
                </c:pt>
                <c:pt idx="100">
                  <c:v>2000.00000000001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4F5-489F-BBBD-6F7D62D25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8872960"/>
        <c:axId val="688874272"/>
      </c:scatterChart>
      <c:valAx>
        <c:axId val="6888729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6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Entropy,s(kJ.kg-K)</a:t>
                </a:r>
                <a:endParaRPr lang="en-IN" sz="1000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874272"/>
        <c:crosses val="autoZero"/>
        <c:crossBetween val="midCat"/>
      </c:valAx>
      <c:valAx>
        <c:axId val="68887427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8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Temperature,T</a:t>
                </a:r>
              </a:p>
            </c:rich>
          </c:tx>
          <c:layout>
            <c:manualLayout>
              <c:xMode val="edge"/>
              <c:yMode val="edge"/>
              <c:x val="2.3476450616101385E-2"/>
              <c:y val="0.3486872380908082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872960"/>
        <c:crosses val="autoZero"/>
        <c:crossBetween val="midCat"/>
      </c:valAx>
      <c:spPr>
        <a:solidFill>
          <a:schemeClr val="bg2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404224483938204"/>
          <c:y val="4.3115976260834292E-2"/>
          <c:w val="0.14873801894383196"/>
          <c:h val="0.37104612508848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66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6" fmlaLink="$D$6" horiz="1" max="10" page="10" val="4"/>
</file>

<file path=xl/ctrlProps/ctrlProp2.xml><?xml version="1.0" encoding="utf-8"?>
<formControlPr xmlns="http://schemas.microsoft.com/office/spreadsheetml/2009/9/main" objectType="Scroll" dx="26" fmlaLink="$D$9" horiz="1" max="10" page="10" val="4"/>
</file>

<file path=xl/ctrlProps/ctrlProp3.xml><?xml version="1.0" encoding="utf-8"?>
<formControlPr xmlns="http://schemas.microsoft.com/office/spreadsheetml/2009/9/main" objectType="Scroll" dx="26" fmlaLink="$D$8" horiz="1" inc="100" max="10000" page="10" val="2000"/>
</file>

<file path=xl/ctrlProps/ctrlProp4.xml><?xml version="1.0" encoding="utf-8"?>
<formControlPr xmlns="http://schemas.microsoft.com/office/spreadsheetml/2009/9/main" objectType="Scroll" dx="26" fmlaLink="$D$7" horiz="1" inc="100" max="10000" page="10" val="100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15240</xdr:rowOff>
    </xdr:from>
    <xdr:to>
      <xdr:col>4</xdr:col>
      <xdr:colOff>22860</xdr:colOff>
      <xdr:row>10</xdr:row>
      <xdr:rowOff>21771</xdr:rowOff>
    </xdr:to>
    <xdr:sp macro="" textlink="">
      <xdr:nvSpPr>
        <xdr:cNvPr id="41" name="Rectangle 14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Arrowheads="1"/>
        </xdr:cNvSpPr>
      </xdr:nvSpPr>
      <xdr:spPr bwMode="auto">
        <a:xfrm>
          <a:off x="609600" y="1071154"/>
          <a:ext cx="2123803" cy="986246"/>
        </a:xfrm>
        <a:prstGeom prst="rect">
          <a:avLst/>
        </a:prstGeom>
        <a:noFill/>
        <a:ln w="28575">
          <a:solidFill>
            <a:srgbClr val="CC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IN"/>
        </a:p>
      </xdr:txBody>
    </xdr:sp>
    <xdr:clientData/>
  </xdr:twoCellAnchor>
  <xdr:twoCellAnchor>
    <xdr:from>
      <xdr:col>1</xdr:col>
      <xdr:colOff>190500</xdr:colOff>
      <xdr:row>2</xdr:row>
      <xdr:rowOff>106680</xdr:rowOff>
    </xdr:from>
    <xdr:to>
      <xdr:col>3</xdr:col>
      <xdr:colOff>514959</xdr:colOff>
      <xdr:row>4</xdr:row>
      <xdr:rowOff>56974</xdr:rowOff>
    </xdr:to>
    <xdr:sp macro="" textlink="">
      <xdr:nvSpPr>
        <xdr:cNvPr id="42" name="Text Box 24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>
          <a:spLocks noChangeArrowheads="1"/>
        </xdr:cNvSpPr>
      </xdr:nvSpPr>
      <xdr:spPr bwMode="auto">
        <a:xfrm>
          <a:off x="800100" y="601980"/>
          <a:ext cx="1543659" cy="316054"/>
        </a:xfrm>
        <a:prstGeom prst="rect">
          <a:avLst/>
        </a:prstGeom>
        <a:noFill/>
        <a:ln>
          <a:noFill/>
        </a:ln>
      </xdr:spPr>
      <xdr:txBody>
        <a:bodyPr vertOverflow="clip" wrap="square" lIns="36576" tIns="27432" rIns="0" bIns="0" anchor="t" upright="1"/>
        <a:lstStyle/>
        <a:p>
          <a:pPr algn="ctr" rtl="0">
            <a:defRPr sz="1000"/>
          </a:pPr>
          <a:r>
            <a:rPr lang="en-US" sz="1800" b="1" i="0" u="none" strike="noStrike" baseline="0">
              <a:solidFill>
                <a:srgbClr val="C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INPUTS</a:t>
          </a:r>
          <a:endParaRPr lang="en-US" sz="1100">
            <a:solidFill>
              <a:srgbClr val="C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144780</xdr:colOff>
      <xdr:row>17</xdr:row>
      <xdr:rowOff>129540</xdr:rowOff>
    </xdr:from>
    <xdr:to>
      <xdr:col>13</xdr:col>
      <xdr:colOff>502920</xdr:colOff>
      <xdr:row>18</xdr:row>
      <xdr:rowOff>338546</xdr:rowOff>
    </xdr:to>
    <xdr:sp macro="" textlink="">
      <xdr:nvSpPr>
        <xdr:cNvPr id="43" name="Rectangle 107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ChangeArrowheads="1"/>
        </xdr:cNvSpPr>
      </xdr:nvSpPr>
      <xdr:spPr bwMode="auto">
        <a:xfrm>
          <a:off x="8069580" y="3451860"/>
          <a:ext cx="358140" cy="407126"/>
        </a:xfrm>
        <a:prstGeom prst="rect">
          <a:avLst/>
        </a:prstGeom>
        <a:solidFill>
          <a:srgbClr val="CCEC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IN"/>
        </a:p>
      </xdr:txBody>
    </xdr:sp>
    <xdr:clientData/>
  </xdr:twoCellAnchor>
  <xdr:twoCellAnchor>
    <xdr:from>
      <xdr:col>13</xdr:col>
      <xdr:colOff>495300</xdr:colOff>
      <xdr:row>17</xdr:row>
      <xdr:rowOff>114300</xdr:rowOff>
    </xdr:from>
    <xdr:to>
      <xdr:col>13</xdr:col>
      <xdr:colOff>495300</xdr:colOff>
      <xdr:row>19</xdr:row>
      <xdr:rowOff>165463</xdr:rowOff>
    </xdr:to>
    <xdr:sp macro="" textlink="">
      <xdr:nvSpPr>
        <xdr:cNvPr id="44" name="Line 80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ShapeType="1"/>
        </xdr:cNvSpPr>
      </xdr:nvSpPr>
      <xdr:spPr bwMode="auto">
        <a:xfrm>
          <a:off x="8420100" y="3436620"/>
          <a:ext cx="0" cy="744583"/>
        </a:xfrm>
        <a:prstGeom prst="line">
          <a:avLst/>
        </a:prstGeom>
        <a:noFill/>
        <a:ln w="15240" cap="flat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/>
        <a:lstStyle/>
        <a:p>
          <a:endParaRPr lang="en-IN"/>
        </a:p>
      </xdr:txBody>
    </xdr:sp>
    <xdr:clientData/>
  </xdr:twoCellAnchor>
  <xdr:twoCellAnchor>
    <xdr:from>
      <xdr:col>13</xdr:col>
      <xdr:colOff>137160</xdr:colOff>
      <xdr:row>17</xdr:row>
      <xdr:rowOff>121920</xdr:rowOff>
    </xdr:from>
    <xdr:to>
      <xdr:col>13</xdr:col>
      <xdr:colOff>495300</xdr:colOff>
      <xdr:row>17</xdr:row>
      <xdr:rowOff>121920</xdr:rowOff>
    </xdr:to>
    <xdr:sp macro="" textlink="">
      <xdr:nvSpPr>
        <xdr:cNvPr id="45" name="Line 79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ShapeType="1"/>
        </xdr:cNvSpPr>
      </xdr:nvSpPr>
      <xdr:spPr bwMode="auto">
        <a:xfrm>
          <a:off x="8061960" y="3444240"/>
          <a:ext cx="358140" cy="0"/>
        </a:xfrm>
        <a:prstGeom prst="line">
          <a:avLst/>
        </a:prstGeom>
        <a:noFill/>
        <a:ln w="15240" cap="flat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/>
        <a:lstStyle/>
        <a:p>
          <a:endParaRPr lang="en-IN"/>
        </a:p>
      </xdr:txBody>
    </xdr:sp>
    <xdr:clientData/>
  </xdr:twoCellAnchor>
  <xdr:twoCellAnchor>
    <xdr:from>
      <xdr:col>13</xdr:col>
      <xdr:colOff>137160</xdr:colOff>
      <xdr:row>17</xdr:row>
      <xdr:rowOff>114300</xdr:rowOff>
    </xdr:from>
    <xdr:to>
      <xdr:col>13</xdr:col>
      <xdr:colOff>137160</xdr:colOff>
      <xdr:row>19</xdr:row>
      <xdr:rowOff>165463</xdr:rowOff>
    </xdr:to>
    <xdr:sp macro="" textlink="">
      <xdr:nvSpPr>
        <xdr:cNvPr id="46" name="Line 136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>
          <a:spLocks noChangeShapeType="1"/>
        </xdr:cNvSpPr>
      </xdr:nvSpPr>
      <xdr:spPr bwMode="auto">
        <a:xfrm flipH="1" flipV="1">
          <a:off x="8061960" y="3436620"/>
          <a:ext cx="0" cy="744583"/>
        </a:xfrm>
        <a:prstGeom prst="line">
          <a:avLst/>
        </a:prstGeom>
        <a:noFill/>
        <a:ln w="15240" cap="flat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/>
        <a:lstStyle/>
        <a:p>
          <a:endParaRPr lang="en-IN"/>
        </a:p>
      </xdr:txBody>
    </xdr:sp>
    <xdr:clientData/>
  </xdr:twoCellAnchor>
  <xdr:twoCellAnchor>
    <xdr:from>
      <xdr:col>13</xdr:col>
      <xdr:colOff>137160</xdr:colOff>
      <xdr:row>18</xdr:row>
      <xdr:rowOff>320040</xdr:rowOff>
    </xdr:from>
    <xdr:to>
      <xdr:col>13</xdr:col>
      <xdr:colOff>495300</xdr:colOff>
      <xdr:row>19</xdr:row>
      <xdr:rowOff>0</xdr:rowOff>
    </xdr:to>
    <xdr:sp macro="" textlink="">
      <xdr:nvSpPr>
        <xdr:cNvPr id="47" name="Rectangle 82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>
          <a:spLocks noChangeArrowheads="1"/>
        </xdr:cNvSpPr>
      </xdr:nvSpPr>
      <xdr:spPr bwMode="auto">
        <a:xfrm>
          <a:off x="8061960" y="3840480"/>
          <a:ext cx="358140" cy="175260"/>
        </a:xfrm>
        <a:prstGeom prst="rect">
          <a:avLst/>
        </a:prstGeom>
        <a:noFill/>
        <a:ln w="7620" cap="rnd">
          <a:solidFill>
            <a:srgbClr val="000000"/>
          </a:solidFill>
          <a:prstDash val="solid"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129540</xdr:colOff>
      <xdr:row>18</xdr:row>
      <xdr:rowOff>327660</xdr:rowOff>
    </xdr:from>
    <xdr:to>
      <xdr:col>13</xdr:col>
      <xdr:colOff>495300</xdr:colOff>
      <xdr:row>19</xdr:row>
      <xdr:rowOff>0</xdr:rowOff>
    </xdr:to>
    <xdr:sp macro="" textlink="">
      <xdr:nvSpPr>
        <xdr:cNvPr id="48" name="Rectangle 8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>
          <a:spLocks noChangeArrowheads="1"/>
        </xdr:cNvSpPr>
      </xdr:nvSpPr>
      <xdr:spPr bwMode="auto">
        <a:xfrm>
          <a:off x="8054340" y="3848100"/>
          <a:ext cx="365760" cy="16764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IN"/>
        </a:p>
      </xdr:txBody>
    </xdr:sp>
    <xdr:clientData/>
  </xdr:twoCellAnchor>
  <xdr:twoCellAnchor>
    <xdr:from>
      <xdr:col>13</xdr:col>
      <xdr:colOff>114300</xdr:colOff>
      <xdr:row>20</xdr:row>
      <xdr:rowOff>129540</xdr:rowOff>
    </xdr:from>
    <xdr:to>
      <xdr:col>13</xdr:col>
      <xdr:colOff>472440</xdr:colOff>
      <xdr:row>20</xdr:row>
      <xdr:rowOff>251460</xdr:rowOff>
    </xdr:to>
    <xdr:sp macro="" textlink="">
      <xdr:nvSpPr>
        <xdr:cNvPr id="49" name="Rectangle 107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>
          <a:spLocks noChangeArrowheads="1"/>
        </xdr:cNvSpPr>
      </xdr:nvSpPr>
      <xdr:spPr bwMode="auto">
        <a:xfrm>
          <a:off x="8039100" y="4328160"/>
          <a:ext cx="358140" cy="121920"/>
        </a:xfrm>
        <a:prstGeom prst="rect">
          <a:avLst/>
        </a:prstGeom>
        <a:solidFill>
          <a:schemeClr val="accent1"/>
        </a:solidFill>
        <a:ln>
          <a:noFill/>
        </a:ln>
      </xdr:spPr>
      <xdr:txBody>
        <a:bodyPr/>
        <a:lstStyle/>
        <a:p>
          <a:endParaRPr lang="en-IN"/>
        </a:p>
      </xdr:txBody>
    </xdr:sp>
    <xdr:clientData/>
  </xdr:twoCellAnchor>
  <xdr:twoCellAnchor>
    <xdr:from>
      <xdr:col>13</xdr:col>
      <xdr:colOff>114300</xdr:colOff>
      <xdr:row>20</xdr:row>
      <xdr:rowOff>137160</xdr:rowOff>
    </xdr:from>
    <xdr:to>
      <xdr:col>13</xdr:col>
      <xdr:colOff>121920</xdr:colOff>
      <xdr:row>21</xdr:row>
      <xdr:rowOff>30480</xdr:rowOff>
    </xdr:to>
    <xdr:sp macro="" textlink="">
      <xdr:nvSpPr>
        <xdr:cNvPr id="50" name="Line 136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>
          <a:spLocks noChangeShapeType="1"/>
        </xdr:cNvSpPr>
      </xdr:nvSpPr>
      <xdr:spPr bwMode="auto">
        <a:xfrm flipH="1" flipV="1">
          <a:off x="8039100" y="4335780"/>
          <a:ext cx="7620" cy="434340"/>
        </a:xfrm>
        <a:prstGeom prst="line">
          <a:avLst/>
        </a:prstGeom>
        <a:noFill/>
        <a:ln w="15240" cap="flat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/>
        <a:lstStyle/>
        <a:p>
          <a:endParaRPr lang="en-IN"/>
        </a:p>
      </xdr:txBody>
    </xdr:sp>
    <xdr:clientData/>
  </xdr:twoCellAnchor>
  <xdr:twoCellAnchor>
    <xdr:from>
      <xdr:col>13</xdr:col>
      <xdr:colOff>464820</xdr:colOff>
      <xdr:row>20</xdr:row>
      <xdr:rowOff>129540</xdr:rowOff>
    </xdr:from>
    <xdr:to>
      <xdr:col>13</xdr:col>
      <xdr:colOff>472440</xdr:colOff>
      <xdr:row>21</xdr:row>
      <xdr:rowOff>22860</xdr:rowOff>
    </xdr:to>
    <xdr:sp macro="" textlink="">
      <xdr:nvSpPr>
        <xdr:cNvPr id="51" name="Line 136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>
          <a:spLocks noChangeShapeType="1"/>
        </xdr:cNvSpPr>
      </xdr:nvSpPr>
      <xdr:spPr bwMode="auto">
        <a:xfrm flipH="1" flipV="1">
          <a:off x="8389620" y="4328160"/>
          <a:ext cx="7620" cy="434340"/>
        </a:xfrm>
        <a:prstGeom prst="line">
          <a:avLst/>
        </a:prstGeom>
        <a:noFill/>
        <a:ln w="15240" cap="flat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/>
        <a:lstStyle/>
        <a:p>
          <a:endParaRPr lang="en-IN"/>
        </a:p>
      </xdr:txBody>
    </xdr:sp>
    <xdr:clientData/>
  </xdr:twoCellAnchor>
  <xdr:twoCellAnchor>
    <xdr:from>
      <xdr:col>13</xdr:col>
      <xdr:colOff>106680</xdr:colOff>
      <xdr:row>20</xdr:row>
      <xdr:rowOff>243840</xdr:rowOff>
    </xdr:from>
    <xdr:to>
      <xdr:col>13</xdr:col>
      <xdr:colOff>464820</xdr:colOff>
      <xdr:row>20</xdr:row>
      <xdr:rowOff>365760</xdr:rowOff>
    </xdr:to>
    <xdr:sp macro="" textlink="">
      <xdr:nvSpPr>
        <xdr:cNvPr id="53" name="Rectangle 81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>
          <a:spLocks noChangeArrowheads="1"/>
        </xdr:cNvSpPr>
      </xdr:nvSpPr>
      <xdr:spPr bwMode="auto">
        <a:xfrm>
          <a:off x="8031480" y="4442460"/>
          <a:ext cx="358140" cy="12192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IN"/>
        </a:p>
      </xdr:txBody>
    </xdr:sp>
    <xdr:clientData/>
  </xdr:twoCellAnchor>
  <xdr:twoCellAnchor>
    <xdr:from>
      <xdr:col>13</xdr:col>
      <xdr:colOff>106680</xdr:colOff>
      <xdr:row>20</xdr:row>
      <xdr:rowOff>121920</xdr:rowOff>
    </xdr:from>
    <xdr:to>
      <xdr:col>13</xdr:col>
      <xdr:colOff>464820</xdr:colOff>
      <xdr:row>20</xdr:row>
      <xdr:rowOff>365760</xdr:rowOff>
    </xdr:to>
    <xdr:sp macro="" textlink="">
      <xdr:nvSpPr>
        <xdr:cNvPr id="54" name="Rectangle 108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>
          <a:spLocks noChangeArrowheads="1"/>
        </xdr:cNvSpPr>
      </xdr:nvSpPr>
      <xdr:spPr bwMode="auto">
        <a:xfrm>
          <a:off x="8031480" y="4320540"/>
          <a:ext cx="358140" cy="243840"/>
        </a:xfrm>
        <a:prstGeom prst="rect">
          <a:avLst/>
        </a:prstGeom>
        <a:noFill/>
        <a:ln w="7620" cap="rnd">
          <a:solidFill>
            <a:srgbClr val="000000"/>
          </a:solidFill>
          <a:prstDash val="solid"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106680</xdr:colOff>
      <xdr:row>22</xdr:row>
      <xdr:rowOff>76200</xdr:rowOff>
    </xdr:from>
    <xdr:to>
      <xdr:col>13</xdr:col>
      <xdr:colOff>464820</xdr:colOff>
      <xdr:row>22</xdr:row>
      <xdr:rowOff>76200</xdr:rowOff>
    </xdr:to>
    <xdr:sp macro="" textlink="">
      <xdr:nvSpPr>
        <xdr:cNvPr id="55" name="Line 79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>
          <a:spLocks noChangeShapeType="1"/>
        </xdr:cNvSpPr>
      </xdr:nvSpPr>
      <xdr:spPr bwMode="auto">
        <a:xfrm>
          <a:off x="8031480" y="4998720"/>
          <a:ext cx="358140" cy="0"/>
        </a:xfrm>
        <a:prstGeom prst="line">
          <a:avLst/>
        </a:prstGeom>
        <a:noFill/>
        <a:ln w="15240" cap="flat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/>
        <a:lstStyle/>
        <a:p>
          <a:endParaRPr lang="en-IN"/>
        </a:p>
      </xdr:txBody>
    </xdr:sp>
    <xdr:clientData/>
  </xdr:twoCellAnchor>
  <xdr:twoCellAnchor>
    <xdr:from>
      <xdr:col>13</xdr:col>
      <xdr:colOff>114300</xdr:colOff>
      <xdr:row>22</xdr:row>
      <xdr:rowOff>289560</xdr:rowOff>
    </xdr:from>
    <xdr:to>
      <xdr:col>13</xdr:col>
      <xdr:colOff>472440</xdr:colOff>
      <xdr:row>22</xdr:row>
      <xdr:rowOff>411480</xdr:rowOff>
    </xdr:to>
    <xdr:sp macro="" textlink="">
      <xdr:nvSpPr>
        <xdr:cNvPr id="56" name="Rectangle 81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>
          <a:spLocks noChangeArrowheads="1"/>
        </xdr:cNvSpPr>
      </xdr:nvSpPr>
      <xdr:spPr bwMode="auto">
        <a:xfrm>
          <a:off x="8039100" y="5212080"/>
          <a:ext cx="358140" cy="12192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IN"/>
        </a:p>
      </xdr:txBody>
    </xdr:sp>
    <xdr:clientData/>
  </xdr:twoCellAnchor>
  <xdr:twoCellAnchor>
    <xdr:from>
      <xdr:col>13</xdr:col>
      <xdr:colOff>106680</xdr:colOff>
      <xdr:row>22</xdr:row>
      <xdr:rowOff>76200</xdr:rowOff>
    </xdr:from>
    <xdr:to>
      <xdr:col>13</xdr:col>
      <xdr:colOff>464820</xdr:colOff>
      <xdr:row>22</xdr:row>
      <xdr:rowOff>289560</xdr:rowOff>
    </xdr:to>
    <xdr:sp macro="" textlink="">
      <xdr:nvSpPr>
        <xdr:cNvPr id="58" name="Rectangle 10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>
          <a:spLocks noChangeArrowheads="1"/>
        </xdr:cNvSpPr>
      </xdr:nvSpPr>
      <xdr:spPr bwMode="auto">
        <a:xfrm>
          <a:off x="8031480" y="4998720"/>
          <a:ext cx="358140" cy="213360"/>
        </a:xfrm>
        <a:prstGeom prst="rect">
          <a:avLst/>
        </a:prstGeom>
        <a:solidFill>
          <a:srgbClr val="FFFF00"/>
        </a:solidFill>
        <a:ln>
          <a:noFill/>
        </a:ln>
      </xdr:spPr>
      <xdr:txBody>
        <a:bodyPr/>
        <a:lstStyle/>
        <a:p>
          <a:endParaRPr lang="en-IN"/>
        </a:p>
      </xdr:txBody>
    </xdr:sp>
    <xdr:clientData/>
  </xdr:twoCellAnchor>
  <xdr:twoCellAnchor>
    <xdr:from>
      <xdr:col>13</xdr:col>
      <xdr:colOff>464820</xdr:colOff>
      <xdr:row>22</xdr:row>
      <xdr:rowOff>68580</xdr:rowOff>
    </xdr:from>
    <xdr:to>
      <xdr:col>13</xdr:col>
      <xdr:colOff>472440</xdr:colOff>
      <xdr:row>22</xdr:row>
      <xdr:rowOff>525780</xdr:rowOff>
    </xdr:to>
    <xdr:sp macro="" textlink="">
      <xdr:nvSpPr>
        <xdr:cNvPr id="59" name="Line 136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>
          <a:spLocks noChangeShapeType="1"/>
        </xdr:cNvSpPr>
      </xdr:nvSpPr>
      <xdr:spPr bwMode="auto">
        <a:xfrm flipV="1">
          <a:off x="8389620" y="4991100"/>
          <a:ext cx="7620" cy="457200"/>
        </a:xfrm>
        <a:prstGeom prst="line">
          <a:avLst/>
        </a:prstGeom>
        <a:noFill/>
        <a:ln w="15240" cap="flat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/>
        <a:lstStyle/>
        <a:p>
          <a:endParaRPr lang="en-IN"/>
        </a:p>
      </xdr:txBody>
    </xdr:sp>
    <xdr:clientData/>
  </xdr:twoCellAnchor>
  <xdr:twoCellAnchor>
    <xdr:from>
      <xdr:col>13</xdr:col>
      <xdr:colOff>106680</xdr:colOff>
      <xdr:row>22</xdr:row>
      <xdr:rowOff>68580</xdr:rowOff>
    </xdr:from>
    <xdr:to>
      <xdr:col>13</xdr:col>
      <xdr:colOff>114300</xdr:colOff>
      <xdr:row>22</xdr:row>
      <xdr:rowOff>525780</xdr:rowOff>
    </xdr:to>
    <xdr:sp macro="" textlink="">
      <xdr:nvSpPr>
        <xdr:cNvPr id="60" name="Line 13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>
          <a:spLocks noChangeShapeType="1"/>
        </xdr:cNvSpPr>
      </xdr:nvSpPr>
      <xdr:spPr bwMode="auto">
        <a:xfrm flipV="1">
          <a:off x="8031480" y="4991100"/>
          <a:ext cx="7620" cy="457200"/>
        </a:xfrm>
        <a:prstGeom prst="line">
          <a:avLst/>
        </a:prstGeom>
        <a:noFill/>
        <a:ln w="15240" cap="flat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/>
        <a:lstStyle/>
        <a:p>
          <a:endParaRPr lang="en-IN"/>
        </a:p>
      </xdr:txBody>
    </xdr:sp>
    <xdr:clientData/>
  </xdr:twoCellAnchor>
  <xdr:twoCellAnchor>
    <xdr:from>
      <xdr:col>13</xdr:col>
      <xdr:colOff>297180</xdr:colOff>
      <xdr:row>19</xdr:row>
      <xdr:rowOff>45720</xdr:rowOff>
    </xdr:from>
    <xdr:to>
      <xdr:col>13</xdr:col>
      <xdr:colOff>365760</xdr:colOff>
      <xdr:row>20</xdr:row>
      <xdr:rowOff>9797</xdr:rowOff>
    </xdr:to>
    <xdr:sp macro="" textlink="">
      <xdr:nvSpPr>
        <xdr:cNvPr id="62" name="Rectangle 119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>
          <a:spLocks noChangeArrowheads="1"/>
        </xdr:cNvSpPr>
      </xdr:nvSpPr>
      <xdr:spPr bwMode="auto">
        <a:xfrm>
          <a:off x="8221980" y="4061460"/>
          <a:ext cx="68580" cy="1469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wrap="none" lIns="0" tIns="0" rIns="0" bIns="0" anchor="t">
          <a:noAutofit/>
        </a:bodyPr>
        <a:lstStyle/>
        <a:p>
          <a:pPr algn="l" rtl="0">
            <a:defRPr sz="1000"/>
          </a:pPr>
          <a:r>
            <a:rPr lang="en-IN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1</a:t>
          </a:r>
        </a:p>
      </xdr:txBody>
    </xdr:sp>
    <xdr:clientData/>
  </xdr:twoCellAnchor>
  <xdr:twoCellAnchor>
    <xdr:from>
      <xdr:col>13</xdr:col>
      <xdr:colOff>266700</xdr:colOff>
      <xdr:row>20</xdr:row>
      <xdr:rowOff>419100</xdr:rowOff>
    </xdr:from>
    <xdr:to>
      <xdr:col>13</xdr:col>
      <xdr:colOff>335280</xdr:colOff>
      <xdr:row>21</xdr:row>
      <xdr:rowOff>25037</xdr:rowOff>
    </xdr:to>
    <xdr:sp macro="" textlink="">
      <xdr:nvSpPr>
        <xdr:cNvPr id="63" name="Rectangle 119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>
          <a:spLocks noChangeArrowheads="1"/>
        </xdr:cNvSpPr>
      </xdr:nvSpPr>
      <xdr:spPr bwMode="auto">
        <a:xfrm>
          <a:off x="8191500" y="4617720"/>
          <a:ext cx="68580" cy="1469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wrap="none" lIns="0" tIns="0" rIns="0" bIns="0" anchor="t">
          <a:noAutofit/>
        </a:bodyPr>
        <a:lstStyle/>
        <a:p>
          <a:pPr algn="l" rtl="0">
            <a:defRPr sz="1000"/>
          </a:pPr>
          <a:r>
            <a:rPr lang="en-IN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2</a:t>
          </a:r>
        </a:p>
      </xdr:txBody>
    </xdr:sp>
    <xdr:clientData/>
  </xdr:twoCellAnchor>
  <xdr:twoCellAnchor>
    <xdr:from>
      <xdr:col>13</xdr:col>
      <xdr:colOff>259080</xdr:colOff>
      <xdr:row>22</xdr:row>
      <xdr:rowOff>411480</xdr:rowOff>
    </xdr:from>
    <xdr:to>
      <xdr:col>13</xdr:col>
      <xdr:colOff>327660</xdr:colOff>
      <xdr:row>23</xdr:row>
      <xdr:rowOff>17417</xdr:rowOff>
    </xdr:to>
    <xdr:sp macro="" textlink="">
      <xdr:nvSpPr>
        <xdr:cNvPr id="64" name="Rectangle 119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>
          <a:spLocks noChangeArrowheads="1"/>
        </xdr:cNvSpPr>
      </xdr:nvSpPr>
      <xdr:spPr bwMode="auto">
        <a:xfrm>
          <a:off x="8183880" y="5334000"/>
          <a:ext cx="68580" cy="1469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wrap="none" lIns="0" tIns="0" rIns="0" bIns="0" anchor="t">
          <a:noAutofit/>
        </a:bodyPr>
        <a:lstStyle/>
        <a:p>
          <a:pPr algn="l" rtl="0">
            <a:defRPr sz="1000"/>
          </a:pPr>
          <a:r>
            <a:rPr lang="en-IN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3</a:t>
          </a:r>
        </a:p>
      </xdr:txBody>
    </xdr:sp>
    <xdr:clientData/>
  </xdr:twoCellAnchor>
  <xdr:twoCellAnchor>
    <xdr:from>
      <xdr:col>13</xdr:col>
      <xdr:colOff>121920</xdr:colOff>
      <xdr:row>24</xdr:row>
      <xdr:rowOff>0</xdr:rowOff>
    </xdr:from>
    <xdr:to>
      <xdr:col>13</xdr:col>
      <xdr:colOff>480060</xdr:colOff>
      <xdr:row>24</xdr:row>
      <xdr:rowOff>407126</xdr:rowOff>
    </xdr:to>
    <xdr:sp macro="" textlink="">
      <xdr:nvSpPr>
        <xdr:cNvPr id="65" name="Rectangle 107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>
          <a:spLocks noChangeArrowheads="1"/>
        </xdr:cNvSpPr>
      </xdr:nvSpPr>
      <xdr:spPr bwMode="auto">
        <a:xfrm>
          <a:off x="8046720" y="5646420"/>
          <a:ext cx="358140" cy="407126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txBody>
        <a:bodyPr/>
        <a:lstStyle/>
        <a:p>
          <a:endParaRPr lang="en-IN"/>
        </a:p>
      </xdr:txBody>
    </xdr:sp>
    <xdr:clientData/>
  </xdr:twoCellAnchor>
  <xdr:twoCellAnchor>
    <xdr:from>
      <xdr:col>13</xdr:col>
      <xdr:colOff>121920</xdr:colOff>
      <xdr:row>24</xdr:row>
      <xdr:rowOff>7620</xdr:rowOff>
    </xdr:from>
    <xdr:to>
      <xdr:col>13</xdr:col>
      <xdr:colOff>480060</xdr:colOff>
      <xdr:row>24</xdr:row>
      <xdr:rowOff>7620</xdr:rowOff>
    </xdr:to>
    <xdr:sp macro="" textlink="">
      <xdr:nvSpPr>
        <xdr:cNvPr id="66" name="Line 79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>
          <a:spLocks noChangeShapeType="1"/>
        </xdr:cNvSpPr>
      </xdr:nvSpPr>
      <xdr:spPr bwMode="auto">
        <a:xfrm>
          <a:off x="8046720" y="5654040"/>
          <a:ext cx="358140" cy="0"/>
        </a:xfrm>
        <a:prstGeom prst="line">
          <a:avLst/>
        </a:prstGeom>
        <a:noFill/>
        <a:ln w="15240" cap="flat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/>
        <a:lstStyle/>
        <a:p>
          <a:endParaRPr lang="en-IN"/>
        </a:p>
      </xdr:txBody>
    </xdr:sp>
    <xdr:clientData/>
  </xdr:twoCellAnchor>
  <xdr:twoCellAnchor>
    <xdr:from>
      <xdr:col>13</xdr:col>
      <xdr:colOff>487680</xdr:colOff>
      <xdr:row>24</xdr:row>
      <xdr:rowOff>15240</xdr:rowOff>
    </xdr:from>
    <xdr:to>
      <xdr:col>13</xdr:col>
      <xdr:colOff>487680</xdr:colOff>
      <xdr:row>26</xdr:row>
      <xdr:rowOff>112123</xdr:rowOff>
    </xdr:to>
    <xdr:sp macro="" textlink="">
      <xdr:nvSpPr>
        <xdr:cNvPr id="67" name="Line 80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>
          <a:spLocks noChangeShapeType="1"/>
        </xdr:cNvSpPr>
      </xdr:nvSpPr>
      <xdr:spPr bwMode="auto">
        <a:xfrm>
          <a:off x="8412480" y="5661660"/>
          <a:ext cx="0" cy="744583"/>
        </a:xfrm>
        <a:prstGeom prst="line">
          <a:avLst/>
        </a:prstGeom>
        <a:noFill/>
        <a:ln w="15240" cap="flat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/>
        <a:lstStyle/>
        <a:p>
          <a:endParaRPr lang="en-IN"/>
        </a:p>
      </xdr:txBody>
    </xdr:sp>
    <xdr:clientData/>
  </xdr:twoCellAnchor>
  <xdr:twoCellAnchor>
    <xdr:from>
      <xdr:col>13</xdr:col>
      <xdr:colOff>129540</xdr:colOff>
      <xdr:row>24</xdr:row>
      <xdr:rowOff>15240</xdr:rowOff>
    </xdr:from>
    <xdr:to>
      <xdr:col>13</xdr:col>
      <xdr:colOff>129540</xdr:colOff>
      <xdr:row>26</xdr:row>
      <xdr:rowOff>112123</xdr:rowOff>
    </xdr:to>
    <xdr:sp macro="" textlink="">
      <xdr:nvSpPr>
        <xdr:cNvPr id="68" name="Line 80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>
          <a:spLocks noChangeShapeType="1"/>
        </xdr:cNvSpPr>
      </xdr:nvSpPr>
      <xdr:spPr bwMode="auto">
        <a:xfrm>
          <a:off x="8054340" y="5661660"/>
          <a:ext cx="0" cy="744583"/>
        </a:xfrm>
        <a:prstGeom prst="line">
          <a:avLst/>
        </a:prstGeom>
        <a:noFill/>
        <a:ln w="15240" cap="flat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/>
        <a:lstStyle/>
        <a:p>
          <a:endParaRPr lang="en-IN"/>
        </a:p>
      </xdr:txBody>
    </xdr:sp>
    <xdr:clientData/>
  </xdr:twoCellAnchor>
  <xdr:twoCellAnchor>
    <xdr:from>
      <xdr:col>13</xdr:col>
      <xdr:colOff>129540</xdr:colOff>
      <xdr:row>24</xdr:row>
      <xdr:rowOff>403860</xdr:rowOff>
    </xdr:from>
    <xdr:to>
      <xdr:col>13</xdr:col>
      <xdr:colOff>495300</xdr:colOff>
      <xdr:row>25</xdr:row>
      <xdr:rowOff>114300</xdr:rowOff>
    </xdr:to>
    <xdr:sp macro="" textlink="">
      <xdr:nvSpPr>
        <xdr:cNvPr id="69" name="Rectangle 81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>
          <a:spLocks noChangeArrowheads="1"/>
        </xdr:cNvSpPr>
      </xdr:nvSpPr>
      <xdr:spPr bwMode="auto">
        <a:xfrm>
          <a:off x="8054340" y="6050280"/>
          <a:ext cx="365760" cy="16764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IN"/>
        </a:p>
      </xdr:txBody>
    </xdr:sp>
    <xdr:clientData/>
  </xdr:twoCellAnchor>
  <xdr:twoCellAnchor>
    <xdr:from>
      <xdr:col>13</xdr:col>
      <xdr:colOff>274320</xdr:colOff>
      <xdr:row>25</xdr:row>
      <xdr:rowOff>167640</xdr:rowOff>
    </xdr:from>
    <xdr:to>
      <xdr:col>13</xdr:col>
      <xdr:colOff>342900</xdr:colOff>
      <xdr:row>26</xdr:row>
      <xdr:rowOff>124097</xdr:rowOff>
    </xdr:to>
    <xdr:sp macro="" textlink="">
      <xdr:nvSpPr>
        <xdr:cNvPr id="70" name="Rectangle 11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>
          <a:spLocks noChangeArrowheads="1"/>
        </xdr:cNvSpPr>
      </xdr:nvSpPr>
      <xdr:spPr bwMode="auto">
        <a:xfrm>
          <a:off x="8199120" y="6271260"/>
          <a:ext cx="68580" cy="1469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wrap="none" lIns="0" tIns="0" rIns="0" bIns="0" anchor="t">
          <a:noAutofit/>
        </a:bodyPr>
        <a:lstStyle/>
        <a:p>
          <a:pPr algn="l" rtl="0">
            <a:defRPr sz="1000"/>
          </a:pPr>
          <a:r>
            <a:rPr lang="en-IN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4</a:t>
          </a:r>
        </a:p>
      </xdr:txBody>
    </xdr:sp>
    <xdr:clientData/>
  </xdr:twoCellAnchor>
  <xdr:twoCellAnchor>
    <xdr:from>
      <xdr:col>14</xdr:col>
      <xdr:colOff>213360</xdr:colOff>
      <xdr:row>19</xdr:row>
      <xdr:rowOff>15240</xdr:rowOff>
    </xdr:from>
    <xdr:to>
      <xdr:col>16</xdr:col>
      <xdr:colOff>548640</xdr:colOff>
      <xdr:row>19</xdr:row>
      <xdr:rowOff>160020</xdr:rowOff>
    </xdr:to>
    <xdr:sp macro="" textlink="">
      <xdr:nvSpPr>
        <xdr:cNvPr id="71" name="Rectangle 126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>
          <a:spLocks noChangeArrowheads="1"/>
        </xdr:cNvSpPr>
      </xdr:nvSpPr>
      <xdr:spPr bwMode="auto">
        <a:xfrm>
          <a:off x="8747760" y="4030980"/>
          <a:ext cx="1554480" cy="144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wrap="none" lIns="0" tIns="0" rIns="0" bIns="0" anchor="t">
          <a:noAutofit/>
        </a:bodyPr>
        <a:lstStyle/>
        <a:p>
          <a:pPr algn="l" rtl="0">
            <a:defRPr sz="1000"/>
          </a:pPr>
          <a:r>
            <a:rPr lang="en-IN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1-2  reversible adiabatic compression</a:t>
          </a:r>
        </a:p>
      </xdr:txBody>
    </xdr:sp>
    <xdr:clientData/>
  </xdr:twoCellAnchor>
  <xdr:twoCellAnchor>
    <xdr:from>
      <xdr:col>14</xdr:col>
      <xdr:colOff>243840</xdr:colOff>
      <xdr:row>21</xdr:row>
      <xdr:rowOff>15240</xdr:rowOff>
    </xdr:from>
    <xdr:to>
      <xdr:col>16</xdr:col>
      <xdr:colOff>579120</xdr:colOff>
      <xdr:row>21</xdr:row>
      <xdr:rowOff>160020</xdr:rowOff>
    </xdr:to>
    <xdr:sp macro="" textlink="">
      <xdr:nvSpPr>
        <xdr:cNvPr id="72" name="Rectangle 126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>
          <a:spLocks noChangeArrowheads="1"/>
        </xdr:cNvSpPr>
      </xdr:nvSpPr>
      <xdr:spPr bwMode="auto">
        <a:xfrm>
          <a:off x="8778240" y="4754880"/>
          <a:ext cx="1554480" cy="144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wrap="none" lIns="0" tIns="0" rIns="0" bIns="0" anchor="t">
          <a:noAutofit/>
        </a:bodyPr>
        <a:lstStyle/>
        <a:p>
          <a:pPr algn="l" rtl="0">
            <a:defRPr sz="1000"/>
          </a:pPr>
          <a:r>
            <a:rPr lang="en-IN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2-3 constant pressure heat addition</a:t>
          </a:r>
        </a:p>
      </xdr:txBody>
    </xdr:sp>
    <xdr:clientData/>
  </xdr:twoCellAnchor>
  <xdr:twoCellAnchor>
    <xdr:from>
      <xdr:col>14</xdr:col>
      <xdr:colOff>259080</xdr:colOff>
      <xdr:row>23</xdr:row>
      <xdr:rowOff>22860</xdr:rowOff>
    </xdr:from>
    <xdr:to>
      <xdr:col>16</xdr:col>
      <xdr:colOff>594360</xdr:colOff>
      <xdr:row>23</xdr:row>
      <xdr:rowOff>167640</xdr:rowOff>
    </xdr:to>
    <xdr:sp macro="" textlink="">
      <xdr:nvSpPr>
        <xdr:cNvPr id="73" name="Rectangle 1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>
          <a:spLocks noChangeArrowheads="1"/>
        </xdr:cNvSpPr>
      </xdr:nvSpPr>
      <xdr:spPr bwMode="auto">
        <a:xfrm>
          <a:off x="8793480" y="5486400"/>
          <a:ext cx="1554480" cy="144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wrap="none" lIns="0" tIns="0" rIns="0" bIns="0" anchor="t">
          <a:noAutofit/>
        </a:bodyPr>
        <a:lstStyle/>
        <a:p>
          <a:pPr algn="l" rtl="0">
            <a:defRPr sz="1000"/>
          </a:pPr>
          <a:r>
            <a:rPr lang="en-IN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3-4 reversible adiabatic expansion</a:t>
          </a:r>
        </a:p>
        <a:p>
          <a:pPr algn="l" rtl="0">
            <a:defRPr sz="1000"/>
          </a:pPr>
          <a:endParaRPr lang="en-IN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259080</xdr:colOff>
      <xdr:row>25</xdr:row>
      <xdr:rowOff>7620</xdr:rowOff>
    </xdr:from>
    <xdr:to>
      <xdr:col>16</xdr:col>
      <xdr:colOff>594360</xdr:colOff>
      <xdr:row>25</xdr:row>
      <xdr:rowOff>152400</xdr:rowOff>
    </xdr:to>
    <xdr:sp macro="" textlink="">
      <xdr:nvSpPr>
        <xdr:cNvPr id="74" name="Rectangle 12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>
          <a:spLocks noChangeArrowheads="1"/>
        </xdr:cNvSpPr>
      </xdr:nvSpPr>
      <xdr:spPr bwMode="auto">
        <a:xfrm>
          <a:off x="8793480" y="6111240"/>
          <a:ext cx="1554480" cy="144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wrap="none" lIns="0" tIns="0" rIns="0" bIns="0" anchor="t">
          <a:noAutofit/>
        </a:bodyPr>
        <a:lstStyle/>
        <a:p>
          <a:pPr algn="l" rtl="0">
            <a:defRPr sz="1000"/>
          </a:pPr>
          <a:r>
            <a:rPr lang="en-IN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4-1 constant volume heat rejection</a:t>
          </a:r>
        </a:p>
      </xdr:txBody>
    </xdr:sp>
    <xdr:clientData/>
  </xdr:twoCellAnchor>
  <xdr:twoCellAnchor>
    <xdr:from>
      <xdr:col>0</xdr:col>
      <xdr:colOff>8966</xdr:colOff>
      <xdr:row>26</xdr:row>
      <xdr:rowOff>152849</xdr:rowOff>
    </xdr:from>
    <xdr:to>
      <xdr:col>9</xdr:col>
      <xdr:colOff>295836</xdr:colOff>
      <xdr:row>45</xdr:row>
      <xdr:rowOff>134471</xdr:rowOff>
    </xdr:to>
    <xdr:graphicFrame macro="">
      <xdr:nvGraphicFramePr>
        <xdr:cNvPr id="75" name="Chart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22</xdr:col>
      <xdr:colOff>77480</xdr:colOff>
      <xdr:row>2</xdr:row>
      <xdr:rowOff>108857</xdr:rowOff>
    </xdr:from>
    <xdr:ext cx="3135085" cy="729342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6" name="TextBox 75">
              <a:extLst>
                <a:ext uri="{FF2B5EF4-FFF2-40B4-BE49-F238E27FC236}">
                  <a16:creationId xmlns:a16="http://schemas.microsoft.com/office/drawing/2014/main" id="{00000000-0008-0000-0000-00004C000000}"/>
                </a:ext>
              </a:extLst>
            </xdr:cNvPr>
            <xdr:cNvSpPr txBox="1"/>
          </xdr:nvSpPr>
          <xdr:spPr>
            <a:xfrm>
              <a:off x="13945880" y="609600"/>
              <a:ext cx="3135085" cy="729342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en-IN" sz="2000" b="1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IN" sz="2000" b="1" i="0">
                          <a:latin typeface="Cambria Math" panose="02040503050406030204" pitchFamily="18" charset="0"/>
                        </a:rPr>
                        <m:t>𝐏</m:t>
                      </m:r>
                    </m:e>
                    <m:sub>
                      <m:r>
                        <a:rPr lang="en-IN" sz="2000" b="1" i="0">
                          <a:latin typeface="Cambria Math" panose="02040503050406030204" pitchFamily="18" charset="0"/>
                        </a:rPr>
                        <m:t>𝟐</m:t>
                      </m:r>
                    </m:sub>
                  </m:sSub>
                  <m:r>
                    <a:rPr lang="en-IN" sz="2000" b="1" i="0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IN" sz="2000" b="1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𝐩</m:t>
                      </m:r>
                    </m:e>
                    <m:sub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𝟏</m:t>
                      </m:r>
                    </m:sub>
                  </m:sSub>
                </m:oMath>
              </a14:m>
              <a:r>
                <a:rPr lang="en-IN" sz="20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*</a:t>
              </a:r>
              <a14:m>
                <m:oMath xmlns:m="http://schemas.openxmlformats.org/officeDocument/2006/math">
                  <m:sSup>
                    <m:sSupPr>
                      <m:ctrlPr>
                        <a:rPr lang="en-IN" sz="2000" b="1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</m:ctrlPr>
                    </m:sSupPr>
                    <m:e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𝐫</m:t>
                      </m:r>
                    </m:e>
                    <m:sup>
                      <m:r>
                        <a:rPr lang="el-GR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𝛄</m:t>
                      </m:r>
                    </m:sup>
                  </m:sSup>
                </m:oMath>
              </a14:m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2000" b="1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𝐓</m:t>
                      </m:r>
                    </m:e>
                    <m:sub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𝟐</m:t>
                      </m:r>
                    </m:sub>
                  </m:sSub>
                </m:oMath>
              </a14:m>
              <a:r>
                <a:rPr lang="en-IN" sz="20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=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2000" b="1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𝐓</m:t>
                      </m:r>
                    </m:e>
                    <m:sub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𝟏</m:t>
                      </m:r>
                    </m:sub>
                  </m:sSub>
                  <m:sSup>
                    <m:sSupPr>
                      <m:ctrlPr>
                        <a:rPr lang="en-IN" sz="2000" b="1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</m:ctrlPr>
                    </m:sSupPr>
                    <m:e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∗</m:t>
                      </m:r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𝐫</m:t>
                      </m:r>
                    </m:e>
                    <m:sup>
                      <m:r>
                        <a:rPr lang="el-GR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𝛄</m:t>
                      </m:r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−</m:t>
                      </m:r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𝟏</m:t>
                      </m:r>
                    </m:sup>
                  </m:sSup>
                </m:oMath>
              </a14:m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2000" b="1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𝐩</m:t>
                      </m:r>
                    </m:e>
                    <m:sub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𝟑</m:t>
                      </m:r>
                    </m:sub>
                  </m:sSub>
                </m:oMath>
              </a14:m>
              <a:r>
                <a:rPr lang="en-IN" sz="20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=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2000" b="1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𝐩</m:t>
                      </m:r>
                    </m:e>
                    <m:sub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𝟐</m:t>
                      </m:r>
                    </m:sub>
                  </m:sSub>
                </m:oMath>
              </a14:m>
              <a:endParaRPr lang="en-IN" sz="20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2000" b="1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𝐓</m:t>
                      </m:r>
                    </m:e>
                    <m:sub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𝟑</m:t>
                      </m:r>
                    </m:sub>
                  </m:sSub>
                </m:oMath>
              </a14:m>
              <a:r>
                <a:rPr lang="en-IN" sz="20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=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2000" b="1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IN" sz="2000" b="1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𝒓</m:t>
                      </m:r>
                    </m:e>
                    <m:sub>
                      <m:r>
                        <a:rPr lang="en-IN" sz="2000" b="1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𝒄</m:t>
                      </m:r>
                    </m:sub>
                  </m:sSub>
                  <m:sSub>
                    <m:sSubPr>
                      <m:ctrlPr>
                        <a:rPr lang="en-IN" sz="2000" b="1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∗</m:t>
                      </m:r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𝐓</m:t>
                      </m:r>
                    </m:e>
                    <m:sub>
                      <m:r>
                        <a:rPr lang="en-IN" sz="2000" b="1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𝟏</m:t>
                      </m:r>
                    </m:sub>
                  </m:sSub>
                </m:oMath>
              </a14:m>
              <a:r>
                <a:rPr lang="en-IN" sz="20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*</a:t>
              </a:r>
              <a14:m>
                <m:oMath xmlns:m="http://schemas.openxmlformats.org/officeDocument/2006/math">
                  <m:sSup>
                    <m:sSupPr>
                      <m:ctrlPr>
                        <a:rPr lang="en-IN" sz="20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IN" sz="2000" b="1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𝐫</m:t>
                      </m:r>
                    </m:e>
                    <m:sup>
                      <m:r>
                        <a:rPr lang="el-GR" sz="2000" b="1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𝛄</m:t>
                      </m:r>
                      <m:r>
                        <a:rPr lang="en-IN" sz="2000" b="1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r>
                        <a:rPr lang="en-IN" sz="2000" b="1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𝟏</m:t>
                      </m:r>
                    </m:sup>
                  </m:sSup>
                </m:oMath>
              </a14:m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20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IN" sz="2000" b="1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𝐩</m:t>
                      </m:r>
                    </m:e>
                    <m:sub>
                      <m:r>
                        <a:rPr lang="en-IN" sz="2000" b="1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𝟒</m:t>
                      </m:r>
                    </m:sub>
                  </m:sSub>
                </m:oMath>
              </a14:m>
              <a:r>
                <a:rPr lang="en-IN" sz="2000" b="1" i="0">
                  <a:solidFill>
                    <a:schemeClr val="tx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=</a:t>
              </a:r>
              <a14:m>
                <m:oMath xmlns:m="http://schemas.openxmlformats.org/officeDocument/2006/math">
                  <m:r>
                    <a:rPr lang="en-IN" sz="2000" b="1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(</m:t>
                  </m:r>
                  <m:sSub>
                    <m:sSubPr>
                      <m:ctrlPr>
                        <a:rPr lang="en-IN" sz="20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IN" sz="2000" b="1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𝐓</m:t>
                      </m:r>
                    </m:e>
                    <m:sub>
                      <m:r>
                        <a:rPr lang="en-IN" sz="2000" b="1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𝟒</m:t>
                      </m:r>
                    </m:sub>
                  </m:sSub>
                </m:oMath>
              </a14:m>
              <a:r>
                <a:rPr lang="en-IN" sz="20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*R)/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2000" b="1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𝐯</m:t>
                      </m:r>
                    </m:e>
                    <m:sub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𝟒</m:t>
                      </m:r>
                    </m:sub>
                  </m:sSub>
                </m:oMath>
              </a14:m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20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IN" sz="2000" b="1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𝐓</m:t>
                      </m:r>
                    </m:e>
                    <m:sub>
                      <m:r>
                        <a:rPr lang="en-IN" sz="2000" b="1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𝟒</m:t>
                      </m:r>
                    </m:sub>
                  </m:sSub>
                </m:oMath>
              </a14:m>
              <a:r>
                <a:rPr lang="en-IN" sz="2000" b="1" i="0">
                  <a:solidFill>
                    <a:schemeClr val="tx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=</a:t>
              </a:r>
              <a14:m>
                <m:oMath xmlns:m="http://schemas.openxmlformats.org/officeDocument/2006/math">
                  <m:sSubSup>
                    <m:sSubSupPr>
                      <m:ctrlPr>
                        <a:rPr lang="en-IN" sz="20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Times New Roman" panose="02020603050405020304" pitchFamily="18" charset="0"/>
                        </a:rPr>
                      </m:ctrlPr>
                    </m:sSubSupPr>
                    <m:e>
                      <m:r>
                        <a:rPr lang="en-IN" sz="20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Times New Roman" panose="02020603050405020304" pitchFamily="18" charset="0"/>
                        </a:rPr>
                        <m:t>𝒓</m:t>
                      </m:r>
                    </m:e>
                    <m:sub>
                      <m:r>
                        <a:rPr lang="en-IN" sz="20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Times New Roman" panose="02020603050405020304" pitchFamily="18" charset="0"/>
                        </a:rPr>
                        <m:t>𝒄</m:t>
                      </m:r>
                    </m:sub>
                    <m:sup>
                      <m:r>
                        <m:rPr>
                          <m:sty m:val="p"/>
                        </m:rPr>
                        <a:rPr lang="el-GR" sz="20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Times New Roman" panose="02020603050405020304" pitchFamily="18" charset="0"/>
                        </a:rPr>
                        <m:t>γ</m:t>
                      </m:r>
                    </m:sup>
                  </m:sSubSup>
                  <m:r>
                    <a:rPr lang="en-IN" sz="2000" b="1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Times New Roman" panose="02020603050405020304" pitchFamily="18" charset="0"/>
                    </a:rPr>
                    <m:t>∗</m:t>
                  </m:r>
                  <m:sSub>
                    <m:sSubPr>
                      <m:ctrlPr>
                        <a:rPr lang="en-IN" sz="20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IN" sz="20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Times New Roman" panose="02020603050405020304" pitchFamily="18" charset="0"/>
                        </a:rPr>
                        <m:t>𝑻</m:t>
                      </m:r>
                    </m:e>
                    <m:sub>
                      <m:r>
                        <a:rPr lang="en-IN" sz="20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Times New Roman" panose="02020603050405020304" pitchFamily="18" charset="0"/>
                        </a:rPr>
                        <m:t>𝟏</m:t>
                      </m:r>
                    </m:sub>
                  </m:sSub>
                </m:oMath>
              </a14:m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600" b="1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IN" sz="16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𝐯</m:t>
                      </m:r>
                    </m:e>
                    <m:sub>
                      <m:r>
                        <a:rPr lang="en-IN" sz="16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𝟏</m:t>
                      </m:r>
                    </m:sub>
                  </m:sSub>
                </m:oMath>
              </a14:m>
              <a:r>
                <a:rPr lang="en-IN" sz="16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=(R*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600" b="1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IN" sz="16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𝐓</m:t>
                      </m:r>
                    </m:e>
                    <m:sub>
                      <m:r>
                        <a:rPr lang="en-IN" sz="16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𝟏</m:t>
                      </m:r>
                    </m:sub>
                  </m:sSub>
                </m:oMath>
              </a14:m>
              <a:r>
                <a:rPr lang="en-IN" sz="16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)/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600" b="1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IN" sz="16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𝐏</m:t>
                      </m:r>
                    </m:e>
                    <m:sub>
                      <m:r>
                        <a:rPr lang="en-IN" sz="16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𝟏</m:t>
                      </m:r>
                    </m:sub>
                  </m:sSub>
                </m:oMath>
              </a14:m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800" b="1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IN" sz="18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𝐯</m:t>
                      </m:r>
                    </m:e>
                    <m:sub>
                      <m:r>
                        <a:rPr lang="en-IN" sz="18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𝟐</m:t>
                      </m:r>
                    </m:sub>
                  </m:sSub>
                </m:oMath>
              </a14:m>
              <a:r>
                <a:rPr lang="en-IN" sz="18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=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800" b="1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IN" sz="18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𝐯</m:t>
                      </m:r>
                    </m:e>
                    <m:sub>
                      <m:r>
                        <a:rPr lang="en-IN" sz="18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𝟏</m:t>
                      </m:r>
                    </m:sub>
                  </m:sSub>
                </m:oMath>
              </a14:m>
              <a:r>
                <a:rPr lang="en-IN" sz="18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/r</a:t>
              </a:r>
            </a:p>
            <a:p>
              <a:endParaRPr lang="en-IN" sz="16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8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IN" sz="1800" b="1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𝐯</m:t>
                      </m:r>
                    </m:e>
                    <m:sub>
                      <m:r>
                        <a:rPr lang="en-IN" sz="1800" b="1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𝟑</m:t>
                      </m:r>
                    </m:sub>
                  </m:sSub>
                </m:oMath>
              </a14:m>
              <a:r>
                <a:rPr lang="en-IN" sz="1600" b="1" i="0">
                  <a:solidFill>
                    <a:schemeClr val="tx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=(R*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IN" sz="1600" b="1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𝐓</m:t>
                      </m:r>
                    </m:e>
                    <m:sub>
                      <m:r>
                        <a:rPr lang="en-IN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𝟑</m:t>
                      </m:r>
                    </m:sub>
                  </m:sSub>
                </m:oMath>
              </a14:m>
              <a:r>
                <a:rPr lang="en-IN" sz="1600" b="1" i="0">
                  <a:solidFill>
                    <a:schemeClr val="tx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)/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IN" sz="1600" b="1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𝐏</m:t>
                      </m:r>
                    </m:e>
                    <m:sub>
                      <m:r>
                        <a:rPr lang="en-IN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𝟑</m:t>
                      </m:r>
                    </m:sub>
                  </m:sSub>
                </m:oMath>
              </a14:m>
              <a:endParaRPr lang="en-IN" sz="16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endParaRPr lang="en-IN" sz="16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8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IN" sz="1800" b="1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𝐯</m:t>
                      </m:r>
                    </m:e>
                    <m:sub>
                      <m:r>
                        <a:rPr lang="en-IN" sz="1800" b="1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𝟒</m:t>
                      </m:r>
                    </m:sub>
                  </m:sSub>
                </m:oMath>
              </a14:m>
              <a:r>
                <a:rPr lang="en-IN" sz="1800" b="1" i="0">
                  <a:solidFill>
                    <a:schemeClr val="tx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=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8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IN" sz="1800" b="1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𝐯</m:t>
                      </m:r>
                    </m:e>
                    <m:sub>
                      <m:r>
                        <a:rPr lang="en-IN" sz="1800" b="1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𝟏</m:t>
                      </m:r>
                    </m:sub>
                  </m:sSub>
                </m:oMath>
              </a14:m>
              <a:endParaRPr lang="en-IN" sz="16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14:m>
                <m:oMath xmlns:m="http://schemas.openxmlformats.org/officeDocument/2006/math">
                  <m:r>
                    <a:rPr lang="en-IN" sz="2000" b="1" i="0">
                      <a:latin typeface="Cambria Math" panose="02040503050406030204" pitchFamily="18" charset="0"/>
                      <a:cs typeface="Times New Roman" panose="02020603050405020304" pitchFamily="18" charset="0"/>
                    </a:rPr>
                    <m:t>𝐒</m:t>
                  </m:r>
                  <m:r>
                    <a:rPr lang="en-IN" sz="2000" b="1" i="0">
                      <a:latin typeface="Cambria Math" panose="02040503050406030204" pitchFamily="18" charset="0"/>
                      <a:cs typeface="Times New Roman" panose="02020603050405020304" pitchFamily="18" charset="0"/>
                    </a:rPr>
                    <m:t>=</m:t>
                  </m:r>
                  <m:sSub>
                    <m:sSubPr>
                      <m:ctrlPr>
                        <a:rPr lang="en-IN" sz="2000" b="1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𝐒</m:t>
                      </m:r>
                    </m:e>
                    <m:sub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𝐨</m:t>
                      </m:r>
                    </m:sub>
                  </m:sSub>
                </m:oMath>
              </a14:m>
              <a:r>
                <a:rPr lang="en-IN" sz="20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2000" b="1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𝐂</m:t>
                      </m:r>
                    </m:e>
                    <m:sub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𝐩</m:t>
                      </m:r>
                    </m:sub>
                  </m:sSub>
                </m:oMath>
              </a14:m>
              <a:r>
                <a:rPr lang="en-IN" sz="20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*ln</a:t>
              </a:r>
              <a14:m>
                <m:oMath xmlns:m="http://schemas.openxmlformats.org/officeDocument/2006/math">
                  <m:f>
                    <m:fPr>
                      <m:ctrlPr>
                        <a:rPr lang="en-IN" sz="2000" b="1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IN" sz="2000" b="1" i="1">
                              <a:latin typeface="Cambria Math" panose="02040503050406030204" pitchFamily="18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IN" sz="2000" b="1" i="0">
                              <a:latin typeface="Cambria Math" panose="02040503050406030204" pitchFamily="18" charset="0"/>
                              <a:cs typeface="Times New Roman" panose="02020603050405020304" pitchFamily="18" charset="0"/>
                            </a:rPr>
                            <m:t>𝐓</m:t>
                          </m:r>
                        </m:e>
                        <m:sub>
                          <m:r>
                            <a:rPr lang="en-IN" sz="2000" b="1" i="0">
                              <a:latin typeface="Cambria Math" panose="02040503050406030204" pitchFamily="18" charset="0"/>
                              <a:cs typeface="Times New Roman" panose="02020603050405020304" pitchFamily="18" charset="0"/>
                            </a:rPr>
                            <m:t>𝟐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IN" sz="2000" b="1" i="1">
                              <a:latin typeface="Cambria Math" panose="02040503050406030204" pitchFamily="18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IN" sz="2000" b="1" i="0">
                              <a:latin typeface="Cambria Math" panose="02040503050406030204" pitchFamily="18" charset="0"/>
                              <a:cs typeface="Times New Roman" panose="02020603050405020304" pitchFamily="18" charset="0"/>
                            </a:rPr>
                            <m:t>𝐓</m:t>
                          </m:r>
                        </m:e>
                        <m:sub>
                          <m:r>
                            <a:rPr lang="en-IN" sz="2000" b="1" i="0">
                              <a:latin typeface="Cambria Math" panose="02040503050406030204" pitchFamily="18" charset="0"/>
                              <a:cs typeface="Times New Roman" panose="02020603050405020304" pitchFamily="18" charset="0"/>
                            </a:rPr>
                            <m:t>𝟏</m:t>
                          </m:r>
                        </m:sub>
                      </m:sSub>
                    </m:den>
                  </m:f>
                </m:oMath>
              </a14:m>
              <a:r>
                <a:rPr lang="en-IN" sz="20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-R*ln</a:t>
              </a:r>
              <a14:m>
                <m:oMath xmlns:m="http://schemas.openxmlformats.org/officeDocument/2006/math">
                  <m:f>
                    <m:fPr>
                      <m:ctrlPr>
                        <a:rPr lang="en-IN" sz="20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sSub>
                        <m:sSubPr>
                          <m:ctrlPr>
                            <a:rPr lang="en-IN" sz="20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IN" sz="2000" b="1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𝐏</m:t>
                          </m:r>
                        </m:e>
                        <m:sub>
                          <m:r>
                            <a:rPr lang="en-IN" sz="2000" b="1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𝟐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IN" sz="20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IN" sz="2000" b="1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𝐏</m:t>
                          </m:r>
                        </m:e>
                        <m:sub>
                          <m:r>
                            <a:rPr lang="en-IN" sz="2000" b="1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𝟏</m:t>
                          </m:r>
                        </m:sub>
                      </m:sSub>
                    </m:den>
                  </m:f>
                </m:oMath>
              </a14:m>
              <a:endParaRPr lang="en-IN" sz="20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r>
                <a:rPr lang="en-IN" sz="2000" b="1">
                  <a:latin typeface="Times New Roman" panose="02020603050405020304" pitchFamily="18" charset="0"/>
                  <a:cs typeface="Times New Roman" panose="02020603050405020304" pitchFamily="18" charset="0"/>
                </a:rPr>
                <a:t>u=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2000" b="1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IN" sz="2000" b="1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𝒄</m:t>
                      </m:r>
                    </m:e>
                    <m:sub>
                      <m:r>
                        <a:rPr lang="en-IN" sz="2000" b="1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𝒗</m:t>
                      </m:r>
                    </m:sub>
                  </m:sSub>
                </m:oMath>
              </a14:m>
              <a:r>
                <a:rPr lang="en-IN" sz="2000" b="1">
                  <a:latin typeface="Times New Roman" panose="02020603050405020304" pitchFamily="18" charset="0"/>
                  <a:cs typeface="Times New Roman" panose="02020603050405020304" pitchFamily="18" charset="0"/>
                </a:rPr>
                <a:t>*T</a:t>
              </a:r>
            </a:p>
          </xdr:txBody>
        </xdr:sp>
      </mc:Choice>
      <mc:Fallback xmlns="">
        <xdr:sp macro="" textlink="">
          <xdr:nvSpPr>
            <xdr:cNvPr id="76" name="TextBox 75">
              <a:extLst>
                <a:ext uri="{FF2B5EF4-FFF2-40B4-BE49-F238E27FC236}">
                  <a16:creationId xmlns:a16="http://schemas.microsoft.com/office/drawing/2014/main" id="{020E0D23-CAEB-4556-8222-7F9A87B4B4D8}"/>
                </a:ext>
              </a:extLst>
            </xdr:cNvPr>
            <xdr:cNvSpPr txBox="1"/>
          </xdr:nvSpPr>
          <xdr:spPr>
            <a:xfrm>
              <a:off x="13945880" y="609600"/>
              <a:ext cx="3135085" cy="729342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IN" sz="2000" b="1" i="0">
                  <a:latin typeface="Cambria Math" panose="02040503050406030204" pitchFamily="18" charset="0"/>
                </a:rPr>
                <a:t>𝐏_𝟐=</a:t>
              </a:r>
              <a:r>
                <a:rPr lang="en-IN" sz="2000" b="1" i="0">
                  <a:latin typeface="Cambria Math" panose="02040503050406030204" pitchFamily="18" charset="0"/>
                  <a:cs typeface="Times New Roman" panose="02020603050405020304" pitchFamily="18" charset="0"/>
                </a:rPr>
                <a:t>𝐩_𝟏</a:t>
              </a:r>
              <a:r>
                <a:rPr lang="en-IN" sz="20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*</a:t>
              </a:r>
              <a:r>
                <a:rPr lang="en-IN" sz="2000" b="1" i="0">
                  <a:latin typeface="Cambria Math" panose="02040503050406030204" pitchFamily="18" charset="0"/>
                  <a:cs typeface="Times New Roman" panose="02020603050405020304" pitchFamily="18" charset="0"/>
                </a:rPr>
                <a:t>𝐫^</a:t>
              </a:r>
              <a:r>
                <a:rPr lang="el-GR" sz="2000" b="1" i="0">
                  <a:latin typeface="Cambria Math" panose="02040503050406030204" pitchFamily="18" charset="0"/>
                  <a:cs typeface="Times New Roman" panose="02020603050405020304" pitchFamily="18" charset="0"/>
                </a:rPr>
                <a:t>𝛄</a:t>
              </a:r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r>
                <a:rPr lang="en-IN" sz="2000" b="1" i="0">
                  <a:latin typeface="Cambria Math" panose="02040503050406030204" pitchFamily="18" charset="0"/>
                  <a:cs typeface="Times New Roman" panose="02020603050405020304" pitchFamily="18" charset="0"/>
                </a:rPr>
                <a:t>𝐓_𝟐</a:t>
              </a:r>
              <a:r>
                <a:rPr lang="en-IN" sz="20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=</a:t>
              </a:r>
              <a:r>
                <a:rPr lang="en-IN" sz="2000" b="1" i="0">
                  <a:latin typeface="Cambria Math" panose="02040503050406030204" pitchFamily="18" charset="0"/>
                  <a:cs typeface="Times New Roman" panose="02020603050405020304" pitchFamily="18" charset="0"/>
                </a:rPr>
                <a:t>𝐓_𝟏 〖∗𝐫〗^(</a:t>
              </a:r>
              <a:r>
                <a:rPr lang="el-GR" sz="2000" b="1" i="0">
                  <a:latin typeface="Cambria Math" panose="02040503050406030204" pitchFamily="18" charset="0"/>
                  <a:cs typeface="Times New Roman" panose="02020603050405020304" pitchFamily="18" charset="0"/>
                </a:rPr>
                <a:t>𝛄</a:t>
              </a:r>
              <a:r>
                <a:rPr lang="en-IN" sz="2000" b="1" i="0">
                  <a:latin typeface="Cambria Math" panose="02040503050406030204" pitchFamily="18" charset="0"/>
                  <a:cs typeface="Times New Roman" panose="02020603050405020304" pitchFamily="18" charset="0"/>
                </a:rPr>
                <a:t>−𝟏)</a:t>
              </a:r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r>
                <a:rPr lang="en-IN" sz="2000" b="1" i="0">
                  <a:latin typeface="Cambria Math" panose="02040503050406030204" pitchFamily="18" charset="0"/>
                  <a:cs typeface="Times New Roman" panose="02020603050405020304" pitchFamily="18" charset="0"/>
                </a:rPr>
                <a:t>𝐩_𝟑</a:t>
              </a:r>
              <a:r>
                <a:rPr lang="en-IN" sz="20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=</a:t>
              </a:r>
              <a:r>
                <a:rPr lang="en-IN" sz="2000" b="1" i="0">
                  <a:latin typeface="Cambria Math" panose="02040503050406030204" pitchFamily="18" charset="0"/>
                  <a:cs typeface="Times New Roman" panose="02020603050405020304" pitchFamily="18" charset="0"/>
                </a:rPr>
                <a:t>𝐩_𝟐</a:t>
              </a:r>
              <a:endParaRPr lang="en-IN" sz="20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r>
                <a:rPr lang="en-IN" sz="2000" b="1" i="0">
                  <a:latin typeface="Cambria Math" panose="02040503050406030204" pitchFamily="18" charset="0"/>
                  <a:cs typeface="Times New Roman" panose="02020603050405020304" pitchFamily="18" charset="0"/>
                </a:rPr>
                <a:t>𝐓_𝟑</a:t>
              </a:r>
              <a:r>
                <a:rPr lang="en-IN" sz="20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=</a:t>
              </a:r>
              <a:r>
                <a:rPr lang="en-IN" sz="2000" b="1" i="0">
                  <a:latin typeface="Cambria Math" panose="02040503050406030204" pitchFamily="18" charset="0"/>
                  <a:cs typeface="Times New Roman" panose="02020603050405020304" pitchFamily="18" charset="0"/>
                </a:rPr>
                <a:t>𝒓_𝒄 〖∗𝐓〗_𝟏</a:t>
              </a:r>
              <a:r>
                <a:rPr lang="en-IN" sz="20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*</a:t>
              </a:r>
              <a:r>
                <a:rPr lang="en-IN" sz="20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𝐫^(</a:t>
              </a:r>
              <a:r>
                <a:rPr lang="el-GR" sz="20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𝛄</a:t>
              </a:r>
              <a:r>
                <a:rPr lang="en-IN" sz="20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−𝟏)</a:t>
              </a:r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r>
                <a:rPr lang="en-IN" sz="20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𝐩_𝟒</a:t>
              </a:r>
              <a:r>
                <a:rPr lang="en-IN" sz="2000" b="1" i="0">
                  <a:solidFill>
                    <a:schemeClr val="tx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=</a:t>
              </a:r>
              <a:r>
                <a:rPr lang="en-IN" sz="20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(𝐓_𝟒</a:t>
              </a:r>
              <a:r>
                <a:rPr lang="en-IN" sz="20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*R)/</a:t>
              </a:r>
              <a:r>
                <a:rPr lang="en-IN" sz="2000" b="1" i="0">
                  <a:latin typeface="Cambria Math" panose="02040503050406030204" pitchFamily="18" charset="0"/>
                  <a:cs typeface="Times New Roman" panose="02020603050405020304" pitchFamily="18" charset="0"/>
                </a:rPr>
                <a:t>𝐯_𝟒</a:t>
              </a:r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r>
                <a:rPr lang="en-IN" sz="20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𝐓_𝟒</a:t>
              </a:r>
              <a:r>
                <a:rPr lang="en-IN" sz="2000" b="1" i="0">
                  <a:solidFill>
                    <a:schemeClr val="tx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=</a:t>
              </a:r>
              <a:r>
                <a:rPr lang="en-IN" sz="20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Times New Roman" panose="02020603050405020304" pitchFamily="18" charset="0"/>
                </a:rPr>
                <a:t>𝒓_𝒄^</a:t>
              </a:r>
              <a:r>
                <a:rPr lang="el-GR" sz="20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Times New Roman" panose="02020603050405020304" pitchFamily="18" charset="0"/>
                </a:rPr>
                <a:t>γ</a:t>
              </a:r>
              <a:r>
                <a:rPr lang="en-IN" sz="20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Times New Roman" panose="02020603050405020304" pitchFamily="18" charset="0"/>
                </a:rPr>
                <a:t>∗𝑻_𝟏</a:t>
              </a:r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r>
                <a:rPr lang="en-IN" sz="1600" b="1" i="0">
                  <a:latin typeface="Cambria Math" panose="02040503050406030204" pitchFamily="18" charset="0"/>
                  <a:cs typeface="Times New Roman" panose="02020603050405020304" pitchFamily="18" charset="0"/>
                </a:rPr>
                <a:t>𝐯_𝟏</a:t>
              </a:r>
              <a:r>
                <a:rPr lang="en-IN" sz="16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=(R*</a:t>
              </a:r>
              <a:r>
                <a:rPr lang="en-IN" sz="1600" b="1" i="0">
                  <a:latin typeface="Cambria Math" panose="02040503050406030204" pitchFamily="18" charset="0"/>
                  <a:cs typeface="Times New Roman" panose="02020603050405020304" pitchFamily="18" charset="0"/>
                </a:rPr>
                <a:t>𝐓_𝟏</a:t>
              </a:r>
              <a:r>
                <a:rPr lang="en-IN" sz="16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)/</a:t>
              </a:r>
              <a:r>
                <a:rPr lang="en-IN" sz="1600" b="1" i="0">
                  <a:latin typeface="Cambria Math" panose="02040503050406030204" pitchFamily="18" charset="0"/>
                  <a:cs typeface="Times New Roman" panose="02020603050405020304" pitchFamily="18" charset="0"/>
                </a:rPr>
                <a:t>𝐏_𝟏</a:t>
              </a:r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r>
                <a:rPr lang="en-IN" sz="1800" b="1" i="0">
                  <a:latin typeface="Cambria Math" panose="02040503050406030204" pitchFamily="18" charset="0"/>
                  <a:cs typeface="Times New Roman" panose="02020603050405020304" pitchFamily="18" charset="0"/>
                </a:rPr>
                <a:t>𝐯_𝟐</a:t>
              </a:r>
              <a:r>
                <a:rPr lang="en-IN" sz="18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=</a:t>
              </a:r>
              <a:r>
                <a:rPr lang="en-IN" sz="1800" b="1" i="0">
                  <a:latin typeface="Cambria Math" panose="02040503050406030204" pitchFamily="18" charset="0"/>
                  <a:cs typeface="Times New Roman" panose="02020603050405020304" pitchFamily="18" charset="0"/>
                </a:rPr>
                <a:t>𝐯_𝟏</a:t>
              </a:r>
              <a:r>
                <a:rPr lang="en-IN" sz="18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/r</a:t>
              </a:r>
            </a:p>
            <a:p>
              <a:endParaRPr lang="en-IN" sz="16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r>
                <a:rPr lang="en-IN" sz="18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𝐯_𝟑</a:t>
              </a:r>
              <a:r>
                <a:rPr lang="en-IN" sz="1600" b="1" i="0">
                  <a:solidFill>
                    <a:schemeClr val="tx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=(R*</a:t>
              </a:r>
              <a:r>
                <a:rPr lang="en-IN" sz="16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𝐓_𝟑</a:t>
              </a:r>
              <a:r>
                <a:rPr lang="en-IN" sz="1600" b="1" i="0">
                  <a:solidFill>
                    <a:schemeClr val="tx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)/</a:t>
              </a:r>
              <a:r>
                <a:rPr lang="en-IN" sz="16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𝐏_𝟑</a:t>
              </a:r>
              <a:endParaRPr lang="en-IN" sz="16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endParaRPr lang="en-IN" sz="16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r>
                <a:rPr lang="en-IN" sz="18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𝐯_𝟒</a:t>
              </a:r>
              <a:r>
                <a:rPr lang="en-IN" sz="1800" b="1" i="0">
                  <a:solidFill>
                    <a:schemeClr val="tx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=</a:t>
              </a:r>
              <a:r>
                <a:rPr lang="en-IN" sz="18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𝐯_𝟏</a:t>
              </a:r>
              <a:endParaRPr lang="en-IN" sz="16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r>
                <a:rPr lang="en-IN" sz="2000" b="1" i="0">
                  <a:latin typeface="Cambria Math" panose="02040503050406030204" pitchFamily="18" charset="0"/>
                  <a:cs typeface="Times New Roman" panose="02020603050405020304" pitchFamily="18" charset="0"/>
                </a:rPr>
                <a:t>𝐒=𝐒_𝐨</a:t>
              </a:r>
              <a:r>
                <a:rPr lang="en-IN" sz="20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+</a:t>
              </a:r>
              <a:r>
                <a:rPr lang="en-IN" sz="2000" b="1" i="0">
                  <a:latin typeface="Cambria Math" panose="02040503050406030204" pitchFamily="18" charset="0"/>
                  <a:cs typeface="Times New Roman" panose="02020603050405020304" pitchFamily="18" charset="0"/>
                </a:rPr>
                <a:t>𝐂_𝐩</a:t>
              </a:r>
              <a:r>
                <a:rPr lang="en-IN" sz="20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*ln</a:t>
              </a:r>
              <a:r>
                <a:rPr lang="en-IN" sz="2000" b="1" i="0">
                  <a:latin typeface="Cambria Math" panose="02040503050406030204" pitchFamily="18" charset="0"/>
                  <a:cs typeface="Times New Roman" panose="02020603050405020304" pitchFamily="18" charset="0"/>
                </a:rPr>
                <a:t>𝐓_𝟐/𝐓_𝟏 </a:t>
              </a:r>
              <a:r>
                <a:rPr lang="en-IN" sz="20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-R*ln</a:t>
              </a:r>
              <a:r>
                <a:rPr lang="en-IN" sz="20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𝐏_𝟐/𝐏_𝟏 </a:t>
              </a:r>
              <a:endParaRPr lang="en-IN" sz="20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r>
                <a:rPr lang="en-IN" sz="2000" b="1">
                  <a:latin typeface="Times New Roman" panose="02020603050405020304" pitchFamily="18" charset="0"/>
                  <a:cs typeface="Times New Roman" panose="02020603050405020304" pitchFamily="18" charset="0"/>
                </a:rPr>
                <a:t>u=</a:t>
              </a:r>
              <a:r>
                <a:rPr lang="en-IN" sz="2000" b="1" i="0">
                  <a:latin typeface="Cambria Math" panose="02040503050406030204" pitchFamily="18" charset="0"/>
                  <a:cs typeface="Times New Roman" panose="02020603050405020304" pitchFamily="18" charset="0"/>
                </a:rPr>
                <a:t>𝒄_𝒗</a:t>
              </a:r>
              <a:r>
                <a:rPr lang="en-IN" sz="2000" b="1">
                  <a:latin typeface="Times New Roman" panose="02020603050405020304" pitchFamily="18" charset="0"/>
                  <a:cs typeface="Times New Roman" panose="02020603050405020304" pitchFamily="18" charset="0"/>
                </a:rPr>
                <a:t>*T</a:t>
              </a:r>
            </a:p>
          </xdr:txBody>
        </xdr:sp>
      </mc:Fallback>
    </mc:AlternateContent>
    <xdr:clientData/>
  </xdr:oneCellAnchor>
  <xdr:twoCellAnchor>
    <xdr:from>
      <xdr:col>10</xdr:col>
      <xdr:colOff>210670</xdr:colOff>
      <xdr:row>27</xdr:row>
      <xdr:rowOff>0</xdr:rowOff>
    </xdr:from>
    <xdr:to>
      <xdr:col>19</xdr:col>
      <xdr:colOff>587829</xdr:colOff>
      <xdr:row>45</xdr:row>
      <xdr:rowOff>108857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396725</xdr:colOff>
      <xdr:row>20</xdr:row>
      <xdr:rowOff>67734</xdr:rowOff>
    </xdr:from>
    <xdr:to>
      <xdr:col>21</xdr:col>
      <xdr:colOff>114785</xdr:colOff>
      <xdr:row>20</xdr:row>
      <xdr:rowOff>373230</xdr:rowOff>
    </xdr:to>
    <xdr:sp macro="" textlink="">
      <xdr:nvSpPr>
        <xdr:cNvPr id="36" name="Text Box 24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 txBox="1">
          <a:spLocks noChangeArrowheads="1"/>
        </xdr:cNvSpPr>
      </xdr:nvSpPr>
      <xdr:spPr bwMode="auto">
        <a:xfrm>
          <a:off x="11826725" y="4301067"/>
          <a:ext cx="1546860" cy="305496"/>
        </a:xfrm>
        <a:prstGeom prst="rect">
          <a:avLst/>
        </a:prstGeom>
        <a:noFill/>
        <a:ln>
          <a:noFill/>
        </a:ln>
      </xdr:spPr>
      <xdr:txBody>
        <a:bodyPr vertOverflow="clip" wrap="square" lIns="36576" tIns="27432" rIns="0" bIns="0" anchor="t" upright="1"/>
        <a:lstStyle/>
        <a:p>
          <a:pPr algn="ctr" rtl="0">
            <a:defRPr sz="1000"/>
          </a:pPr>
          <a:r>
            <a:rPr lang="en-US" sz="1800" b="1" i="0" u="none" strike="noStrike" baseline="0">
              <a:solidFill>
                <a:srgbClr val="C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OUTPUT</a:t>
          </a:r>
          <a:endParaRPr lang="en-US" sz="1100">
            <a:solidFill>
              <a:srgbClr val="C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</xdr:colOff>
          <xdr:row>5</xdr:row>
          <xdr:rowOff>22860</xdr:rowOff>
        </xdr:from>
        <xdr:to>
          <xdr:col>5</xdr:col>
          <xdr:colOff>563880</xdr:colOff>
          <xdr:row>5</xdr:row>
          <xdr:rowOff>182880</xdr:rowOff>
        </xdr:to>
        <xdr:sp macro="" textlink="">
          <xdr:nvSpPr>
            <xdr:cNvPr id="1027" name="Scroll Ba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</xdr:colOff>
          <xdr:row>8</xdr:row>
          <xdr:rowOff>15240</xdr:rowOff>
        </xdr:from>
        <xdr:to>
          <xdr:col>6</xdr:col>
          <xdr:colOff>15240</xdr:colOff>
          <xdr:row>8</xdr:row>
          <xdr:rowOff>175260</xdr:rowOff>
        </xdr:to>
        <xdr:sp macro="" textlink="">
          <xdr:nvSpPr>
            <xdr:cNvPr id="1028" name="Scroll Bar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</xdr:colOff>
          <xdr:row>7</xdr:row>
          <xdr:rowOff>0</xdr:rowOff>
        </xdr:from>
        <xdr:to>
          <xdr:col>6</xdr:col>
          <xdr:colOff>7620</xdr:colOff>
          <xdr:row>7</xdr:row>
          <xdr:rowOff>160020</xdr:rowOff>
        </xdr:to>
        <xdr:sp macro="" textlink="">
          <xdr:nvSpPr>
            <xdr:cNvPr id="1029" name="Scroll Bar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</xdr:colOff>
          <xdr:row>6</xdr:row>
          <xdr:rowOff>15240</xdr:rowOff>
        </xdr:from>
        <xdr:to>
          <xdr:col>6</xdr:col>
          <xdr:colOff>15240</xdr:colOff>
          <xdr:row>6</xdr:row>
          <xdr:rowOff>175260</xdr:rowOff>
        </xdr:to>
        <xdr:sp macro="" textlink="">
          <xdr:nvSpPr>
            <xdr:cNvPr id="1030" name="Scroll Bar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21</xdr:col>
      <xdr:colOff>228599</xdr:colOff>
      <xdr:row>0</xdr:row>
      <xdr:rowOff>152400</xdr:rowOff>
    </xdr:from>
    <xdr:to>
      <xdr:col>25</xdr:col>
      <xdr:colOff>76199</xdr:colOff>
      <xdr:row>2</xdr:row>
      <xdr:rowOff>49626</xdr:rowOff>
    </xdr:to>
    <xdr:sp macro="" textlink="">
      <xdr:nvSpPr>
        <xdr:cNvPr id="52" name="Text Box 24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 txBox="1">
          <a:spLocks noChangeArrowheads="1"/>
        </xdr:cNvSpPr>
      </xdr:nvSpPr>
      <xdr:spPr bwMode="auto">
        <a:xfrm>
          <a:off x="13541828" y="152400"/>
          <a:ext cx="2286000" cy="397969"/>
        </a:xfrm>
        <a:prstGeom prst="rect">
          <a:avLst/>
        </a:prstGeom>
        <a:noFill/>
        <a:ln>
          <a:noFill/>
        </a:ln>
      </xdr:spPr>
      <xdr:txBody>
        <a:bodyPr vertOverflow="clip" wrap="square" lIns="36576" tIns="27432" rIns="0" bIns="0" anchor="t" upright="1"/>
        <a:lstStyle/>
        <a:p>
          <a:pPr algn="ctr" rtl="0">
            <a:defRPr sz="1000"/>
          </a:pPr>
          <a:r>
            <a:rPr lang="en-US" sz="2400" b="1" i="0" u="none" strike="noStrike" baseline="0">
              <a:solidFill>
                <a:srgbClr val="C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Equations Used</a:t>
          </a:r>
          <a:endParaRPr lang="en-US" sz="2400">
            <a:solidFill>
              <a:srgbClr val="C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349D4-3BEA-4D06-93AA-FE88789874CB}">
  <sheetPr codeName="Sheet1"/>
  <dimension ref="A2:V26"/>
  <sheetViews>
    <sheetView tabSelected="1" zoomScale="70" zoomScaleNormal="70" workbookViewId="0">
      <selection activeCell="O17" sqref="O17"/>
    </sheetView>
  </sheetViews>
  <sheetFormatPr defaultRowHeight="14.4" x14ac:dyDescent="0.3"/>
  <cols>
    <col min="2" max="2" width="12.77734375" customWidth="1"/>
    <col min="11" max="11" width="11.5546875" customWidth="1"/>
    <col min="12" max="12" width="9.6640625" customWidth="1"/>
  </cols>
  <sheetData>
    <row r="2" spans="1:11" ht="24.6" x14ac:dyDescent="0.4">
      <c r="A2" s="21" t="s">
        <v>0</v>
      </c>
      <c r="B2" s="21"/>
      <c r="C2" s="21"/>
      <c r="D2" s="21"/>
      <c r="E2" s="21"/>
      <c r="F2" s="21"/>
      <c r="H2" s="12"/>
      <c r="I2" s="12"/>
      <c r="J2" s="12"/>
      <c r="K2" s="12"/>
    </row>
    <row r="3" spans="1:11" x14ac:dyDescent="0.3">
      <c r="H3" s="12"/>
      <c r="I3" s="12"/>
      <c r="J3" s="12"/>
      <c r="K3" s="12"/>
    </row>
    <row r="4" spans="1:11" x14ac:dyDescent="0.3">
      <c r="G4" s="11"/>
      <c r="H4" s="11"/>
      <c r="I4" s="11"/>
      <c r="J4" s="11"/>
      <c r="K4" s="11"/>
    </row>
    <row r="5" spans="1:11" x14ac:dyDescent="0.3">
      <c r="G5" s="11"/>
      <c r="H5" s="11" t="s">
        <v>24</v>
      </c>
      <c r="I5" s="11">
        <f>1.4</f>
        <v>1.4</v>
      </c>
      <c r="J5" s="11"/>
      <c r="K5" s="11"/>
    </row>
    <row r="6" spans="1:11" ht="16.2" x14ac:dyDescent="0.35">
      <c r="B6" s="27" t="s">
        <v>22</v>
      </c>
      <c r="C6" s="27"/>
      <c r="D6" s="8">
        <v>4</v>
      </c>
      <c r="G6" s="11"/>
      <c r="H6" s="11" t="s">
        <v>44</v>
      </c>
      <c r="I6" s="11">
        <f>I7/(I5-1)</f>
        <v>0.71750000000000014</v>
      </c>
      <c r="J6" s="11"/>
      <c r="K6" s="11"/>
    </row>
    <row r="7" spans="1:11" ht="15.6" x14ac:dyDescent="0.3">
      <c r="B7" s="27" t="s">
        <v>45</v>
      </c>
      <c r="C7" s="28"/>
      <c r="D7" s="8">
        <v>1000</v>
      </c>
      <c r="G7" s="11"/>
      <c r="H7" s="11" t="s">
        <v>25</v>
      </c>
      <c r="I7" s="11">
        <f>0.287</f>
        <v>0.28699999999999998</v>
      </c>
      <c r="J7" s="11"/>
      <c r="K7" s="11"/>
    </row>
    <row r="8" spans="1:11" ht="15.6" x14ac:dyDescent="0.3">
      <c r="B8" s="27" t="s">
        <v>46</v>
      </c>
      <c r="C8" s="29"/>
      <c r="D8" s="8">
        <v>2000</v>
      </c>
      <c r="G8" s="11"/>
      <c r="H8" s="11"/>
      <c r="I8" s="11"/>
      <c r="J8" s="11"/>
      <c r="K8" s="11"/>
    </row>
    <row r="9" spans="1:11" ht="15.6" x14ac:dyDescent="0.3">
      <c r="B9" s="27" t="s">
        <v>23</v>
      </c>
      <c r="C9" s="29"/>
      <c r="D9" s="8">
        <v>4</v>
      </c>
      <c r="G9" s="11"/>
      <c r="H9" s="11"/>
      <c r="I9" s="11"/>
      <c r="J9" s="11"/>
      <c r="K9" s="11"/>
    </row>
    <row r="10" spans="1:11" ht="15.6" x14ac:dyDescent="0.3">
      <c r="B10" s="27" t="s">
        <v>42</v>
      </c>
      <c r="C10" s="28"/>
      <c r="D10" s="8">
        <v>2.5</v>
      </c>
      <c r="H10" s="12"/>
      <c r="I10" s="12"/>
      <c r="J10" s="12"/>
      <c r="K10" s="12"/>
    </row>
    <row r="11" spans="1:11" x14ac:dyDescent="0.3">
      <c r="H11" s="12"/>
      <c r="I11" s="12"/>
      <c r="J11" s="12"/>
      <c r="K11" s="12"/>
    </row>
    <row r="12" spans="1:11" x14ac:dyDescent="0.3">
      <c r="H12" s="12"/>
      <c r="I12" s="12"/>
      <c r="J12" s="12"/>
      <c r="K12" s="12"/>
    </row>
    <row r="17" spans="1:22" ht="15.6" x14ac:dyDescent="0.35">
      <c r="A17" s="22" t="s">
        <v>1</v>
      </c>
      <c r="B17" s="22"/>
      <c r="C17" s="6" t="s">
        <v>2</v>
      </c>
      <c r="D17" s="6" t="s">
        <v>3</v>
      </c>
      <c r="E17" s="6" t="s">
        <v>4</v>
      </c>
      <c r="F17" s="6" t="s">
        <v>5</v>
      </c>
      <c r="G17" s="6" t="s">
        <v>6</v>
      </c>
      <c r="H17" s="9"/>
      <c r="I17" s="9"/>
      <c r="J17" s="9"/>
      <c r="K17" s="9"/>
      <c r="L17" s="9"/>
      <c r="M17" s="9"/>
    </row>
    <row r="18" spans="1:22" ht="15.6" x14ac:dyDescent="0.35">
      <c r="A18" s="22" t="s">
        <v>7</v>
      </c>
      <c r="B18" s="22"/>
      <c r="C18" s="1">
        <f>D7</f>
        <v>1000</v>
      </c>
      <c r="D18" s="1">
        <f>D8</f>
        <v>2000</v>
      </c>
      <c r="E18" s="10">
        <f>I7*D8/D7</f>
        <v>0.57399999999999995</v>
      </c>
      <c r="F18" s="1">
        <f>1</f>
        <v>1</v>
      </c>
      <c r="G18" s="2">
        <f>I6*D18</f>
        <v>1435.0000000000002</v>
      </c>
      <c r="H18" s="23" t="s">
        <v>8</v>
      </c>
      <c r="I18" s="23"/>
      <c r="J18" s="7" t="s">
        <v>9</v>
      </c>
      <c r="K18" s="7" t="s">
        <v>10</v>
      </c>
      <c r="L18" s="7" t="s">
        <v>11</v>
      </c>
      <c r="M18" s="7" t="s">
        <v>12</v>
      </c>
    </row>
    <row r="19" spans="1:22" ht="39" customHeight="1" x14ac:dyDescent="0.3">
      <c r="A19" s="24"/>
      <c r="B19" s="25"/>
      <c r="C19" s="25"/>
      <c r="D19" s="25"/>
      <c r="E19" s="25"/>
      <c r="F19" s="25"/>
      <c r="G19" s="26"/>
      <c r="H19" s="30" t="s">
        <v>13</v>
      </c>
      <c r="I19" s="31"/>
      <c r="J19" s="3">
        <f>G18</f>
        <v>1435.0000000000002</v>
      </c>
      <c r="K19" s="3">
        <f>G20</f>
        <v>2498.4801166598768</v>
      </c>
      <c r="L19" s="3">
        <v>0</v>
      </c>
      <c r="M19" s="3">
        <f>D9*(K19-J19)</f>
        <v>4253.9204666395062</v>
      </c>
    </row>
    <row r="20" spans="1:22" x14ac:dyDescent="0.3">
      <c r="A20" s="16" t="s">
        <v>14</v>
      </c>
      <c r="B20" s="17"/>
      <c r="C20" s="1">
        <f>C18*D6^I5</f>
        <v>6964.4045063689919</v>
      </c>
      <c r="D20" s="1">
        <f>D18*(D6)^0.4</f>
        <v>3482.2022531844964</v>
      </c>
      <c r="E20" s="10">
        <f>E18/D6</f>
        <v>0.14349999999999999</v>
      </c>
      <c r="F20" s="1">
        <f>F18+1.0045*LN(D20/D18)-I7*LN(C20/C18)</f>
        <v>1</v>
      </c>
      <c r="G20" s="2">
        <f>I6*D20</f>
        <v>2498.4801166598768</v>
      </c>
      <c r="H20" s="18"/>
      <c r="I20" s="19"/>
      <c r="J20" s="19"/>
      <c r="K20" s="19"/>
      <c r="L20" s="19"/>
      <c r="M20" s="20"/>
    </row>
    <row r="21" spans="1:22" ht="42.6" customHeight="1" x14ac:dyDescent="0.3">
      <c r="A21" s="24"/>
      <c r="B21" s="25"/>
      <c r="C21" s="25"/>
      <c r="D21" s="25"/>
      <c r="E21" s="25"/>
      <c r="F21" s="25"/>
      <c r="G21" s="26"/>
      <c r="H21" s="30" t="s">
        <v>15</v>
      </c>
      <c r="I21" s="31"/>
      <c r="J21" s="3">
        <f>G20</f>
        <v>2498.4801166598768</v>
      </c>
      <c r="K21" s="3">
        <f>G22</f>
        <v>6246.2002916496922</v>
      </c>
      <c r="L21" s="3">
        <f>D9*(K21-J21)</f>
        <v>14990.880699959262</v>
      </c>
      <c r="M21" s="3">
        <v>0</v>
      </c>
    </row>
    <row r="22" spans="1:22" ht="17.399999999999999" x14ac:dyDescent="0.3">
      <c r="A22" s="16" t="s">
        <v>16</v>
      </c>
      <c r="B22" s="17"/>
      <c r="C22" s="1">
        <f>C20</f>
        <v>6964.4045063689919</v>
      </c>
      <c r="D22" s="1">
        <f>D10*(D8)*(D6)^(0.4)</f>
        <v>8705.5056329612416</v>
      </c>
      <c r="E22" s="10">
        <f>I7*D22/C22</f>
        <v>0.35875000000000007</v>
      </c>
      <c r="F22" s="1">
        <f>F20+1.0045*LN(D22/D20)-I7*LN(C22/C20)</f>
        <v>1.9204140401675889</v>
      </c>
      <c r="G22" s="2">
        <f>I6*D22</f>
        <v>6246.2002916496922</v>
      </c>
      <c r="H22" s="18"/>
      <c r="I22" s="19"/>
      <c r="J22" s="19"/>
      <c r="K22" s="19"/>
      <c r="L22" s="19"/>
      <c r="M22" s="20"/>
      <c r="T22" s="32" t="s">
        <v>43</v>
      </c>
      <c r="U22" s="33"/>
      <c r="V22" s="13">
        <f>1-((D6)^(1-I5))*(((D10)^I5-1)/(I5*(D10-1)))</f>
        <v>0.28705496031477407</v>
      </c>
    </row>
    <row r="23" spans="1:22" ht="42.6" customHeight="1" x14ac:dyDescent="0.3">
      <c r="A23" s="24"/>
      <c r="B23" s="25"/>
      <c r="C23" s="25"/>
      <c r="D23" s="25"/>
      <c r="E23" s="25"/>
      <c r="F23" s="25"/>
      <c r="G23" s="26"/>
      <c r="H23" s="30" t="s">
        <v>17</v>
      </c>
      <c r="I23" s="31"/>
      <c r="J23" s="3">
        <f>G22</f>
        <v>6246.2002916496922</v>
      </c>
      <c r="K23" s="3">
        <f>G24</f>
        <v>5175.6859124421289</v>
      </c>
      <c r="L23" s="3">
        <v>0</v>
      </c>
      <c r="M23" s="3">
        <f>D9*(K23-J23)</f>
        <v>-4282.057516830253</v>
      </c>
    </row>
    <row r="24" spans="1:22" x14ac:dyDescent="0.3">
      <c r="A24" s="16" t="s">
        <v>18</v>
      </c>
      <c r="B24" s="17"/>
      <c r="C24" s="1">
        <f>I7*D24/E24</f>
        <v>3606.7497647680329</v>
      </c>
      <c r="D24" s="1">
        <f>(D10^1.4)*D8</f>
        <v>7213.4995295360668</v>
      </c>
      <c r="E24" s="10">
        <f>E20*D6</f>
        <v>0.57399999999999995</v>
      </c>
      <c r="F24" s="1">
        <f>F22</f>
        <v>1.9204140401675889</v>
      </c>
      <c r="G24" s="2">
        <f>I6*D24</f>
        <v>5175.6859124421289</v>
      </c>
      <c r="H24" s="18"/>
      <c r="I24" s="19"/>
      <c r="J24" s="19"/>
      <c r="K24" s="19"/>
      <c r="L24" s="19"/>
      <c r="M24" s="20"/>
    </row>
    <row r="25" spans="1:22" ht="36" customHeight="1" x14ac:dyDescent="0.3">
      <c r="A25" s="24"/>
      <c r="B25" s="25"/>
      <c r="C25" s="25"/>
      <c r="D25" s="25"/>
      <c r="E25" s="25"/>
      <c r="F25" s="25"/>
      <c r="G25" s="26"/>
      <c r="H25" s="30" t="s">
        <v>19</v>
      </c>
      <c r="I25" s="31"/>
      <c r="J25" s="3">
        <f>G24</f>
        <v>5175.6859124421289</v>
      </c>
      <c r="K25" s="3">
        <f>G26</f>
        <v>1435.0000000000002</v>
      </c>
      <c r="L25" s="3">
        <f>D9*(K25-J25)</f>
        <v>-14962.743649768516</v>
      </c>
      <c r="M25" s="3">
        <v>0</v>
      </c>
    </row>
    <row r="26" spans="1:22" ht="15" thickBot="1" x14ac:dyDescent="0.35">
      <c r="A26" s="34" t="s">
        <v>20</v>
      </c>
      <c r="B26" s="35"/>
      <c r="C26" s="1">
        <f>C18</f>
        <v>1000</v>
      </c>
      <c r="D26" s="1">
        <f>D18</f>
        <v>2000</v>
      </c>
      <c r="E26" s="10">
        <f>E18</f>
        <v>0.57399999999999995</v>
      </c>
      <c r="F26" s="1">
        <f>F18</f>
        <v>1</v>
      </c>
      <c r="G26" s="2">
        <f>G18</f>
        <v>1435.0000000000002</v>
      </c>
      <c r="H26" s="9"/>
      <c r="I26" s="9"/>
      <c r="J26" s="9"/>
      <c r="K26" s="4" t="s">
        <v>21</v>
      </c>
      <c r="L26" s="5">
        <f>SUM(L19,L21,L23,L25)</f>
        <v>28.137050190745867</v>
      </c>
      <c r="M26" s="5">
        <f>SUM(M19,M21,M23,M25)</f>
        <v>-28.137050190746777</v>
      </c>
    </row>
  </sheetData>
  <sheetProtection algorithmName="SHA-512" hashValue="WziwrsrI/enwnINK6++xKyDr5m8k7xtHr5m2ViBSDD/BHs/arzBLhojI85yIDIaAyBemPGMeDXr5lLurMHX4/g==" saltValue="ZnecSDNOnZdHJJ6hYcenFQ==" spinCount="100000" sheet="1" scenarios="1"/>
  <mergeCells count="25">
    <mergeCell ref="T22:U22"/>
    <mergeCell ref="A25:G25"/>
    <mergeCell ref="A26:B26"/>
    <mergeCell ref="A21:G21"/>
    <mergeCell ref="A22:B22"/>
    <mergeCell ref="H22:M22"/>
    <mergeCell ref="A23:G23"/>
    <mergeCell ref="A24:B24"/>
    <mergeCell ref="H24:M24"/>
    <mergeCell ref="H21:I21"/>
    <mergeCell ref="H23:I23"/>
    <mergeCell ref="H25:I25"/>
    <mergeCell ref="A20:B20"/>
    <mergeCell ref="H20:M20"/>
    <mergeCell ref="A2:F2"/>
    <mergeCell ref="A17:B17"/>
    <mergeCell ref="A18:B18"/>
    <mergeCell ref="H18:I18"/>
    <mergeCell ref="A19:G19"/>
    <mergeCell ref="B6:C6"/>
    <mergeCell ref="B7:C7"/>
    <mergeCell ref="B8:C8"/>
    <mergeCell ref="B9:C9"/>
    <mergeCell ref="H19:I19"/>
    <mergeCell ref="B10:C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Scroll Bar 3">
              <controlPr defaultSize="0" autoPict="0">
                <anchor moveWithCells="1">
                  <from>
                    <xdr:col>4</xdr:col>
                    <xdr:colOff>53340</xdr:colOff>
                    <xdr:row>5</xdr:row>
                    <xdr:rowOff>22860</xdr:rowOff>
                  </from>
                  <to>
                    <xdr:col>5</xdr:col>
                    <xdr:colOff>563880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Scroll Bar 4">
              <controlPr defaultSize="0" autoPict="0">
                <anchor moveWithCells="1">
                  <from>
                    <xdr:col>4</xdr:col>
                    <xdr:colOff>45720</xdr:colOff>
                    <xdr:row>8</xdr:row>
                    <xdr:rowOff>15240</xdr:rowOff>
                  </from>
                  <to>
                    <xdr:col>6</xdr:col>
                    <xdr:colOff>15240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Scroll Bar 5">
              <controlPr defaultSize="0" autoPict="0">
                <anchor moveWithCells="1">
                  <from>
                    <xdr:col>4</xdr:col>
                    <xdr:colOff>45720</xdr:colOff>
                    <xdr:row>7</xdr:row>
                    <xdr:rowOff>0</xdr:rowOff>
                  </from>
                  <to>
                    <xdr:col>6</xdr:col>
                    <xdr:colOff>7620</xdr:colOff>
                    <xdr:row>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Scroll Bar 6">
              <controlPr defaultSize="0" autoPict="0">
                <anchor moveWithCells="1">
                  <from>
                    <xdr:col>4</xdr:col>
                    <xdr:colOff>45720</xdr:colOff>
                    <xdr:row>6</xdr:row>
                    <xdr:rowOff>15240</xdr:rowOff>
                  </from>
                  <to>
                    <xdr:col>6</xdr:col>
                    <xdr:colOff>15240</xdr:colOff>
                    <xdr:row>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87BB7-047B-4CB2-A4E8-181A34BF1D9A}">
  <sheetPr codeName="Sheet2"/>
  <dimension ref="A1:S103"/>
  <sheetViews>
    <sheetView topLeftCell="A76" workbookViewId="0">
      <selection activeCell="F91" sqref="A1:XFD1048576"/>
    </sheetView>
  </sheetViews>
  <sheetFormatPr defaultRowHeight="14.4" x14ac:dyDescent="0.3"/>
  <cols>
    <col min="1" max="16384" width="8.88671875" style="14"/>
  </cols>
  <sheetData>
    <row r="1" spans="1:19" x14ac:dyDescent="0.3">
      <c r="A1" s="14" t="s">
        <v>26</v>
      </c>
      <c r="B1" s="14" t="s">
        <v>27</v>
      </c>
      <c r="D1" s="14" t="s">
        <v>29</v>
      </c>
      <c r="E1" s="14" t="s">
        <v>30</v>
      </c>
      <c r="F1" s="14" t="s">
        <v>31</v>
      </c>
      <c r="G1" s="14" t="s">
        <v>32</v>
      </c>
      <c r="I1" s="14" t="s">
        <v>34</v>
      </c>
      <c r="J1" s="14" t="s">
        <v>35</v>
      </c>
      <c r="L1" s="14" t="s">
        <v>28</v>
      </c>
      <c r="M1" s="14" t="s">
        <v>36</v>
      </c>
      <c r="N1" s="14" t="s">
        <v>37</v>
      </c>
      <c r="O1" s="14" t="s">
        <v>38</v>
      </c>
      <c r="P1" s="14" t="s">
        <v>33</v>
      </c>
      <c r="Q1" s="14" t="s">
        <v>39</v>
      </c>
      <c r="R1" s="14" t="s">
        <v>40</v>
      </c>
      <c r="S1" s="14" t="s">
        <v>41</v>
      </c>
    </row>
    <row r="2" spans="1:19" x14ac:dyDescent="0.3">
      <c r="A2" s="15">
        <f>Mainsheet!C18</f>
        <v>1000</v>
      </c>
      <c r="B2" s="15">
        <f>Mainsheet!E18</f>
        <v>0.57399999999999995</v>
      </c>
      <c r="D2" s="15">
        <f>Mainsheet!C20</f>
        <v>6964.4045063689919</v>
      </c>
      <c r="E2" s="15">
        <f>Mainsheet!E20</f>
        <v>0.14349999999999999</v>
      </c>
      <c r="F2" s="15">
        <f>Mainsheet!C22</f>
        <v>6964.4045063689919</v>
      </c>
      <c r="G2" s="15">
        <f>Mainsheet!E22</f>
        <v>0.35875000000000007</v>
      </c>
      <c r="I2" s="15">
        <f>Mainsheet!C24</f>
        <v>3606.7497647680329</v>
      </c>
      <c r="J2" s="15">
        <f>Mainsheet!E24</f>
        <v>0.57399999999999995</v>
      </c>
      <c r="L2" s="15">
        <f>Mainsheet!D18</f>
        <v>2000</v>
      </c>
      <c r="M2" s="15">
        <f>Mainsheet!F18</f>
        <v>1</v>
      </c>
      <c r="N2" s="15">
        <f>Mainsheet!D20</f>
        <v>3482.2022531844964</v>
      </c>
      <c r="O2" s="15">
        <f>Mainsheet!F20</f>
        <v>1</v>
      </c>
      <c r="P2" s="15">
        <f>Mainsheet!D22</f>
        <v>8705.5056329612416</v>
      </c>
      <c r="Q2" s="15">
        <f>Mainsheet!F22</f>
        <v>1.9204140401675889</v>
      </c>
      <c r="R2" s="15">
        <f>Mainsheet!D24</f>
        <v>7213.4995295360668</v>
      </c>
      <c r="S2" s="15">
        <f>Mainsheet!F24</f>
        <v>1.9204140401675889</v>
      </c>
    </row>
    <row r="3" spans="1:19" x14ac:dyDescent="0.3">
      <c r="A3" s="14">
        <f>A2+(Mainsheet!$C$20-Mainsheet!$C$18)/100</f>
        <v>1059.6440450636899</v>
      </c>
      <c r="B3" s="14">
        <f t="shared" ref="B3:B34" si="0">0.287*L3/A3</f>
        <v>0.55073219127814943</v>
      </c>
      <c r="D3" s="15">
        <f>D2</f>
        <v>6964.4045063689919</v>
      </c>
      <c r="E3" s="14">
        <f>E2+(Mainsheet!$E$22-Mainsheet!$E$20)/100</f>
        <v>0.14565249999999999</v>
      </c>
      <c r="F3" s="14">
        <f>F2*(G2/G3)^Mainsheet!$I$5</f>
        <v>6906.3218702732438</v>
      </c>
      <c r="G3" s="14">
        <f>G2+(Mainsheet!$E$24-Mainsheet!$E$22)/100</f>
        <v>0.36090250000000007</v>
      </c>
      <c r="I3" s="14">
        <f>I2-(Mainsheet!$C$24-Mainsheet!$C$26)/100</f>
        <v>3580.6822671203527</v>
      </c>
      <c r="J3" s="15">
        <f>J2</f>
        <v>0.57399999999999995</v>
      </c>
      <c r="L3" s="14">
        <f t="shared" ref="L3:L34" si="1">L2*(A3/A2)^(0.4/1.4)</f>
        <v>2033.380093772711</v>
      </c>
      <c r="M3" s="15">
        <f>M2</f>
        <v>1</v>
      </c>
      <c r="N3" s="14">
        <f>N2+(Mainsheet!$D$22-Mainsheet!$D$20)/100</f>
        <v>3534.4352869822637</v>
      </c>
      <c r="O3" s="14">
        <f>O2+1.0045*LN(N3/N2)</f>
        <v>1.0149556112499725</v>
      </c>
      <c r="P3" s="14">
        <f t="shared" ref="P3:P34" si="2">P2*(F3/F2)^(0.4/1.4)</f>
        <v>8684.6997518686057</v>
      </c>
      <c r="Q3" s="15">
        <f>Q2</f>
        <v>1.9204140401675889</v>
      </c>
      <c r="R3" s="14">
        <f>R2-(Mainsheet!$D$24-Mainsheet!$D$26)/100</f>
        <v>7161.3645342407062</v>
      </c>
      <c r="S3" s="14">
        <f>S2+Mainsheet!$I$6*LN(Data!R3/Data!R2)</f>
        <v>1.9152095355581751</v>
      </c>
    </row>
    <row r="4" spans="1:19" x14ac:dyDescent="0.3">
      <c r="A4" s="14">
        <f>A3+(Mainsheet!$C$20-Mainsheet!$C$18)/100</f>
        <v>1119.2880901273797</v>
      </c>
      <c r="B4" s="14">
        <f t="shared" si="0"/>
        <v>0.52960661965708156</v>
      </c>
      <c r="D4" s="15">
        <f t="shared" ref="D4:D67" si="3">D3</f>
        <v>6964.4045063689919</v>
      </c>
      <c r="E4" s="14">
        <f>E3+(Mainsheet!$E$22-Mainsheet!$E$20)/100</f>
        <v>0.14780499999999999</v>
      </c>
      <c r="F4" s="14">
        <f>F3*(G3/G4)^Mainsheet!$I$5</f>
        <v>6849.064724319448</v>
      </c>
      <c r="G4" s="14">
        <f>G3+(Mainsheet!$E$24-Mainsheet!$E$22)/100</f>
        <v>0.36305500000000007</v>
      </c>
      <c r="I4" s="14">
        <f>I3-(Mainsheet!$C$24-Mainsheet!$C$26)/100</f>
        <v>3554.6147694726724</v>
      </c>
      <c r="J4" s="15">
        <f t="shared" ref="J4:J67" si="4">J3</f>
        <v>0.57399999999999995</v>
      </c>
      <c r="L4" s="14">
        <f t="shared" si="1"/>
        <v>2065.4438391456183</v>
      </c>
      <c r="M4" s="15">
        <f t="shared" ref="M4:M67" si="5">M3</f>
        <v>1</v>
      </c>
      <c r="N4" s="14">
        <f>N3+(Mainsheet!$D$22-Mainsheet!$D$20)/100</f>
        <v>3586.6683207800311</v>
      </c>
      <c r="O4" s="14">
        <f t="shared" ref="O4:O67" si="6">O3+1.0045*LN(N4/N3)</f>
        <v>1.0296918168516311</v>
      </c>
      <c r="P4" s="14">
        <f t="shared" si="2"/>
        <v>8664.0668762641035</v>
      </c>
      <c r="Q4" s="15">
        <f t="shared" ref="Q4:Q67" si="7">Q3</f>
        <v>1.9204140401675889</v>
      </c>
      <c r="R4" s="14">
        <f>R3-(Mainsheet!$D$24-Mainsheet!$D$26)/100</f>
        <v>7109.2295389453457</v>
      </c>
      <c r="S4" s="14">
        <f>S3+Mainsheet!$I$6*LN(Data!R4/Data!R3)</f>
        <v>1.9099670032075879</v>
      </c>
    </row>
    <row r="5" spans="1:19" x14ac:dyDescent="0.3">
      <c r="A5" s="14">
        <f>A4+(Mainsheet!$C$20-Mainsheet!$C$18)/100</f>
        <v>1178.9321351910696</v>
      </c>
      <c r="B5" s="14">
        <f t="shared" si="0"/>
        <v>0.51032689825072053</v>
      </c>
      <c r="D5" s="15">
        <f t="shared" si="3"/>
        <v>6964.4045063689919</v>
      </c>
      <c r="E5" s="14">
        <f>E4+(Mainsheet!$E$22-Mainsheet!$E$20)/100</f>
        <v>0.14995749999999999</v>
      </c>
      <c r="F5" s="14">
        <f>F4*(G4/G5)^Mainsheet!$I$5</f>
        <v>6792.6165458305713</v>
      </c>
      <c r="G5" s="14">
        <f>G4+(Mainsheet!$E$24-Mainsheet!$E$22)/100</f>
        <v>0.36520750000000007</v>
      </c>
      <c r="I5" s="14">
        <f>I4-(Mainsheet!$C$24-Mainsheet!$C$26)/100</f>
        <v>3528.5472718249921</v>
      </c>
      <c r="J5" s="15">
        <f t="shared" si="4"/>
        <v>0.57399999999999995</v>
      </c>
      <c r="L5" s="14">
        <f t="shared" si="1"/>
        <v>2096.3093372827798</v>
      </c>
      <c r="M5" s="15">
        <f t="shared" si="5"/>
        <v>1</v>
      </c>
      <c r="N5" s="14">
        <f>N4+(Mainsheet!$D$22-Mainsheet!$D$20)/100</f>
        <v>3638.9013545777984</v>
      </c>
      <c r="O5" s="14">
        <f t="shared" si="6"/>
        <v>1.0442149614011496</v>
      </c>
      <c r="P5" s="14">
        <f t="shared" si="2"/>
        <v>8643.6045545694051</v>
      </c>
      <c r="Q5" s="15">
        <f t="shared" si="7"/>
        <v>1.9204140401675889</v>
      </c>
      <c r="R5" s="14">
        <f>R4-(Mainsheet!$D$24-Mainsheet!$D$26)/100</f>
        <v>7057.0945436499851</v>
      </c>
      <c r="S5" s="14">
        <f>S4+Mainsheet!$I$6*LN(Data!R5/Data!R4)</f>
        <v>1.9046858833085683</v>
      </c>
    </row>
    <row r="6" spans="1:19" x14ac:dyDescent="0.3">
      <c r="A6" s="14">
        <f>A5+(Mainsheet!$C$20-Mainsheet!$C$18)/100</f>
        <v>1238.5761802547595</v>
      </c>
      <c r="B6" s="14">
        <f t="shared" si="0"/>
        <v>0.49265003547756114</v>
      </c>
      <c r="D6" s="15">
        <f t="shared" si="3"/>
        <v>6964.4045063689919</v>
      </c>
      <c r="E6" s="14">
        <f>E5+(Mainsheet!$E$22-Mainsheet!$E$20)/100</f>
        <v>0.15211</v>
      </c>
      <c r="F6" s="14">
        <f>F5*(G5/G6)^Mainsheet!$I$5</f>
        <v>6736.9612376035866</v>
      </c>
      <c r="G6" s="14">
        <f>G5+(Mainsheet!$E$24-Mainsheet!$E$22)/100</f>
        <v>0.36736000000000008</v>
      </c>
      <c r="I6" s="14">
        <f>I5-(Mainsheet!$C$24-Mainsheet!$C$26)/100</f>
        <v>3502.4797741773118</v>
      </c>
      <c r="J6" s="15">
        <f t="shared" si="4"/>
        <v>0.57399999999999995</v>
      </c>
      <c r="L6" s="14">
        <f t="shared" si="1"/>
        <v>2126.0787426626111</v>
      </c>
      <c r="M6" s="15">
        <f t="shared" si="5"/>
        <v>1</v>
      </c>
      <c r="N6" s="14">
        <f>N5+(Mainsheet!$D$22-Mainsheet!$D$20)/100</f>
        <v>3691.1343883755658</v>
      </c>
      <c r="O6" s="14">
        <f t="shared" si="6"/>
        <v>1.0585311182105335</v>
      </c>
      <c r="P6" s="14">
        <f t="shared" si="2"/>
        <v>8623.3103841325938</v>
      </c>
      <c r="Q6" s="15">
        <f t="shared" si="7"/>
        <v>1.9204140401675889</v>
      </c>
      <c r="R6" s="14">
        <f>R5-(Mainsheet!$D$24-Mainsheet!$D$26)/100</f>
        <v>7004.9595483546245</v>
      </c>
      <c r="S6" s="14">
        <f>S5+Mainsheet!$I$6*LN(Data!R6/Data!R5)</f>
        <v>1.8993656036007356</v>
      </c>
    </row>
    <row r="7" spans="1:19" x14ac:dyDescent="0.3">
      <c r="A7" s="14">
        <f>A6+(Mainsheet!$C$20-Mainsheet!$C$18)/100</f>
        <v>1298.2202253184494</v>
      </c>
      <c r="B7" s="14">
        <f t="shared" si="0"/>
        <v>0.4763747900449074</v>
      </c>
      <c r="D7" s="15">
        <f t="shared" si="3"/>
        <v>6964.4045063689919</v>
      </c>
      <c r="E7" s="14">
        <f>E6+(Mainsheet!$E$22-Mainsheet!$E$20)/100</f>
        <v>0.1542625</v>
      </c>
      <c r="F7" s="14">
        <f>F6*(G6/G7)^Mainsheet!$I$5</f>
        <v>6682.0831145412976</v>
      </c>
      <c r="G7" s="14">
        <f>G6+(Mainsheet!$E$24-Mainsheet!$E$22)/100</f>
        <v>0.36951250000000008</v>
      </c>
      <c r="I7" s="14">
        <f>I6-(Mainsheet!$C$24-Mainsheet!$C$26)/100</f>
        <v>3476.4122765296315</v>
      </c>
      <c r="J7" s="15">
        <f t="shared" si="4"/>
        <v>0.57399999999999995</v>
      </c>
      <c r="L7" s="14">
        <f t="shared" si="1"/>
        <v>2154.8410706206578</v>
      </c>
      <c r="M7" s="15">
        <f t="shared" si="5"/>
        <v>1</v>
      </c>
      <c r="N7" s="14">
        <f>N6+(Mainsheet!$D$22-Mainsheet!$D$20)/100</f>
        <v>3743.3674221733331</v>
      </c>
      <c r="O7" s="14">
        <f t="shared" si="6"/>
        <v>1.0726461045567341</v>
      </c>
      <c r="P7" s="14">
        <f t="shared" si="2"/>
        <v>8603.1820099719243</v>
      </c>
      <c r="Q7" s="15">
        <f t="shared" si="7"/>
        <v>1.9204140401675889</v>
      </c>
      <c r="R7" s="14">
        <f>R6-(Mainsheet!$D$24-Mainsheet!$D$26)/100</f>
        <v>6952.824553059264</v>
      </c>
      <c r="S7" s="14">
        <f>S6+Mainsheet!$I$6*LN(Data!R7/Data!R6)</f>
        <v>1.8940055789984611</v>
      </c>
    </row>
    <row r="8" spans="1:19" x14ac:dyDescent="0.3">
      <c r="A8" s="14">
        <f>A7+(Mainsheet!$C$20-Mainsheet!$C$18)/100</f>
        <v>1357.8642703821392</v>
      </c>
      <c r="B8" s="14">
        <f t="shared" si="0"/>
        <v>0.46133296834135396</v>
      </c>
      <c r="D8" s="15">
        <f t="shared" si="3"/>
        <v>6964.4045063689919</v>
      </c>
      <c r="E8" s="14">
        <f>E7+(Mainsheet!$E$22-Mainsheet!$E$20)/100</f>
        <v>0.156415</v>
      </c>
      <c r="F8" s="14">
        <f>F7*(G7/G8)^Mainsheet!$I$5</f>
        <v>6627.9668907791001</v>
      </c>
      <c r="G8" s="14">
        <f>G7+(Mainsheet!$E$24-Mainsheet!$E$22)/100</f>
        <v>0.37166500000000008</v>
      </c>
      <c r="I8" s="14">
        <f>I7-(Mainsheet!$C$24-Mainsheet!$C$26)/100</f>
        <v>3450.3447788819512</v>
      </c>
      <c r="J8" s="15">
        <f t="shared" si="4"/>
        <v>0.57399999999999995</v>
      </c>
      <c r="L8" s="14">
        <f t="shared" si="1"/>
        <v>2182.6744057841784</v>
      </c>
      <c r="M8" s="15">
        <f t="shared" si="5"/>
        <v>1</v>
      </c>
      <c r="N8" s="14">
        <f>N7+(Mainsheet!$D$22-Mainsheet!$D$20)/100</f>
        <v>3795.6004559711005</v>
      </c>
      <c r="O8" s="14">
        <f t="shared" si="6"/>
        <v>1.0865654958741369</v>
      </c>
      <c r="P8" s="14">
        <f t="shared" si="2"/>
        <v>8583.2171235589376</v>
      </c>
      <c r="Q8" s="15">
        <f t="shared" si="7"/>
        <v>1.9204140401675889</v>
      </c>
      <c r="R8" s="14">
        <f>R7-(Mainsheet!$D$24-Mainsheet!$D$26)/100</f>
        <v>6900.6895577639034</v>
      </c>
      <c r="S8" s="14">
        <f>S7+Mainsheet!$I$6*LN(Data!R8/Data!R7)</f>
        <v>1.888605211204736</v>
      </c>
    </row>
    <row r="9" spans="1:19" x14ac:dyDescent="0.3">
      <c r="A9" s="14">
        <f>A8+(Mainsheet!$C$20-Mainsheet!$C$18)/100</f>
        <v>1417.5083154458291</v>
      </c>
      <c r="B9" s="14">
        <f t="shared" si="0"/>
        <v>0.44738282761260217</v>
      </c>
      <c r="D9" s="15">
        <f t="shared" si="3"/>
        <v>6964.4045063689919</v>
      </c>
      <c r="E9" s="14">
        <f>E8+(Mainsheet!$E$22-Mainsheet!$E$20)/100</f>
        <v>0.1585675</v>
      </c>
      <c r="F9" s="14">
        <f>F8*(G8/G9)^Mainsheet!$I$5</f>
        <v>6574.5976672855832</v>
      </c>
      <c r="G9" s="14">
        <f>G8+(Mainsheet!$E$24-Mainsheet!$E$22)/100</f>
        <v>0.37381750000000008</v>
      </c>
      <c r="I9" s="14">
        <f>I8-(Mainsheet!$C$24-Mainsheet!$C$26)/100</f>
        <v>3424.277281234271</v>
      </c>
      <c r="J9" s="15">
        <f t="shared" si="4"/>
        <v>0.57399999999999995</v>
      </c>
      <c r="L9" s="14">
        <f t="shared" si="1"/>
        <v>2209.6476596812945</v>
      </c>
      <c r="M9" s="15">
        <f t="shared" si="5"/>
        <v>1</v>
      </c>
      <c r="N9" s="14">
        <f>N8+(Mainsheet!$D$22-Mainsheet!$D$20)/100</f>
        <v>3847.8334897688678</v>
      </c>
      <c r="O9" s="14">
        <f t="shared" si="6"/>
        <v>1.1002946389770798</v>
      </c>
      <c r="P9" s="14">
        <f t="shared" si="2"/>
        <v>8563.4134616394749</v>
      </c>
      <c r="Q9" s="15">
        <f t="shared" si="7"/>
        <v>1.9204140401675889</v>
      </c>
      <c r="R9" s="14">
        <f>R8-(Mainsheet!$D$24-Mainsheet!$D$26)/100</f>
        <v>6848.5545624685428</v>
      </c>
      <c r="S9" s="14">
        <f>S8+Mainsheet!$I$6*LN(Data!R9/Data!R8)</f>
        <v>1.8831638883103985</v>
      </c>
    </row>
    <row r="10" spans="1:19" x14ac:dyDescent="0.3">
      <c r="A10" s="14">
        <f>A9+(Mainsheet!$C$20-Mainsheet!$C$18)/100</f>
        <v>1477.152360509519</v>
      </c>
      <c r="B10" s="14">
        <f t="shared" si="0"/>
        <v>0.43440401051154598</v>
      </c>
      <c r="D10" s="15">
        <f t="shared" si="3"/>
        <v>6964.4045063689919</v>
      </c>
      <c r="E10" s="14">
        <f>E9+(Mainsheet!$E$22-Mainsheet!$E$20)/100</f>
        <v>0.16072</v>
      </c>
      <c r="F10" s="14">
        <f>F9*(G9/G10)^Mainsheet!$I$5</f>
        <v>6521.9609199169518</v>
      </c>
      <c r="G10" s="14">
        <f>G9+(Mainsheet!$E$24-Mainsheet!$E$22)/100</f>
        <v>0.37597000000000008</v>
      </c>
      <c r="I10" s="14">
        <f>I9-(Mainsheet!$C$24-Mainsheet!$C$26)/100</f>
        <v>3398.2097835865907</v>
      </c>
      <c r="J10" s="15">
        <f t="shared" si="4"/>
        <v>0.57399999999999995</v>
      </c>
      <c r="L10" s="14">
        <f t="shared" si="1"/>
        <v>2235.8219844666623</v>
      </c>
      <c r="M10" s="15">
        <f t="shared" si="5"/>
        <v>1</v>
      </c>
      <c r="N10" s="14">
        <f>N9+(Mainsheet!$D$22-Mainsheet!$D$20)/100</f>
        <v>3900.0665235666352</v>
      </c>
      <c r="O10" s="14">
        <f t="shared" si="6"/>
        <v>1.1138386643908846</v>
      </c>
      <c r="P10" s="14">
        <f t="shared" si="2"/>
        <v>8543.7688050912093</v>
      </c>
      <c r="Q10" s="15">
        <f t="shared" si="7"/>
        <v>1.9204140401675889</v>
      </c>
      <c r="R10" s="14">
        <f>R9-(Mainsheet!$D$24-Mainsheet!$D$26)/100</f>
        <v>6796.4195671731823</v>
      </c>
      <c r="S10" s="14">
        <f>S9+Mainsheet!$I$6*LN(Data!R10/Data!R9)</f>
        <v>1.8776809843780466</v>
      </c>
    </row>
    <row r="11" spans="1:19" x14ac:dyDescent="0.3">
      <c r="A11" s="14">
        <f>A10+(Mainsheet!$C$20-Mainsheet!$C$18)/100</f>
        <v>1536.7964055732089</v>
      </c>
      <c r="B11" s="14">
        <f t="shared" si="0"/>
        <v>0.42229360961335627</v>
      </c>
      <c r="D11" s="15">
        <f t="shared" si="3"/>
        <v>6964.4045063689919</v>
      </c>
      <c r="E11" s="14">
        <f>E10+(Mainsheet!$E$22-Mainsheet!$E$20)/100</f>
        <v>0.1628725</v>
      </c>
      <c r="F11" s="14">
        <f>F10*(G10/G11)^Mainsheet!$I$5</f>
        <v>6470.0424879061502</v>
      </c>
      <c r="G11" s="14">
        <f>G10+(Mainsheet!$E$24-Mainsheet!$E$22)/100</f>
        <v>0.37812250000000008</v>
      </c>
      <c r="I11" s="14">
        <f>I10-(Mainsheet!$C$24-Mainsheet!$C$26)/100</f>
        <v>3372.1422859389104</v>
      </c>
      <c r="J11" s="15">
        <f t="shared" si="4"/>
        <v>0.57399999999999995</v>
      </c>
      <c r="L11" s="14">
        <f t="shared" si="1"/>
        <v>2261.2519210813302</v>
      </c>
      <c r="M11" s="15">
        <f t="shared" si="5"/>
        <v>1</v>
      </c>
      <c r="N11" s="14">
        <f>N10+(Mainsheet!$D$22-Mainsheet!$D$20)/100</f>
        <v>3952.2995573644025</v>
      </c>
      <c r="O11" s="14">
        <f t="shared" si="6"/>
        <v>1.1272024978625661</v>
      </c>
      <c r="P11" s="14">
        <f t="shared" si="2"/>
        <v>8524.2809778163555</v>
      </c>
      <c r="Q11" s="15">
        <f t="shared" si="7"/>
        <v>1.9204140401675889</v>
      </c>
      <c r="R11" s="14">
        <f>R10-(Mainsheet!$D$24-Mainsheet!$D$26)/100</f>
        <v>6744.2845718778217</v>
      </c>
      <c r="S11" s="14">
        <f>S10+Mainsheet!$I$6*LN(Data!R11/Data!R10)</f>
        <v>1.872155859009931</v>
      </c>
    </row>
    <row r="12" spans="1:19" x14ac:dyDescent="0.3">
      <c r="A12" s="14">
        <f>A11+(Mainsheet!$C$20-Mainsheet!$C$18)/100</f>
        <v>1596.4404506368987</v>
      </c>
      <c r="B12" s="14">
        <f t="shared" si="0"/>
        <v>0.41096307683771865</v>
      </c>
      <c r="D12" s="15">
        <f t="shared" si="3"/>
        <v>6964.4045063689919</v>
      </c>
      <c r="E12" s="14">
        <f>E11+(Mainsheet!$E$22-Mainsheet!$E$20)/100</f>
        <v>0.16502500000000001</v>
      </c>
      <c r="F12" s="14">
        <f>F11*(G11/G12)^Mainsheet!$I$5</f>
        <v>6418.8285627685136</v>
      </c>
      <c r="G12" s="14">
        <f>G11+(Mainsheet!$E$24-Mainsheet!$E$22)/100</f>
        <v>0.38027500000000009</v>
      </c>
      <c r="I12" s="14">
        <f>I11-(Mainsheet!$C$24-Mainsheet!$C$26)/100</f>
        <v>3346.0747882912301</v>
      </c>
      <c r="J12" s="15">
        <f t="shared" si="4"/>
        <v>0.57399999999999995</v>
      </c>
      <c r="L12" s="14">
        <f t="shared" si="1"/>
        <v>2285.9863400067388</v>
      </c>
      <c r="M12" s="15">
        <f t="shared" si="5"/>
        <v>1</v>
      </c>
      <c r="N12" s="14">
        <f>N11+(Mainsheet!$D$22-Mainsheet!$D$20)/100</f>
        <v>4004.5325911621699</v>
      </c>
      <c r="O12" s="14">
        <f t="shared" si="6"/>
        <v>1.1403908711158468</v>
      </c>
      <c r="P12" s="14">
        <f t="shared" si="2"/>
        <v>8504.9478456682828</v>
      </c>
      <c r="Q12" s="15">
        <f t="shared" si="7"/>
        <v>1.9204140401675889</v>
      </c>
      <c r="R12" s="14">
        <f>R11-(Mainsheet!$D$24-Mainsheet!$D$26)/100</f>
        <v>6692.1495765824611</v>
      </c>
      <c r="S12" s="14">
        <f>S11+Mainsheet!$I$6*LN(Data!R12/Data!R11)</f>
        <v>1.8665878568990801</v>
      </c>
    </row>
    <row r="13" spans="1:19" x14ac:dyDescent="0.3">
      <c r="A13" s="14">
        <f>A12+(Mainsheet!$C$20-Mainsheet!$C$18)/100</f>
        <v>1656.0844957005886</v>
      </c>
      <c r="B13" s="14">
        <f t="shared" si="0"/>
        <v>0.40033577235317974</v>
      </c>
      <c r="D13" s="15">
        <f t="shared" si="3"/>
        <v>6964.4045063689919</v>
      </c>
      <c r="E13" s="14">
        <f>E12+(Mainsheet!$E$22-Mainsheet!$E$20)/100</f>
        <v>0.16717750000000001</v>
      </c>
      <c r="F13" s="14">
        <f>F12*(G12/G13)^Mainsheet!$I$5</f>
        <v>6368.3056776066096</v>
      </c>
      <c r="G13" s="14">
        <f>G12+(Mainsheet!$E$24-Mainsheet!$E$22)/100</f>
        <v>0.38242750000000009</v>
      </c>
      <c r="I13" s="14">
        <f>I12-(Mainsheet!$C$24-Mainsheet!$C$26)/100</f>
        <v>3320.0072906435498</v>
      </c>
      <c r="J13" s="15">
        <f t="shared" si="4"/>
        <v>0.57399999999999995</v>
      </c>
      <c r="L13" s="14">
        <f t="shared" si="1"/>
        <v>2310.069218356869</v>
      </c>
      <c r="M13" s="15">
        <f t="shared" si="5"/>
        <v>1</v>
      </c>
      <c r="N13" s="14">
        <f>N12+(Mainsheet!$D$22-Mainsheet!$D$20)/100</f>
        <v>4056.7656249599372</v>
      </c>
      <c r="O13" s="14">
        <f t="shared" si="6"/>
        <v>1.1534083319092432</v>
      </c>
      <c r="P13" s="14">
        <f t="shared" si="2"/>
        <v>8485.7673154108088</v>
      </c>
      <c r="Q13" s="15">
        <f t="shared" si="7"/>
        <v>1.9204140401675889</v>
      </c>
      <c r="R13" s="14">
        <f>R12-(Mainsheet!$D$24-Mainsheet!$D$26)/100</f>
        <v>6640.0145812871006</v>
      </c>
      <c r="S13" s="14">
        <f>S12+Mainsheet!$I$6*LN(Data!R13/Data!R12)</f>
        <v>1.8609763073628731</v>
      </c>
    </row>
    <row r="14" spans="1:19" x14ac:dyDescent="0.3">
      <c r="A14" s="14">
        <f>A13+(Mainsheet!$C$20-Mainsheet!$C$18)/100</f>
        <v>1715.7285407642785</v>
      </c>
      <c r="B14" s="14">
        <f t="shared" si="0"/>
        <v>0.39034500291918606</v>
      </c>
      <c r="D14" s="15">
        <f t="shared" si="3"/>
        <v>6964.4045063689919</v>
      </c>
      <c r="E14" s="14">
        <f>E13+(Mainsheet!$E$22-Mainsheet!$E$20)/100</f>
        <v>0.16933000000000001</v>
      </c>
      <c r="F14" s="14">
        <f>F13*(G13/G14)^Mainsheet!$I$5</f>
        <v>6318.4606967977597</v>
      </c>
      <c r="G14" s="14">
        <f>G13+(Mainsheet!$E$24-Mainsheet!$E$22)/100</f>
        <v>0.38458000000000009</v>
      </c>
      <c r="I14" s="14">
        <f>I13-(Mainsheet!$C$24-Mainsheet!$C$26)/100</f>
        <v>3293.9397929958695</v>
      </c>
      <c r="J14" s="15">
        <f t="shared" si="4"/>
        <v>0.57399999999999995</v>
      </c>
      <c r="L14" s="14">
        <f t="shared" si="1"/>
        <v>2333.5402865963874</v>
      </c>
      <c r="M14" s="15">
        <f t="shared" si="5"/>
        <v>1</v>
      </c>
      <c r="N14" s="14">
        <f>N13+(Mainsheet!$D$22-Mainsheet!$D$20)/100</f>
        <v>4108.998658757705</v>
      </c>
      <c r="O14" s="14">
        <f t="shared" si="6"/>
        <v>1.1662592534507223</v>
      </c>
      <c r="P14" s="14">
        <f t="shared" si="2"/>
        <v>8466.7373337089994</v>
      </c>
      <c r="Q14" s="15">
        <f t="shared" si="7"/>
        <v>1.9204140401675889</v>
      </c>
      <c r="R14" s="14">
        <f>R13-(Mainsheet!$D$24-Mainsheet!$D$26)/100</f>
        <v>6587.87958599174</v>
      </c>
      <c r="S14" s="14">
        <f>S13+Mainsheet!$I$6*LN(Data!R14/Data!R13)</f>
        <v>1.8553205238582275</v>
      </c>
    </row>
    <row r="15" spans="1:19" x14ac:dyDescent="0.3">
      <c r="A15" s="14">
        <f>A14+(Mainsheet!$C$20-Mainsheet!$C$18)/100</f>
        <v>1775.3725858279684</v>
      </c>
      <c r="B15" s="14">
        <f t="shared" si="0"/>
        <v>0.38093243870561727</v>
      </c>
      <c r="D15" s="15">
        <f t="shared" si="3"/>
        <v>6964.4045063689919</v>
      </c>
      <c r="E15" s="14">
        <f>E14+(Mainsheet!$E$22-Mainsheet!$E$20)/100</f>
        <v>0.17148250000000001</v>
      </c>
      <c r="F15" s="14">
        <f>F14*(G14/G15)^Mainsheet!$I$5</f>
        <v>6269.2808060484986</v>
      </c>
      <c r="G15" s="14">
        <f>G14+(Mainsheet!$E$24-Mainsheet!$E$22)/100</f>
        <v>0.38673250000000009</v>
      </c>
      <c r="I15" s="14">
        <f>I14-(Mainsheet!$C$24-Mainsheet!$C$26)/100</f>
        <v>3267.8722953481893</v>
      </c>
      <c r="J15" s="15">
        <f t="shared" si="4"/>
        <v>0.57399999999999995</v>
      </c>
      <c r="L15" s="14">
        <f t="shared" si="1"/>
        <v>2356.4355704897071</v>
      </c>
      <c r="M15" s="15">
        <f t="shared" si="5"/>
        <v>1</v>
      </c>
      <c r="N15" s="14">
        <f>N14+(Mainsheet!$D$22-Mainsheet!$D$20)/100</f>
        <v>4161.2316925554724</v>
      </c>
      <c r="O15" s="14">
        <f t="shared" si="6"/>
        <v>1.1789478432176994</v>
      </c>
      <c r="P15" s="14">
        <f t="shared" si="2"/>
        <v>8447.8558861503534</v>
      </c>
      <c r="Q15" s="15">
        <f t="shared" si="7"/>
        <v>1.9204140401675889</v>
      </c>
      <c r="R15" s="14">
        <f>R14-(Mainsheet!$D$24-Mainsheet!$D$26)/100</f>
        <v>6535.7445906963794</v>
      </c>
      <c r="S15" s="14">
        <f>S14+Mainsheet!$I$6*LN(Data!R15/Data!R14)</f>
        <v>1.8496198034775273</v>
      </c>
    </row>
    <row r="16" spans="1:19" x14ac:dyDescent="0.3">
      <c r="A16" s="14">
        <f>A15+(Mainsheet!$C$20-Mainsheet!$C$18)/100</f>
        <v>1835.0166308916582</v>
      </c>
      <c r="B16" s="14">
        <f t="shared" si="0"/>
        <v>0.372046825588637</v>
      </c>
      <c r="D16" s="15">
        <f t="shared" si="3"/>
        <v>6964.4045063689919</v>
      </c>
      <c r="E16" s="14">
        <f>E15+(Mainsheet!$E$22-Mainsheet!$E$20)/100</f>
        <v>0.17363500000000001</v>
      </c>
      <c r="F16" s="14">
        <f>F15*(G15/G16)^Mainsheet!$I$5</f>
        <v>6220.7535028009497</v>
      </c>
      <c r="G16" s="14">
        <f>G15+(Mainsheet!$E$24-Mainsheet!$E$22)/100</f>
        <v>0.38888500000000009</v>
      </c>
      <c r="I16" s="14">
        <f>I15-(Mainsheet!$C$24-Mainsheet!$C$26)/100</f>
        <v>3241.804797700509</v>
      </c>
      <c r="J16" s="15">
        <f t="shared" si="4"/>
        <v>0.57399999999999995</v>
      </c>
      <c r="L16" s="14">
        <f t="shared" si="1"/>
        <v>2378.7878481728121</v>
      </c>
      <c r="M16" s="15">
        <f t="shared" si="5"/>
        <v>1</v>
      </c>
      <c r="N16" s="14">
        <f>N15+(Mainsheet!$D$22-Mainsheet!$D$20)/100</f>
        <v>4213.4647263532397</v>
      </c>
      <c r="O16" s="14">
        <f t="shared" si="6"/>
        <v>1.1914781512268886</v>
      </c>
      <c r="P16" s="14">
        <f t="shared" si="2"/>
        <v>8429.1209962952889</v>
      </c>
      <c r="Q16" s="15">
        <f t="shared" si="7"/>
        <v>1.9204140401675889</v>
      </c>
      <c r="R16" s="14">
        <f>R15-(Mainsheet!$D$24-Mainsheet!$D$26)/100</f>
        <v>6483.6095954010189</v>
      </c>
      <c r="S16" s="14">
        <f>S15+Mainsheet!$I$6*LN(Data!R16/Data!R15)</f>
        <v>1.8438734264243648</v>
      </c>
    </row>
    <row r="17" spans="1:19" x14ac:dyDescent="0.3">
      <c r="A17" s="14">
        <f>A16+(Mainsheet!$C$20-Mainsheet!$C$18)/100</f>
        <v>1894.6606759553481</v>
      </c>
      <c r="B17" s="14">
        <f t="shared" si="0"/>
        <v>0.36364293017407845</v>
      </c>
      <c r="D17" s="15">
        <f t="shared" si="3"/>
        <v>6964.4045063689919</v>
      </c>
      <c r="E17" s="14">
        <f>E16+(Mainsheet!$E$22-Mainsheet!$E$20)/100</f>
        <v>0.17578750000000001</v>
      </c>
      <c r="F17" s="14">
        <f>F16*(G16/G17)^Mainsheet!$I$5</f>
        <v>6172.866586976811</v>
      </c>
      <c r="G17" s="14">
        <f>G16+(Mainsheet!$E$24-Mainsheet!$E$22)/100</f>
        <v>0.39103750000000009</v>
      </c>
      <c r="I17" s="14">
        <f>I16-(Mainsheet!$C$24-Mainsheet!$C$26)/100</f>
        <v>3215.7373000528287</v>
      </c>
      <c r="J17" s="15">
        <f t="shared" si="4"/>
        <v>0.57399999999999995</v>
      </c>
      <c r="L17" s="14">
        <f t="shared" si="1"/>
        <v>2400.6270379442612</v>
      </c>
      <c r="M17" s="15">
        <f t="shared" si="5"/>
        <v>1</v>
      </c>
      <c r="N17" s="14">
        <f>N16+(Mainsheet!$D$22-Mainsheet!$D$20)/100</f>
        <v>4265.6977601510071</v>
      </c>
      <c r="O17" s="14">
        <f t="shared" si="6"/>
        <v>1.2038540777946753</v>
      </c>
      <c r="P17" s="14">
        <f t="shared" si="2"/>
        <v>8410.5307247559085</v>
      </c>
      <c r="Q17" s="15">
        <f t="shared" si="7"/>
        <v>1.9204140401675889</v>
      </c>
      <c r="R17" s="14">
        <f>R16-(Mainsheet!$D$24-Mainsheet!$D$26)/100</f>
        <v>6431.4746001056583</v>
      </c>
      <c r="S17" s="14">
        <f>S16+Mainsheet!$I$6*LN(Data!R17/Data!R16)</f>
        <v>1.8380806554681195</v>
      </c>
    </row>
    <row r="18" spans="1:19" x14ac:dyDescent="0.3">
      <c r="A18" s="14">
        <f>A17+(Mainsheet!$C$20-Mainsheet!$C$18)/100</f>
        <v>1954.304721019038</v>
      </c>
      <c r="B18" s="14">
        <f t="shared" si="0"/>
        <v>0.35568066964081935</v>
      </c>
      <c r="D18" s="15">
        <f t="shared" si="3"/>
        <v>6964.4045063689919</v>
      </c>
      <c r="E18" s="14">
        <f>E17+(Mainsheet!$E$22-Mainsheet!$E$20)/100</f>
        <v>0.17794000000000001</v>
      </c>
      <c r="F18" s="14">
        <f>F17*(G17/G18)^Mainsheet!$I$5</f>
        <v>6125.6081520452763</v>
      </c>
      <c r="G18" s="14">
        <f>G17+(Mainsheet!$E$24-Mainsheet!$E$22)/100</f>
        <v>0.39319000000000009</v>
      </c>
      <c r="I18" s="14">
        <f>I17-(Mainsheet!$C$24-Mainsheet!$C$26)/100</f>
        <v>3189.6698024051484</v>
      </c>
      <c r="J18" s="15">
        <f t="shared" si="4"/>
        <v>0.57399999999999995</v>
      </c>
      <c r="L18" s="14">
        <f t="shared" si="1"/>
        <v>2421.980529108941</v>
      </c>
      <c r="M18" s="15">
        <f t="shared" si="5"/>
        <v>1</v>
      </c>
      <c r="N18" s="14">
        <f>N17+(Mainsheet!$D$22-Mainsheet!$D$20)/100</f>
        <v>4317.9307939487744</v>
      </c>
      <c r="O18" s="14">
        <f t="shared" si="6"/>
        <v>1.2160793808252217</v>
      </c>
      <c r="P18" s="14">
        <f t="shared" si="2"/>
        <v>8392.0831683020315</v>
      </c>
      <c r="Q18" s="15">
        <f t="shared" si="7"/>
        <v>1.9204140401675889</v>
      </c>
      <c r="R18" s="14">
        <f>R17-(Mainsheet!$D$24-Mainsheet!$D$26)/100</f>
        <v>6379.3396048102977</v>
      </c>
      <c r="S18" s="14">
        <f>S17+Mainsheet!$I$6*LN(Data!R18/Data!R17)</f>
        <v>1.8322407353763395</v>
      </c>
    </row>
    <row r="19" spans="1:19" x14ac:dyDescent="0.3">
      <c r="A19" s="14">
        <f>A18+(Mainsheet!$C$20-Mainsheet!$C$18)/100</f>
        <v>2013.9487660827278</v>
      </c>
      <c r="B19" s="14">
        <f t="shared" si="0"/>
        <v>0.34812438949045549</v>
      </c>
      <c r="D19" s="15">
        <f t="shared" si="3"/>
        <v>6964.4045063689919</v>
      </c>
      <c r="E19" s="14">
        <f>E18+(Mainsheet!$E$22-Mainsheet!$E$20)/100</f>
        <v>0.18009250000000002</v>
      </c>
      <c r="F19" s="14">
        <f>F18*(G18/G19)^Mainsheet!$I$5</f>
        <v>6078.9665764018609</v>
      </c>
      <c r="G19" s="14">
        <f>G18+(Mainsheet!$E$24-Mainsheet!$E$22)/100</f>
        <v>0.3953425000000001</v>
      </c>
      <c r="I19" s="14">
        <f>I18-(Mainsheet!$C$24-Mainsheet!$C$26)/100</f>
        <v>3163.6023047574681</v>
      </c>
      <c r="J19" s="15">
        <f t="shared" si="4"/>
        <v>0.57399999999999995</v>
      </c>
      <c r="L19" s="14">
        <f t="shared" si="1"/>
        <v>2442.8734657059435</v>
      </c>
      <c r="M19" s="15">
        <f t="shared" si="5"/>
        <v>1</v>
      </c>
      <c r="N19" s="14">
        <f>N18+(Mainsheet!$D$22-Mainsheet!$D$20)/100</f>
        <v>4370.1638277465418</v>
      </c>
      <c r="O19" s="14">
        <f t="shared" si="6"/>
        <v>1.228157682660374</v>
      </c>
      <c r="P19" s="14">
        <f t="shared" si="2"/>
        <v>8373.7764589935668</v>
      </c>
      <c r="Q19" s="15">
        <f t="shared" si="7"/>
        <v>1.9204140401675889</v>
      </c>
      <c r="R19" s="14">
        <f>R18-(Mainsheet!$D$24-Mainsheet!$D$26)/100</f>
        <v>6327.2046095149371</v>
      </c>
      <c r="S19" s="14">
        <f>S18+Mainsheet!$I$6*LN(Data!R19/Data!R18)</f>
        <v>1.8263528923238319</v>
      </c>
    </row>
    <row r="20" spans="1:19" x14ac:dyDescent="0.3">
      <c r="A20" s="14">
        <f>A19+(Mainsheet!$C$20-Mainsheet!$C$18)/100</f>
        <v>2073.5928111464177</v>
      </c>
      <c r="B20" s="14">
        <f t="shared" si="0"/>
        <v>0.3409422605158019</v>
      </c>
      <c r="D20" s="15">
        <f t="shared" si="3"/>
        <v>6964.4045063689919</v>
      </c>
      <c r="E20" s="14">
        <f>E19+(Mainsheet!$E$22-Mainsheet!$E$20)/100</f>
        <v>0.18224500000000002</v>
      </c>
      <c r="F20" s="14">
        <f>F19*(G19/G20)^Mainsheet!$I$5</f>
        <v>6032.9305150456903</v>
      </c>
      <c r="G20" s="14">
        <f>G19+(Mainsheet!$E$24-Mainsheet!$E$22)/100</f>
        <v>0.3974950000000001</v>
      </c>
      <c r="I20" s="14">
        <f>I19-(Mainsheet!$C$24-Mainsheet!$C$26)/100</f>
        <v>3137.5348071097878</v>
      </c>
      <c r="J20" s="15">
        <f t="shared" si="4"/>
        <v>0.57399999999999995</v>
      </c>
      <c r="L20" s="14">
        <f t="shared" si="1"/>
        <v>2463.3289910159442</v>
      </c>
      <c r="M20" s="15">
        <f t="shared" si="5"/>
        <v>1</v>
      </c>
      <c r="N20" s="14">
        <f>N19+(Mainsheet!$D$22-Mainsheet!$D$20)/100</f>
        <v>4422.3968615443091</v>
      </c>
      <c r="O20" s="14">
        <f t="shared" si="6"/>
        <v>1.2400924765226171</v>
      </c>
      <c r="P20" s="14">
        <f t="shared" si="2"/>
        <v>8355.6087633382831</v>
      </c>
      <c r="Q20" s="15">
        <f t="shared" si="7"/>
        <v>1.9204140401675889</v>
      </c>
      <c r="R20" s="14">
        <f>R19-(Mainsheet!$D$24-Mainsheet!$D$26)/100</f>
        <v>6275.0696142195766</v>
      </c>
      <c r="S20" s="14">
        <f>S19+Mainsheet!$I$6*LN(Data!R20/Data!R19)</f>
        <v>1.820416333277308</v>
      </c>
    </row>
    <row r="21" spans="1:19" x14ac:dyDescent="0.3">
      <c r="A21" s="14">
        <f>A20+(Mainsheet!$C$20-Mainsheet!$C$18)/100</f>
        <v>2133.2368562101078</v>
      </c>
      <c r="B21" s="14">
        <f t="shared" si="0"/>
        <v>0.33410577251421547</v>
      </c>
      <c r="D21" s="15">
        <f t="shared" si="3"/>
        <v>6964.4045063689919</v>
      </c>
      <c r="E21" s="14">
        <f>E20+(Mainsheet!$E$22-Mainsheet!$E$20)/100</f>
        <v>0.18439750000000002</v>
      </c>
      <c r="F21" s="14">
        <f>F20*(G20/G21)^Mainsheet!$I$5</f>
        <v>5987.4888915433603</v>
      </c>
      <c r="G21" s="14">
        <f>G20+(Mainsheet!$E$24-Mainsheet!$E$22)/100</f>
        <v>0.3996475000000001</v>
      </c>
      <c r="I21" s="14">
        <f>I20-(Mainsheet!$C$24-Mainsheet!$C$26)/100</f>
        <v>3111.4673094621076</v>
      </c>
      <c r="J21" s="15">
        <f t="shared" si="4"/>
        <v>0.57399999999999995</v>
      </c>
      <c r="L21" s="14">
        <f t="shared" si="1"/>
        <v>2483.3684592330123</v>
      </c>
      <c r="M21" s="15">
        <f t="shared" si="5"/>
        <v>1</v>
      </c>
      <c r="N21" s="14">
        <f>N20+(Mainsheet!$D$22-Mainsheet!$D$20)/100</f>
        <v>4474.6298953420765</v>
      </c>
      <c r="O21" s="14">
        <f t="shared" si="6"/>
        <v>1.2518871325797454</v>
      </c>
      <c r="P21" s="14">
        <f t="shared" si="2"/>
        <v>8337.5782814741306</v>
      </c>
      <c r="Q21" s="15">
        <f t="shared" si="7"/>
        <v>1.9204140401675889</v>
      </c>
      <c r="R21" s="14">
        <f>R20-(Mainsheet!$D$24-Mainsheet!$D$26)/100</f>
        <v>6222.934618924216</v>
      </c>
      <c r="S21" s="14">
        <f>S20+Mainsheet!$I$6*LN(Data!R21/Data!R20)</f>
        <v>1.8144302453543573</v>
      </c>
    </row>
    <row r="22" spans="1:19" x14ac:dyDescent="0.3">
      <c r="A22" s="14">
        <f>A21+(Mainsheet!$C$20-Mainsheet!$C$18)/100</f>
        <v>2192.8809012737979</v>
      </c>
      <c r="B22" s="14">
        <f t="shared" si="0"/>
        <v>0.32758930700645739</v>
      </c>
      <c r="D22" s="15">
        <f t="shared" si="3"/>
        <v>6964.4045063689919</v>
      </c>
      <c r="E22" s="14">
        <f>E21+(Mainsheet!$E$22-Mainsheet!$E$20)/100</f>
        <v>0.18655000000000002</v>
      </c>
      <c r="F22" s="14">
        <f>F21*(G21/G22)^Mainsheet!$I$5</f>
        <v>5942.6308902680266</v>
      </c>
      <c r="G22" s="14">
        <f>G21+(Mainsheet!$E$24-Mainsheet!$E$22)/100</f>
        <v>0.4018000000000001</v>
      </c>
      <c r="I22" s="14">
        <f>I21-(Mainsheet!$C$24-Mainsheet!$C$26)/100</f>
        <v>3085.3998118144273</v>
      </c>
      <c r="J22" s="15">
        <f t="shared" si="4"/>
        <v>0.57399999999999995</v>
      </c>
      <c r="L22" s="14">
        <f t="shared" si="1"/>
        <v>2503.0116194981856</v>
      </c>
      <c r="M22" s="15">
        <f t="shared" si="5"/>
        <v>1</v>
      </c>
      <c r="N22" s="14">
        <f>N21+(Mainsheet!$D$22-Mainsheet!$D$20)/100</f>
        <v>4526.8629291398438</v>
      </c>
      <c r="O22" s="14">
        <f t="shared" si="6"/>
        <v>1.2635449036575948</v>
      </c>
      <c r="P22" s="14">
        <f t="shared" si="2"/>
        <v>8319.6832463752398</v>
      </c>
      <c r="Q22" s="15">
        <f t="shared" si="7"/>
        <v>1.9204140401675889</v>
      </c>
      <c r="R22" s="14">
        <f>R21-(Mainsheet!$D$24-Mainsheet!$D$26)/100</f>
        <v>6170.7996236288554</v>
      </c>
      <c r="S22" s="14">
        <f>S21+Mainsheet!$I$6*LN(Data!R22/Data!R21)</f>
        <v>1.8083937951554561</v>
      </c>
    </row>
    <row r="23" spans="1:19" x14ac:dyDescent="0.3">
      <c r="A23" s="14">
        <f>A22+(Mainsheet!$C$20-Mainsheet!$C$18)/100</f>
        <v>2252.524946337488</v>
      </c>
      <c r="B23" s="14">
        <f t="shared" si="0"/>
        <v>0.32136977485967544</v>
      </c>
      <c r="D23" s="15">
        <f t="shared" si="3"/>
        <v>6964.4045063689919</v>
      </c>
      <c r="E23" s="14">
        <f>E22+(Mainsheet!$E$22-Mainsheet!$E$20)/100</f>
        <v>0.18870250000000002</v>
      </c>
      <c r="F23" s="14">
        <f>F22*(G22/G23)^Mainsheet!$I$5</f>
        <v>5898.3459489028855</v>
      </c>
      <c r="G23" s="14">
        <f>G22+(Mainsheet!$E$24-Mainsheet!$E$22)/100</f>
        <v>0.4039525000000001</v>
      </c>
      <c r="I23" s="14">
        <f>I22-(Mainsheet!$C$24-Mainsheet!$C$26)/100</f>
        <v>3059.332314166747</v>
      </c>
      <c r="J23" s="15">
        <f t="shared" si="4"/>
        <v>0.57399999999999995</v>
      </c>
      <c r="L23" s="14">
        <f t="shared" si="1"/>
        <v>2522.2767765515018</v>
      </c>
      <c r="M23" s="15">
        <f t="shared" si="5"/>
        <v>1</v>
      </c>
      <c r="N23" s="14">
        <f>N22+(Mainsheet!$D$22-Mainsheet!$D$20)/100</f>
        <v>4579.0959629376111</v>
      </c>
      <c r="O23" s="14">
        <f t="shared" si="6"/>
        <v>1.2750689306250615</v>
      </c>
      <c r="P23" s="14">
        <f t="shared" si="2"/>
        <v>8301.9219230808139</v>
      </c>
      <c r="Q23" s="15">
        <f t="shared" si="7"/>
        <v>1.9204140401675889</v>
      </c>
      <c r="R23" s="14">
        <f>R22-(Mainsheet!$D$24-Mainsheet!$D$26)/100</f>
        <v>6118.6646283334949</v>
      </c>
      <c r="S23" s="14">
        <f>S22+Mainsheet!$I$6*LN(Data!R23/Data!R22)</f>
        <v>1.8023061280676371</v>
      </c>
    </row>
    <row r="24" spans="1:19" x14ac:dyDescent="0.3">
      <c r="A24" s="14">
        <f>A23+(Mainsheet!$C$20-Mainsheet!$C$18)/100</f>
        <v>2312.1689914011781</v>
      </c>
      <c r="B24" s="14">
        <f t="shared" si="0"/>
        <v>0.31542630753002227</v>
      </c>
      <c r="D24" s="15">
        <f t="shared" si="3"/>
        <v>6964.4045063689919</v>
      </c>
      <c r="E24" s="14">
        <f>E23+(Mainsheet!$E$22-Mainsheet!$E$20)/100</f>
        <v>0.19085500000000002</v>
      </c>
      <c r="F24" s="14">
        <f>F23*(G23/G24)^Mainsheet!$I$5</f>
        <v>5854.6237511986765</v>
      </c>
      <c r="G24" s="14">
        <f>G23+(Mainsheet!$E$24-Mainsheet!$E$22)/100</f>
        <v>0.4061050000000001</v>
      </c>
      <c r="I24" s="14">
        <f>I23-(Mainsheet!$C$24-Mainsheet!$C$26)/100</f>
        <v>3033.2648165190667</v>
      </c>
      <c r="J24" s="15">
        <f t="shared" si="4"/>
        <v>0.57399999999999995</v>
      </c>
      <c r="L24" s="14">
        <f t="shared" si="1"/>
        <v>2541.1809315090227</v>
      </c>
      <c r="M24" s="15">
        <f t="shared" si="5"/>
        <v>1</v>
      </c>
      <c r="N24" s="14">
        <f>N23+(Mainsheet!$D$22-Mainsheet!$D$20)/100</f>
        <v>4631.3289967353785</v>
      </c>
      <c r="O24" s="14">
        <f t="shared" si="6"/>
        <v>1.2864622474737137</v>
      </c>
      <c r="P24" s="14">
        <f t="shared" si="2"/>
        <v>8284.2926079461304</v>
      </c>
      <c r="Q24" s="15">
        <f t="shared" si="7"/>
        <v>1.9204140401675889</v>
      </c>
      <c r="R24" s="14">
        <f>R23-(Mainsheet!$D$24-Mainsheet!$D$26)/100</f>
        <v>6066.5296330381343</v>
      </c>
      <c r="S24" s="14">
        <f>S23+Mainsheet!$I$6*LN(Data!R24/Data!R23)</f>
        <v>1.7961663675383648</v>
      </c>
    </row>
    <row r="25" spans="1:19" x14ac:dyDescent="0.3">
      <c r="A25" s="14">
        <f>A24+(Mainsheet!$C$20-Mainsheet!$C$18)/100</f>
        <v>2371.8130364648682</v>
      </c>
      <c r="B25" s="14">
        <f t="shared" si="0"/>
        <v>0.30973999283773329</v>
      </c>
      <c r="D25" s="15">
        <f t="shared" si="3"/>
        <v>6964.4045063689919</v>
      </c>
      <c r="E25" s="14">
        <f>E24+(Mainsheet!$E$22-Mainsheet!$E$20)/100</f>
        <v>0.19300750000000003</v>
      </c>
      <c r="F25" s="14">
        <f>F24*(G24/G25)^Mainsheet!$I$5</f>
        <v>5811.4542199753123</v>
      </c>
      <c r="G25" s="14">
        <f>G24+(Mainsheet!$E$24-Mainsheet!$E$22)/100</f>
        <v>0.40825750000000011</v>
      </c>
      <c r="I25" s="14">
        <f>I24-(Mainsheet!$C$24-Mainsheet!$C$26)/100</f>
        <v>3007.1973188713864</v>
      </c>
      <c r="J25" s="15">
        <f t="shared" si="4"/>
        <v>0.57399999999999995</v>
      </c>
      <c r="L25" s="14">
        <f t="shared" si="1"/>
        <v>2559.7399056692361</v>
      </c>
      <c r="M25" s="15">
        <f t="shared" si="5"/>
        <v>1</v>
      </c>
      <c r="N25" s="14">
        <f>N24+(Mainsheet!$D$22-Mainsheet!$D$20)/100</f>
        <v>4683.5620305331458</v>
      </c>
      <c r="O25" s="14">
        <f t="shared" si="6"/>
        <v>1.2977277861125445</v>
      </c>
      <c r="P25" s="14">
        <f t="shared" si="2"/>
        <v>8266.7936279148853</v>
      </c>
      <c r="Q25" s="15">
        <f t="shared" si="7"/>
        <v>1.9204140401675889</v>
      </c>
      <c r="R25" s="14">
        <f>R24-(Mainsheet!$D$24-Mainsheet!$D$26)/100</f>
        <v>6014.3946377427737</v>
      </c>
      <c r="S25" s="14">
        <f>S24+Mainsheet!$I$6*LN(Data!R25/Data!R24)</f>
        <v>1.7899736143180738</v>
      </c>
    </row>
    <row r="26" spans="1:19" x14ac:dyDescent="0.3">
      <c r="A26" s="14">
        <f>A25+(Mainsheet!$C$20-Mainsheet!$C$18)/100</f>
        <v>2431.4570815285583</v>
      </c>
      <c r="B26" s="14">
        <f t="shared" si="0"/>
        <v>0.30429364791336522</v>
      </c>
      <c r="D26" s="15">
        <f t="shared" si="3"/>
        <v>6964.4045063689919</v>
      </c>
      <c r="E26" s="14">
        <f>E25+(Mainsheet!$E$22-Mainsheet!$E$20)/100</f>
        <v>0.19516000000000003</v>
      </c>
      <c r="F26" s="14">
        <f>F25*(G25/G26)^Mainsheet!$I$5</f>
        <v>5768.8275103581782</v>
      </c>
      <c r="G26" s="14">
        <f>G25+(Mainsheet!$E$24-Mainsheet!$E$22)/100</f>
        <v>0.41041000000000011</v>
      </c>
      <c r="I26" s="14">
        <f>I25-(Mainsheet!$C$24-Mainsheet!$C$26)/100</f>
        <v>2981.1298212237061</v>
      </c>
      <c r="J26" s="15">
        <f t="shared" si="4"/>
        <v>0.57399999999999995</v>
      </c>
      <c r="L26" s="14">
        <f t="shared" si="1"/>
        <v>2577.9684497669332</v>
      </c>
      <c r="M26" s="15">
        <f t="shared" si="5"/>
        <v>1</v>
      </c>
      <c r="N26" s="14">
        <f>N25+(Mainsheet!$D$22-Mainsheet!$D$20)/100</f>
        <v>4735.7950643309132</v>
      </c>
      <c r="O26" s="14">
        <f t="shared" si="6"/>
        <v>1.3088683808968262</v>
      </c>
      <c r="P26" s="14">
        <f t="shared" si="2"/>
        <v>8249.4233398121978</v>
      </c>
      <c r="Q26" s="15">
        <f t="shared" si="7"/>
        <v>1.9204140401675889</v>
      </c>
      <c r="R26" s="14">
        <f>R25-(Mainsheet!$D$24-Mainsheet!$D$26)/100</f>
        <v>5962.2596424474132</v>
      </c>
      <c r="S26" s="14">
        <f>S25+Mainsheet!$I$6*LN(Data!R26/Data!R25)</f>
        <v>1.7837269456697338</v>
      </c>
    </row>
    <row r="27" spans="1:19" x14ac:dyDescent="0.3">
      <c r="A27" s="14">
        <f>A26+(Mainsheet!$C$20-Mainsheet!$C$18)/100</f>
        <v>2491.1011265922484</v>
      </c>
      <c r="B27" s="14">
        <f t="shared" si="0"/>
        <v>0.29907162331839215</v>
      </c>
      <c r="D27" s="15">
        <f t="shared" si="3"/>
        <v>6964.4045063689919</v>
      </c>
      <c r="E27" s="14">
        <f>E26+(Mainsheet!$E$22-Mainsheet!$E$20)/100</f>
        <v>0.19731250000000003</v>
      </c>
      <c r="F27" s="14">
        <f>F26*(G26/G27)^Mainsheet!$I$5</f>
        <v>5726.7340032400343</v>
      </c>
      <c r="G27" s="14">
        <f>G26+(Mainsheet!$E$24-Mainsheet!$E$22)/100</f>
        <v>0.41256250000000011</v>
      </c>
      <c r="I27" s="14">
        <f>I26-(Mainsheet!$C$24-Mainsheet!$C$26)/100</f>
        <v>2955.0623235760258</v>
      </c>
      <c r="J27" s="15">
        <f t="shared" si="4"/>
        <v>0.57399999999999995</v>
      </c>
      <c r="L27" s="14">
        <f t="shared" si="1"/>
        <v>2595.8803406976281</v>
      </c>
      <c r="M27" s="15">
        <f t="shared" si="5"/>
        <v>1</v>
      </c>
      <c r="N27" s="14">
        <f>N26+(Mainsheet!$D$22-Mainsheet!$D$20)/100</f>
        <v>4788.0280981286805</v>
      </c>
      <c r="O27" s="14">
        <f t="shared" si="6"/>
        <v>1.3198867729085677</v>
      </c>
      <c r="P27" s="14">
        <f t="shared" si="2"/>
        <v>8232.1801296575522</v>
      </c>
      <c r="Q27" s="15">
        <f t="shared" si="7"/>
        <v>1.9204140401675889</v>
      </c>
      <c r="R27" s="14">
        <f>R26-(Mainsheet!$D$24-Mainsheet!$D$26)/100</f>
        <v>5910.1246471520526</v>
      </c>
      <c r="S27" s="14">
        <f>S26+Mainsheet!$I$6*LN(Data!R27/Data!R26)</f>
        <v>1.7774254145437027</v>
      </c>
    </row>
    <row r="28" spans="1:19" x14ac:dyDescent="0.3">
      <c r="A28" s="14">
        <f>A27+(Mainsheet!$C$20-Mainsheet!$C$18)/100</f>
        <v>2550.7451716559385</v>
      </c>
      <c r="B28" s="14">
        <f t="shared" si="0"/>
        <v>0.2940596334288369</v>
      </c>
      <c r="D28" s="15">
        <f t="shared" si="3"/>
        <v>6964.4045063689919</v>
      </c>
      <c r="E28" s="14">
        <f>E27+(Mainsheet!$E$22-Mainsheet!$E$20)/100</f>
        <v>0.19946500000000003</v>
      </c>
      <c r="F28" s="14">
        <f>F27*(G27/G28)^Mainsheet!$I$5</f>
        <v>5685.1642989598804</v>
      </c>
      <c r="G28" s="14">
        <f>G27+(Mainsheet!$E$24-Mainsheet!$E$22)/100</f>
        <v>0.41471500000000011</v>
      </c>
      <c r="I28" s="14">
        <f>I27-(Mainsheet!$C$24-Mainsheet!$C$26)/100</f>
        <v>2928.9948259283456</v>
      </c>
      <c r="J28" s="15">
        <f t="shared" si="4"/>
        <v>0.57399999999999995</v>
      </c>
      <c r="L28" s="14">
        <f t="shared" si="1"/>
        <v>2613.4884674129653</v>
      </c>
      <c r="M28" s="15">
        <f t="shared" si="5"/>
        <v>1</v>
      </c>
      <c r="N28" s="14">
        <f>N27+(Mainsheet!$D$22-Mainsheet!$D$20)/100</f>
        <v>4840.2611319264479</v>
      </c>
      <c r="O28" s="14">
        <f t="shared" si="6"/>
        <v>1.3307856140047418</v>
      </c>
      <c r="P28" s="14">
        <f t="shared" si="2"/>
        <v>8215.0624119970307</v>
      </c>
      <c r="Q28" s="15">
        <f t="shared" si="7"/>
        <v>1.9204140401675889</v>
      </c>
      <c r="R28" s="14">
        <f>R27-(Mainsheet!$D$24-Mainsheet!$D$26)/100</f>
        <v>5857.989651856692</v>
      </c>
      <c r="S28" s="14">
        <f>S27+Mainsheet!$I$6*LN(Data!R28/Data!R27)</f>
        <v>1.7710680487160231</v>
      </c>
    </row>
    <row r="29" spans="1:19" x14ac:dyDescent="0.3">
      <c r="A29" s="14">
        <f>A28+(Mainsheet!$C$20-Mainsheet!$C$18)/100</f>
        <v>2610.3892167196286</v>
      </c>
      <c r="B29" s="14">
        <f t="shared" si="0"/>
        <v>0.28924460903923571</v>
      </c>
      <c r="D29" s="15">
        <f t="shared" si="3"/>
        <v>6964.4045063689919</v>
      </c>
      <c r="E29" s="14">
        <f>E28+(Mainsheet!$E$22-Mainsheet!$E$20)/100</f>
        <v>0.20161750000000003</v>
      </c>
      <c r="F29" s="14">
        <f>F28*(G28/G29)^Mainsheet!$I$5</f>
        <v>5644.1092111904936</v>
      </c>
      <c r="G29" s="14">
        <f>G28+(Mainsheet!$E$24-Mainsheet!$E$22)/100</f>
        <v>0.41686750000000011</v>
      </c>
      <c r="I29" s="14">
        <f>I28-(Mainsheet!$C$24-Mainsheet!$C$26)/100</f>
        <v>2902.9273282806653</v>
      </c>
      <c r="J29" s="15">
        <f t="shared" si="4"/>
        <v>0.57399999999999995</v>
      </c>
      <c r="L29" s="14">
        <f t="shared" si="1"/>
        <v>2630.8049074226683</v>
      </c>
      <c r="M29" s="15">
        <f t="shared" si="5"/>
        <v>1</v>
      </c>
      <c r="N29" s="14">
        <f>N28+(Mainsheet!$D$22-Mainsheet!$D$20)/100</f>
        <v>4892.4941657242152</v>
      </c>
      <c r="O29" s="14">
        <f t="shared" si="6"/>
        <v>1.3415674706482446</v>
      </c>
      <c r="P29" s="14">
        <f t="shared" si="2"/>
        <v>8198.0686292541959</v>
      </c>
      <c r="Q29" s="15">
        <f t="shared" si="7"/>
        <v>1.9204140401675889</v>
      </c>
      <c r="R29" s="14">
        <f>R28-(Mainsheet!$D$24-Mainsheet!$D$26)/100</f>
        <v>5805.8546565613315</v>
      </c>
      <c r="S29" s="14">
        <f>S28+Mainsheet!$I$6*LN(Data!R29/Data!R28)</f>
        <v>1.7646538498882001</v>
      </c>
    </row>
    <row r="30" spans="1:19" x14ac:dyDescent="0.3">
      <c r="A30" s="14">
        <f>A29+(Mainsheet!$C$20-Mainsheet!$C$18)/100</f>
        <v>2670.0332617833187</v>
      </c>
      <c r="B30" s="14">
        <f t="shared" si="0"/>
        <v>0.2846145688431948</v>
      </c>
      <c r="D30" s="15">
        <f t="shared" si="3"/>
        <v>6964.4045063689919</v>
      </c>
      <c r="E30" s="14">
        <f>E29+(Mainsheet!$E$22-Mainsheet!$E$20)/100</f>
        <v>0.20377000000000003</v>
      </c>
      <c r="F30" s="14">
        <f>F29*(G29/G30)^Mainsheet!$I$5</f>
        <v>5603.5597610267132</v>
      </c>
      <c r="G30" s="14">
        <f>G29+(Mainsheet!$E$24-Mainsheet!$E$22)/100</f>
        <v>0.41902000000000011</v>
      </c>
      <c r="I30" s="14">
        <f>I29-(Mainsheet!$C$24-Mainsheet!$C$26)/100</f>
        <v>2876.859830632985</v>
      </c>
      <c r="J30" s="15">
        <f t="shared" si="4"/>
        <v>0.57399999999999995</v>
      </c>
      <c r="L30" s="14">
        <f t="shared" si="1"/>
        <v>2647.8409951200292</v>
      </c>
      <c r="M30" s="15">
        <f t="shared" si="5"/>
        <v>1</v>
      </c>
      <c r="N30" s="14">
        <f>N29+(Mainsheet!$D$22-Mainsheet!$D$20)/100</f>
        <v>4944.7271995219826</v>
      </c>
      <c r="O30" s="14">
        <f t="shared" si="6"/>
        <v>1.3522348275354286</v>
      </c>
      <c r="P30" s="14">
        <f t="shared" si="2"/>
        <v>8181.1972510990054</v>
      </c>
      <c r="Q30" s="15">
        <f t="shared" si="7"/>
        <v>1.9204140401675889</v>
      </c>
      <c r="R30" s="14">
        <f>R29-(Mainsheet!$D$24-Mainsheet!$D$26)/100</f>
        <v>5753.7196612659709</v>
      </c>
      <c r="S30" s="14">
        <f>S29+Mainsheet!$I$6*LN(Data!R30/Data!R29)</f>
        <v>1.758181792746377</v>
      </c>
    </row>
    <row r="31" spans="1:19" x14ac:dyDescent="0.3">
      <c r="A31" s="14">
        <f>A30+(Mainsheet!$C$20-Mainsheet!$C$18)/100</f>
        <v>2729.6773068470088</v>
      </c>
      <c r="B31" s="14">
        <f t="shared" si="0"/>
        <v>0.28015850701224532</v>
      </c>
      <c r="D31" s="15">
        <f t="shared" si="3"/>
        <v>6964.4045063689919</v>
      </c>
      <c r="E31" s="14">
        <f>E30+(Mainsheet!$E$22-Mainsheet!$E$20)/100</f>
        <v>0.20592250000000004</v>
      </c>
      <c r="F31" s="14">
        <f>F30*(G30/G31)^Mainsheet!$I$5</f>
        <v>5563.5071712668941</v>
      </c>
      <c r="G31" s="14">
        <f>G30+(Mainsheet!$E$24-Mainsheet!$E$22)/100</f>
        <v>0.42117250000000012</v>
      </c>
      <c r="I31" s="14">
        <f>I30-(Mainsheet!$C$24-Mainsheet!$C$26)/100</f>
        <v>2850.7923329853047</v>
      </c>
      <c r="J31" s="15">
        <f t="shared" si="4"/>
        <v>0.57399999999999995</v>
      </c>
      <c r="L31" s="14">
        <f t="shared" si="1"/>
        <v>2664.6073829667757</v>
      </c>
      <c r="M31" s="15">
        <f t="shared" si="5"/>
        <v>1</v>
      </c>
      <c r="N31" s="14">
        <f>N30+(Mainsheet!$D$22-Mainsheet!$D$20)/100</f>
        <v>4996.9602333197499</v>
      </c>
      <c r="O31" s="14">
        <f t="shared" si="6"/>
        <v>1.3627900910330364</v>
      </c>
      <c r="P31" s="14">
        <f t="shared" si="2"/>
        <v>8164.4467738341709</v>
      </c>
      <c r="Q31" s="15">
        <f t="shared" si="7"/>
        <v>1.9204140401675889</v>
      </c>
      <c r="R31" s="14">
        <f>R30-(Mainsheet!$D$24-Mainsheet!$D$26)/100</f>
        <v>5701.5846659706103</v>
      </c>
      <c r="S31" s="14">
        <f>S30+Mainsheet!$I$6*LN(Data!R31/Data!R30)</f>
        <v>1.7516508239776909</v>
      </c>
    </row>
    <row r="32" spans="1:19" x14ac:dyDescent="0.3">
      <c r="A32" s="14">
        <f>A31+(Mainsheet!$C$20-Mainsheet!$C$18)/100</f>
        <v>2789.3213519106989</v>
      </c>
      <c r="B32" s="14">
        <f t="shared" si="0"/>
        <v>0.27586629455444533</v>
      </c>
      <c r="D32" s="15">
        <f t="shared" si="3"/>
        <v>6964.4045063689919</v>
      </c>
      <c r="E32" s="14">
        <f>E31+(Mainsheet!$E$22-Mainsheet!$E$20)/100</f>
        <v>0.20807500000000004</v>
      </c>
      <c r="F32" s="14">
        <f>F31*(G31/G32)^Mainsheet!$I$5</f>
        <v>5523.9428608802627</v>
      </c>
      <c r="G32" s="14">
        <f>G31+(Mainsheet!$E$24-Mainsheet!$E$22)/100</f>
        <v>0.42332500000000012</v>
      </c>
      <c r="I32" s="14">
        <f>I31-(Mainsheet!$C$24-Mainsheet!$C$26)/100</f>
        <v>2824.7248353376244</v>
      </c>
      <c r="J32" s="15">
        <f t="shared" si="4"/>
        <v>0.57399999999999995</v>
      </c>
      <c r="L32" s="14">
        <f t="shared" si="1"/>
        <v>2681.1140964223018</v>
      </c>
      <c r="M32" s="15">
        <f t="shared" si="5"/>
        <v>1</v>
      </c>
      <c r="N32" s="14">
        <f>N31+(Mainsheet!$D$22-Mainsheet!$D$20)/100</f>
        <v>5049.1932671175173</v>
      </c>
      <c r="O32" s="14">
        <f t="shared" si="6"/>
        <v>1.373235592436429</v>
      </c>
      <c r="P32" s="14">
        <f t="shared" si="2"/>
        <v>8147.815719798391</v>
      </c>
      <c r="Q32" s="15">
        <f t="shared" si="7"/>
        <v>1.9204140401675889</v>
      </c>
      <c r="R32" s="14">
        <f>R31-(Mainsheet!$D$24-Mainsheet!$D$26)/100</f>
        <v>5649.4496706752498</v>
      </c>
      <c r="S32" s="14">
        <f>S31+Mainsheet!$I$6*LN(Data!R32/Data!R31)</f>
        <v>1.7450598612414476</v>
      </c>
    </row>
    <row r="33" spans="1:19" x14ac:dyDescent="0.3">
      <c r="A33" s="14">
        <f>A32+(Mainsheet!$C$20-Mainsheet!$C$18)/100</f>
        <v>2848.965396974389</v>
      </c>
      <c r="B33" s="14">
        <f t="shared" si="0"/>
        <v>0.27172859250978759</v>
      </c>
      <c r="D33" s="15">
        <f t="shared" si="3"/>
        <v>6964.4045063689919</v>
      </c>
      <c r="E33" s="14">
        <f>E32+(Mainsheet!$E$22-Mainsheet!$E$20)/100</f>
        <v>0.21022750000000004</v>
      </c>
      <c r="F33" s="14">
        <f>F32*(G32/G33)^Mainsheet!$I$5</f>
        <v>5484.8584396532297</v>
      </c>
      <c r="G33" s="14">
        <f>G32+(Mainsheet!$E$24-Mainsheet!$E$22)/100</f>
        <v>0.42547750000000012</v>
      </c>
      <c r="I33" s="14">
        <f>I32-(Mainsheet!$C$24-Mainsheet!$C$26)/100</f>
        <v>2798.6573376899441</v>
      </c>
      <c r="J33" s="15">
        <f t="shared" si="4"/>
        <v>0.57399999999999995</v>
      </c>
      <c r="L33" s="14">
        <f t="shared" si="1"/>
        <v>2697.3705833760946</v>
      </c>
      <c r="M33" s="15">
        <f t="shared" si="5"/>
        <v>1</v>
      </c>
      <c r="N33" s="14">
        <f>N32+(Mainsheet!$D$22-Mainsheet!$D$20)/100</f>
        <v>5101.4263009152846</v>
      </c>
      <c r="O33" s="14">
        <f t="shared" si="6"/>
        <v>1.383573591060141</v>
      </c>
      <c r="P33" s="14">
        <f t="shared" si="2"/>
        <v>8131.3026367859165</v>
      </c>
      <c r="Q33" s="15">
        <f t="shared" si="7"/>
        <v>1.9204140401675889</v>
      </c>
      <c r="R33" s="14">
        <f>R32-(Mainsheet!$D$24-Mainsheet!$D$26)/100</f>
        <v>5597.3146753798892</v>
      </c>
      <c r="S33" s="14">
        <f>S32+Mainsheet!$I$6*LN(Data!R33/Data!R32)</f>
        <v>1.7384077920926029</v>
      </c>
    </row>
    <row r="34" spans="1:19" x14ac:dyDescent="0.3">
      <c r="A34" s="14">
        <f>A33+(Mainsheet!$C$20-Mainsheet!$C$18)/100</f>
        <v>2908.6094420380791</v>
      </c>
      <c r="B34" s="14">
        <f t="shared" si="0"/>
        <v>0.26773677534775608</v>
      </c>
      <c r="D34" s="15">
        <f t="shared" si="3"/>
        <v>6964.4045063689919</v>
      </c>
      <c r="E34" s="14">
        <f>E33+(Mainsheet!$E$22-Mainsheet!$E$20)/100</f>
        <v>0.21238000000000004</v>
      </c>
      <c r="F34" s="14">
        <f>F33*(G33/G34)^Mainsheet!$I$5</f>
        <v>5446.2457030079913</v>
      </c>
      <c r="G34" s="14">
        <f>G33+(Mainsheet!$E$24-Mainsheet!$E$22)/100</f>
        <v>0.42763000000000012</v>
      </c>
      <c r="I34" s="14">
        <f>I33-(Mainsheet!$C$24-Mainsheet!$C$26)/100</f>
        <v>2772.5898400422639</v>
      </c>
      <c r="J34" s="15">
        <f t="shared" si="4"/>
        <v>0.57399999999999995</v>
      </c>
      <c r="L34" s="14">
        <f t="shared" si="1"/>
        <v>2713.3857587362768</v>
      </c>
      <c r="M34" s="15">
        <f t="shared" si="5"/>
        <v>1</v>
      </c>
      <c r="N34" s="14">
        <f>N33+(Mainsheet!$D$22-Mainsheet!$D$20)/100</f>
        <v>5153.659334713052</v>
      </c>
      <c r="O34" s="14">
        <f t="shared" si="6"/>
        <v>1.3938062771710154</v>
      </c>
      <c r="P34" s="14">
        <f t="shared" si="2"/>
        <v>8114.9060974819104</v>
      </c>
      <c r="Q34" s="15">
        <f t="shared" si="7"/>
        <v>1.9204140401675889</v>
      </c>
      <c r="R34" s="14">
        <f>R33-(Mainsheet!$D$24-Mainsheet!$D$26)/100</f>
        <v>5545.1796800845286</v>
      </c>
      <c r="S34" s="14">
        <f>S33+Mainsheet!$I$6*LN(Data!R34/Data!R33)</f>
        <v>1.7316934728548719</v>
      </c>
    </row>
    <row r="35" spans="1:19" x14ac:dyDescent="0.3">
      <c r="A35" s="14">
        <f>A34+(Mainsheet!$C$20-Mainsheet!$C$18)/100</f>
        <v>2968.2534871017692</v>
      </c>
      <c r="B35" s="14">
        <f t="shared" ref="B35:B66" si="8">0.287*L35/A35</f>
        <v>0.26388286318651832</v>
      </c>
      <c r="D35" s="15">
        <f t="shared" si="3"/>
        <v>6964.4045063689919</v>
      </c>
      <c r="E35" s="14">
        <f>E34+(Mainsheet!$E$22-Mainsheet!$E$20)/100</f>
        <v>0.21453250000000004</v>
      </c>
      <c r="F35" s="14">
        <f>F34*(G34/G35)^Mainsheet!$I$5</f>
        <v>5408.0966269870451</v>
      </c>
      <c r="G35" s="14">
        <f>G34+(Mainsheet!$E$24-Mainsheet!$E$22)/100</f>
        <v>0.42978250000000012</v>
      </c>
      <c r="I35" s="14">
        <f>I34-(Mainsheet!$C$24-Mainsheet!$C$26)/100</f>
        <v>2746.5223423945836</v>
      </c>
      <c r="J35" s="15">
        <f t="shared" si="4"/>
        <v>0.57399999999999995</v>
      </c>
      <c r="L35" s="14">
        <f t="shared" ref="L35:L66" si="9">L34*(A35/A34)^(0.4/1.4)</f>
        <v>2729.1680447379172</v>
      </c>
      <c r="M35" s="15">
        <f t="shared" si="5"/>
        <v>1</v>
      </c>
      <c r="N35" s="14">
        <f>N34+(Mainsheet!$D$22-Mainsheet!$D$20)/100</f>
        <v>5205.8923685108193</v>
      </c>
      <c r="O35" s="14">
        <f t="shared" si="6"/>
        <v>1.4039357747734411</v>
      </c>
      <c r="P35" s="14">
        <f t="shared" ref="P35:P66" si="10">P34*(F35/F34)^(0.4/1.4)</f>
        <v>8098.6246989131032</v>
      </c>
      <c r="Q35" s="15">
        <f t="shared" si="7"/>
        <v>1.9204140401675889</v>
      </c>
      <c r="R35" s="14">
        <f>R34-(Mainsheet!$D$24-Mainsheet!$D$26)/100</f>
        <v>5493.0446847891681</v>
      </c>
      <c r="S35" s="14">
        <f>S34+Mainsheet!$I$6*LN(Data!R35/Data!R34)</f>
        <v>1.7249157274406119</v>
      </c>
    </row>
    <row r="36" spans="1:19" x14ac:dyDescent="0.3">
      <c r="A36" s="14">
        <f>A35+(Mainsheet!$C$20-Mainsheet!$C$18)/100</f>
        <v>3027.8975321654593</v>
      </c>
      <c r="B36" s="14">
        <f t="shared" si="8"/>
        <v>0.26015946166362841</v>
      </c>
      <c r="D36" s="15">
        <f t="shared" si="3"/>
        <v>6964.4045063689919</v>
      </c>
      <c r="E36" s="14">
        <f>E35+(Mainsheet!$E$22-Mainsheet!$E$20)/100</f>
        <v>0.21668500000000004</v>
      </c>
      <c r="F36" s="14">
        <f>F35*(G35/G36)^Mainsheet!$I$5</f>
        <v>5370.4033633975114</v>
      </c>
      <c r="G36" s="14">
        <f>G35+(Mainsheet!$E$24-Mainsheet!$E$22)/100</f>
        <v>0.43193500000000012</v>
      </c>
      <c r="I36" s="14">
        <f>I35-(Mainsheet!$C$24-Mainsheet!$C$26)/100</f>
        <v>2720.4548447469033</v>
      </c>
      <c r="J36" s="15">
        <f t="shared" si="4"/>
        <v>0.57399999999999995</v>
      </c>
      <c r="L36" s="14">
        <f t="shared" si="9"/>
        <v>2744.7254074592161</v>
      </c>
      <c r="M36" s="15">
        <f t="shared" si="5"/>
        <v>1</v>
      </c>
      <c r="N36" s="14">
        <f>N35+(Mainsheet!$D$22-Mainsheet!$D$20)/100</f>
        <v>5258.1254023085867</v>
      </c>
      <c r="O36" s="14">
        <f t="shared" si="6"/>
        <v>1.4139641442555531</v>
      </c>
      <c r="P36" s="14">
        <f t="shared" si="10"/>
        <v>8082.4570619132583</v>
      </c>
      <c r="Q36" s="15">
        <f t="shared" si="7"/>
        <v>1.9204140401675889</v>
      </c>
      <c r="R36" s="14">
        <f>R35-(Mainsheet!$D$24-Mainsheet!$D$26)/100</f>
        <v>5440.9096894938075</v>
      </c>
      <c r="S36" s="14">
        <f>S35+Mainsheet!$I$6*LN(Data!R36/Data!R35)</f>
        <v>1.7180733461144329</v>
      </c>
    </row>
    <row r="37" spans="1:19" x14ac:dyDescent="0.3">
      <c r="A37" s="14">
        <f>A36+(Mainsheet!$C$20-Mainsheet!$C$18)/100</f>
        <v>3087.5415772291494</v>
      </c>
      <c r="B37" s="14">
        <f t="shared" si="8"/>
        <v>0.25655970846298753</v>
      </c>
      <c r="D37" s="15">
        <f t="shared" si="3"/>
        <v>6964.4045063689919</v>
      </c>
      <c r="E37" s="14">
        <f>E36+(Mainsheet!$E$22-Mainsheet!$E$20)/100</f>
        <v>0.21883750000000005</v>
      </c>
      <c r="F37" s="14">
        <f>F36*(G36/G37)^Mainsheet!$I$5</f>
        <v>5333.1582351093975</v>
      </c>
      <c r="G37" s="14">
        <f>G36+(Mainsheet!$E$24-Mainsheet!$E$22)/100</f>
        <v>0.43408750000000013</v>
      </c>
      <c r="I37" s="14">
        <f>I36-(Mainsheet!$C$24-Mainsheet!$C$26)/100</f>
        <v>2694.387347099223</v>
      </c>
      <c r="J37" s="15">
        <f t="shared" si="4"/>
        <v>0.57399999999999995</v>
      </c>
      <c r="L37" s="14">
        <f t="shared" si="9"/>
        <v>2760.065389969559</v>
      </c>
      <c r="M37" s="15">
        <f t="shared" si="5"/>
        <v>1</v>
      </c>
      <c r="N37" s="14">
        <f>N36+(Mainsheet!$D$22-Mainsheet!$D$20)/100</f>
        <v>5310.358436106354</v>
      </c>
      <c r="O37" s="14">
        <f t="shared" si="6"/>
        <v>1.4238933849046413</v>
      </c>
      <c r="P37" s="14">
        <f t="shared" si="10"/>
        <v>8066.4018306029666</v>
      </c>
      <c r="Q37" s="15">
        <f t="shared" si="7"/>
        <v>1.9204140401675889</v>
      </c>
      <c r="R37" s="14">
        <f>R36-(Mainsheet!$D$24-Mainsheet!$D$26)/100</f>
        <v>5388.7746941984469</v>
      </c>
      <c r="S37" s="14">
        <f>S36+Mainsheet!$I$6*LN(Data!R37/Data!R36)</f>
        <v>1.711165084197283</v>
      </c>
    </row>
    <row r="38" spans="1:19" x14ac:dyDescent="0.3">
      <c r="A38" s="14">
        <f>A37+(Mainsheet!$C$20-Mainsheet!$C$18)/100</f>
        <v>3147.1856222928395</v>
      </c>
      <c r="B38" s="14">
        <f t="shared" si="8"/>
        <v>0.25307722564871987</v>
      </c>
      <c r="D38" s="15">
        <f t="shared" si="3"/>
        <v>6964.4045063689919</v>
      </c>
      <c r="E38" s="14">
        <f>E37+(Mainsheet!$E$22-Mainsheet!$E$20)/100</f>
        <v>0.22099000000000005</v>
      </c>
      <c r="F38" s="14">
        <f>F37*(G37/G38)^Mainsheet!$I$5</f>
        <v>5296.3537315021849</v>
      </c>
      <c r="G38" s="14">
        <f>G37+(Mainsheet!$E$24-Mainsheet!$E$22)/100</f>
        <v>0.43624000000000013</v>
      </c>
      <c r="I38" s="14">
        <f>I37-(Mainsheet!$C$24-Mainsheet!$C$26)/100</f>
        <v>2668.3198494515427</v>
      </c>
      <c r="J38" s="15">
        <f t="shared" si="4"/>
        <v>0.57399999999999995</v>
      </c>
      <c r="L38" s="14">
        <f t="shared" si="9"/>
        <v>2775.1951424787867</v>
      </c>
      <c r="M38" s="15">
        <f t="shared" si="5"/>
        <v>1</v>
      </c>
      <c r="N38" s="14">
        <f>N37+(Mainsheet!$D$22-Mainsheet!$D$20)/100</f>
        <v>5362.5914699041214</v>
      </c>
      <c r="O38" s="14">
        <f t="shared" si="6"/>
        <v>1.4337254372994519</v>
      </c>
      <c r="P38" s="14">
        <f t="shared" si="10"/>
        <v>8050.4576718833241</v>
      </c>
      <c r="Q38" s="15">
        <f t="shared" si="7"/>
        <v>1.9204140401675889</v>
      </c>
      <c r="R38" s="14">
        <f>R37-(Mainsheet!$D$24-Mainsheet!$D$26)/100</f>
        <v>5336.6396989030864</v>
      </c>
      <c r="S38" s="14">
        <f>S37+Mainsheet!$I$6*LN(Data!R38/Data!R37)</f>
        <v>1.7041896607075404</v>
      </c>
    </row>
    <row r="39" spans="1:19" x14ac:dyDescent="0.3">
      <c r="A39" s="14">
        <f>A38+(Mainsheet!$C$20-Mainsheet!$C$18)/100</f>
        <v>3206.8296673565296</v>
      </c>
      <c r="B39" s="14">
        <f t="shared" si="8"/>
        <v>0.24970607707881717</v>
      </c>
      <c r="D39" s="15">
        <f t="shared" si="3"/>
        <v>6964.4045063689919</v>
      </c>
      <c r="E39" s="14">
        <f>E38+(Mainsheet!$E$22-Mainsheet!$E$20)/100</f>
        <v>0.22314250000000005</v>
      </c>
      <c r="F39" s="14">
        <f>F38*(G38/G39)^Mainsheet!$I$5</f>
        <v>5259.982504054371</v>
      </c>
      <c r="G39" s="14">
        <f>G38+(Mainsheet!$E$24-Mainsheet!$E$22)/100</f>
        <v>0.43839250000000013</v>
      </c>
      <c r="I39" s="14">
        <f>I38-(Mainsheet!$C$24-Mainsheet!$C$26)/100</f>
        <v>2642.2523518038624</v>
      </c>
      <c r="J39" s="15">
        <f t="shared" si="4"/>
        <v>0.57399999999999995</v>
      </c>
      <c r="L39" s="14">
        <f t="shared" si="9"/>
        <v>2790.1214498103391</v>
      </c>
      <c r="M39" s="15">
        <f t="shared" si="5"/>
        <v>1</v>
      </c>
      <c r="N39" s="14">
        <f>N38+(Mainsheet!$D$22-Mainsheet!$D$20)/100</f>
        <v>5414.8245037018887</v>
      </c>
      <c r="O39" s="14">
        <f t="shared" si="6"/>
        <v>1.443462185586537</v>
      </c>
      <c r="P39" s="14">
        <f t="shared" si="10"/>
        <v>8034.6232749430555</v>
      </c>
      <c r="Q39" s="15">
        <f t="shared" si="7"/>
        <v>1.9204140401675889</v>
      </c>
      <c r="R39" s="14">
        <f>R38-(Mainsheet!$D$24-Mainsheet!$D$26)/100</f>
        <v>5284.5047036077258</v>
      </c>
      <c r="S39" s="14">
        <f>S38+Mainsheet!$I$6*LN(Data!R39/Data!R38)</f>
        <v>1.6971457569353972</v>
      </c>
    </row>
    <row r="40" spans="1:19" x14ac:dyDescent="0.3">
      <c r="A40" s="14">
        <f>A39+(Mainsheet!$C$20-Mainsheet!$C$18)/100</f>
        <v>3266.4737124202197</v>
      </c>
      <c r="B40" s="14">
        <f t="shared" si="8"/>
        <v>0.24644073027410821</v>
      </c>
      <c r="D40" s="15">
        <f t="shared" si="3"/>
        <v>6964.4045063689919</v>
      </c>
      <c r="E40" s="14">
        <f>E39+(Mainsheet!$E$22-Mainsheet!$E$20)/100</f>
        <v>0.22529500000000005</v>
      </c>
      <c r="F40" s="14">
        <f>F39*(G39/G40)^Mainsheet!$I$5</f>
        <v>5224.0373620707842</v>
      </c>
      <c r="G40" s="14">
        <f>G39+(Mainsheet!$E$24-Mainsheet!$E$22)/100</f>
        <v>0.44054500000000013</v>
      </c>
      <c r="I40" s="14">
        <f>I39-(Mainsheet!$C$24-Mainsheet!$C$26)/100</f>
        <v>2616.1848541561822</v>
      </c>
      <c r="J40" s="15">
        <f t="shared" si="4"/>
        <v>0.57399999999999995</v>
      </c>
      <c r="L40" s="14">
        <f t="shared" si="9"/>
        <v>2804.8507564808929</v>
      </c>
      <c r="M40" s="15">
        <f t="shared" si="5"/>
        <v>1</v>
      </c>
      <c r="N40" s="14">
        <f>N39+(Mainsheet!$D$22-Mainsheet!$D$20)/100</f>
        <v>5467.0575374996561</v>
      </c>
      <c r="O40" s="14">
        <f t="shared" si="6"/>
        <v>1.4531054596473367</v>
      </c>
      <c r="P40" s="14">
        <f t="shared" si="10"/>
        <v>8018.8973507786568</v>
      </c>
      <c r="Q40" s="15">
        <f t="shared" si="7"/>
        <v>1.9204140401675889</v>
      </c>
      <c r="R40" s="14">
        <f>R39-(Mainsheet!$D$24-Mainsheet!$D$26)/100</f>
        <v>5232.3697083123652</v>
      </c>
      <c r="S40" s="14">
        <f>S39+Mainsheet!$I$6*LN(Data!R40/Data!R39)</f>
        <v>1.6900320149465684</v>
      </c>
    </row>
    <row r="41" spans="1:19" x14ac:dyDescent="0.3">
      <c r="A41" s="14">
        <f>A40+(Mainsheet!$C$20-Mainsheet!$C$18)/100</f>
        <v>3326.1177574839098</v>
      </c>
      <c r="B41" s="14">
        <f t="shared" si="8"/>
        <v>0.24327602220471398</v>
      </c>
      <c r="D41" s="15">
        <f t="shared" si="3"/>
        <v>6964.4045063689919</v>
      </c>
      <c r="E41" s="14">
        <f>E40+(Mainsheet!$E$22-Mainsheet!$E$20)/100</f>
        <v>0.22744750000000005</v>
      </c>
      <c r="F41" s="14">
        <f>F40*(G40/G41)^Mainsheet!$I$5</f>
        <v>5188.5112685427293</v>
      </c>
      <c r="G41" s="14">
        <f>G40+(Mainsheet!$E$24-Mainsheet!$E$22)/100</f>
        <v>0.44269750000000013</v>
      </c>
      <c r="I41" s="14">
        <f>I40-(Mainsheet!$C$24-Mainsheet!$C$26)/100</f>
        <v>2590.1173565085019</v>
      </c>
      <c r="J41" s="15">
        <f t="shared" si="4"/>
        <v>0.57399999999999995</v>
      </c>
      <c r="L41" s="14">
        <f t="shared" si="9"/>
        <v>2819.3891896346663</v>
      </c>
      <c r="M41" s="15">
        <f t="shared" si="5"/>
        <v>1</v>
      </c>
      <c r="N41" s="14">
        <f>N40+(Mainsheet!$D$22-Mainsheet!$D$20)/100</f>
        <v>5519.2905712974234</v>
      </c>
      <c r="O41" s="14">
        <f t="shared" si="6"/>
        <v>1.4626570371622245</v>
      </c>
      <c r="P41" s="14">
        <f t="shared" si="10"/>
        <v>8003.2786317271639</v>
      </c>
      <c r="Q41" s="15">
        <f t="shared" si="7"/>
        <v>1.9204140401675889</v>
      </c>
      <c r="R41" s="14">
        <f>R40-(Mainsheet!$D$24-Mainsheet!$D$26)/100</f>
        <v>5180.2347130170047</v>
      </c>
      <c r="S41" s="14">
        <f>S40+Mainsheet!$I$6*LN(Data!R41/Data!R40)</f>
        <v>1.6828470360110797</v>
      </c>
    </row>
    <row r="42" spans="1:19" x14ac:dyDescent="0.3">
      <c r="A42" s="14">
        <f>A41+(Mainsheet!$C$20-Mainsheet!$C$18)/100</f>
        <v>3385.7618025475999</v>
      </c>
      <c r="B42" s="14">
        <f t="shared" si="8"/>
        <v>0.24020712852943529</v>
      </c>
      <c r="D42" s="15">
        <f t="shared" si="3"/>
        <v>6964.4045063689919</v>
      </c>
      <c r="E42" s="14">
        <f>E41+(Mainsheet!$E$22-Mainsheet!$E$20)/100</f>
        <v>0.22960000000000005</v>
      </c>
      <c r="F42" s="14">
        <f>F41*(G41/G42)^Mainsheet!$I$5</f>
        <v>5153.3973361362159</v>
      </c>
      <c r="G42" s="14">
        <f>G41+(Mainsheet!$E$24-Mainsheet!$E$22)/100</f>
        <v>0.44485000000000013</v>
      </c>
      <c r="I42" s="14">
        <f>I41-(Mainsheet!$C$24-Mainsheet!$C$26)/100</f>
        <v>2564.0498588608216</v>
      </c>
      <c r="J42" s="15">
        <f t="shared" si="4"/>
        <v>0.57399999999999995</v>
      </c>
      <c r="L42" s="14">
        <f t="shared" si="9"/>
        <v>2833.7425800508845</v>
      </c>
      <c r="M42" s="15">
        <f t="shared" si="5"/>
        <v>1</v>
      </c>
      <c r="N42" s="14">
        <f>N41+(Mainsheet!$D$22-Mainsheet!$D$20)/100</f>
        <v>5571.5236050951908</v>
      </c>
      <c r="O42" s="14">
        <f t="shared" si="6"/>
        <v>1.4721186455773403</v>
      </c>
      <c r="P42" s="14">
        <f t="shared" si="10"/>
        <v>7987.7658710111382</v>
      </c>
      <c r="Q42" s="15">
        <f t="shared" si="7"/>
        <v>1.9204140401675889</v>
      </c>
      <c r="R42" s="14">
        <f>R41-(Mainsheet!$D$24-Mainsheet!$D$26)/100</f>
        <v>5128.0997177216441</v>
      </c>
      <c r="S42" s="14">
        <f>S41+Mainsheet!$I$6*LN(Data!R42/Data!R41)</f>
        <v>1.675589378952586</v>
      </c>
    </row>
    <row r="43" spans="1:19" x14ac:dyDescent="0.3">
      <c r="A43" s="14">
        <f>A42+(Mainsheet!$C$20-Mainsheet!$C$18)/100</f>
        <v>3445.40584761129</v>
      </c>
      <c r="B43" s="14">
        <f t="shared" si="8"/>
        <v>0.2372295358857088</v>
      </c>
      <c r="D43" s="15">
        <f t="shared" si="3"/>
        <v>6964.4045063689919</v>
      </c>
      <c r="E43" s="14">
        <f>E42+(Mainsheet!$E$22-Mainsheet!$E$20)/100</f>
        <v>0.23175250000000006</v>
      </c>
      <c r="F43" s="14">
        <f>F42*(G42/G43)^Mainsheet!$I$5</f>
        <v>5118.6888233036943</v>
      </c>
      <c r="G43" s="14">
        <f>G42+(Mainsheet!$E$24-Mainsheet!$E$22)/100</f>
        <v>0.44700250000000014</v>
      </c>
      <c r="I43" s="14">
        <f>I42-(Mainsheet!$C$24-Mainsheet!$C$26)/100</f>
        <v>2537.9823612131413</v>
      </c>
      <c r="J43" s="15">
        <f t="shared" si="4"/>
        <v>0.57399999999999995</v>
      </c>
      <c r="L43" s="14">
        <f t="shared" si="9"/>
        <v>2847.91648141719</v>
      </c>
      <c r="M43" s="15">
        <f t="shared" si="5"/>
        <v>1</v>
      </c>
      <c r="N43" s="14">
        <f>N42+(Mainsheet!$D$22-Mainsheet!$D$20)/100</f>
        <v>5623.7566388929581</v>
      </c>
      <c r="O43" s="14">
        <f t="shared" si="6"/>
        <v>1.4814919639796544</v>
      </c>
      <c r="P43" s="14">
        <f t="shared" si="10"/>
        <v>7972.357842295507</v>
      </c>
      <c r="Q43" s="15">
        <f t="shared" si="7"/>
        <v>1.9204140401675889</v>
      </c>
      <c r="R43" s="14">
        <f>R42-(Mainsheet!$D$24-Mainsheet!$D$26)/100</f>
        <v>5075.9647224262835</v>
      </c>
      <c r="S43" s="14">
        <f>S42+Mainsheet!$I$6*LN(Data!R43/Data!R42)</f>
        <v>1.6682575584133483</v>
      </c>
    </row>
    <row r="44" spans="1:19" x14ac:dyDescent="0.3">
      <c r="A44" s="14">
        <f>A43+(Mainsheet!$C$20-Mainsheet!$C$18)/100</f>
        <v>3505.0498926749801</v>
      </c>
      <c r="B44" s="14">
        <f t="shared" si="8"/>
        <v>0.2343390168807247</v>
      </c>
      <c r="D44" s="15">
        <f t="shared" si="3"/>
        <v>6964.4045063689919</v>
      </c>
      <c r="E44" s="14">
        <f>E43+(Mainsheet!$E$22-Mainsheet!$E$20)/100</f>
        <v>0.23390500000000006</v>
      </c>
      <c r="F44" s="14">
        <f>F43*(G43/G44)^Mainsheet!$I$5</f>
        <v>5084.3791305149407</v>
      </c>
      <c r="G44" s="14">
        <f>G43+(Mainsheet!$E$24-Mainsheet!$E$22)/100</f>
        <v>0.44915500000000014</v>
      </c>
      <c r="I44" s="14">
        <f>I43-(Mainsheet!$C$24-Mainsheet!$C$26)/100</f>
        <v>2511.914863565461</v>
      </c>
      <c r="J44" s="15">
        <f t="shared" si="4"/>
        <v>0.57399999999999995</v>
      </c>
      <c r="L44" s="14">
        <f t="shared" si="9"/>
        <v>2861.9161880395282</v>
      </c>
      <c r="M44" s="15">
        <f t="shared" si="5"/>
        <v>1</v>
      </c>
      <c r="N44" s="14">
        <f>N43+(Mainsheet!$D$22-Mainsheet!$D$20)/100</f>
        <v>5675.9896726907255</v>
      </c>
      <c r="O44" s="14">
        <f t="shared" si="6"/>
        <v>1.4907786248853536</v>
      </c>
      <c r="P44" s="14">
        <f t="shared" si="10"/>
        <v>7957.0533392558855</v>
      </c>
      <c r="Q44" s="15">
        <f t="shared" si="7"/>
        <v>1.9204140401675889</v>
      </c>
      <c r="R44" s="14">
        <f>R43-(Mainsheet!$D$24-Mainsheet!$D$26)/100</f>
        <v>5023.8297271309229</v>
      </c>
      <c r="S44" s="14">
        <f>S43+Mainsheet!$I$6*LN(Data!R44/Data!R43)</f>
        <v>1.6608500430296451</v>
      </c>
    </row>
    <row r="45" spans="1:19" x14ac:dyDescent="0.3">
      <c r="A45" s="14">
        <f>A44+(Mainsheet!$C$20-Mainsheet!$C$18)/100</f>
        <v>3564.6939377386702</v>
      </c>
      <c r="B45" s="14">
        <f t="shared" si="8"/>
        <v>0.23153160747950416</v>
      </c>
      <c r="D45" s="15">
        <f t="shared" si="3"/>
        <v>6964.4045063689919</v>
      </c>
      <c r="E45" s="14">
        <f>E44+(Mainsheet!$E$22-Mainsheet!$E$20)/100</f>
        <v>0.23605750000000006</v>
      </c>
      <c r="F45" s="14">
        <f>F44*(G44/G45)^Mainsheet!$I$5</f>
        <v>5050.4617966028818</v>
      </c>
      <c r="G45" s="14">
        <f>G44+(Mainsheet!$E$24-Mainsheet!$E$22)/100</f>
        <v>0.45130750000000014</v>
      </c>
      <c r="I45" s="14">
        <f>I44-(Mainsheet!$C$24-Mainsheet!$C$26)/100</f>
        <v>2485.8473659177807</v>
      </c>
      <c r="J45" s="15">
        <f t="shared" si="4"/>
        <v>0.57399999999999995</v>
      </c>
      <c r="L45" s="14">
        <f t="shared" si="9"/>
        <v>2875.7467511396444</v>
      </c>
      <c r="M45" s="15">
        <f t="shared" si="5"/>
        <v>1</v>
      </c>
      <c r="N45" s="14">
        <f>N44+(Mainsheet!$D$22-Mainsheet!$D$20)/100</f>
        <v>5728.2227064884928</v>
      </c>
      <c r="O45" s="14">
        <f t="shared" si="6"/>
        <v>1.4999802159463118</v>
      </c>
      <c r="P45" s="14">
        <f t="shared" si="10"/>
        <v>7941.8511751580345</v>
      </c>
      <c r="Q45" s="15">
        <f t="shared" si="7"/>
        <v>1.9204140401675889</v>
      </c>
      <c r="R45" s="14">
        <f>R44-(Mainsheet!$D$24-Mainsheet!$D$26)/100</f>
        <v>4971.6947318355624</v>
      </c>
      <c r="S45" s="14">
        <f>S44+Mainsheet!$I$6*LN(Data!R45/Data!R44)</f>
        <v>1.65336525351201</v>
      </c>
    </row>
    <row r="46" spans="1:19" x14ac:dyDescent="0.3">
      <c r="A46" s="14">
        <f>A45+(Mainsheet!$C$20-Mainsheet!$C$18)/100</f>
        <v>3624.3379828023603</v>
      </c>
      <c r="B46" s="14">
        <f t="shared" si="8"/>
        <v>0.22880358652445046</v>
      </c>
      <c r="D46" s="15">
        <f t="shared" si="3"/>
        <v>6964.4045063689919</v>
      </c>
      <c r="E46" s="14">
        <f>E45+(Mainsheet!$E$22-Mainsheet!$E$20)/100</f>
        <v>0.23821000000000006</v>
      </c>
      <c r="F46" s="14">
        <f>F45*(G45/G46)^Mainsheet!$I$5</f>
        <v>5016.9304952203256</v>
      </c>
      <c r="G46" s="14">
        <f>G45+(Mainsheet!$E$24-Mainsheet!$E$22)/100</f>
        <v>0.45346000000000014</v>
      </c>
      <c r="I46" s="14">
        <f>I45-(Mainsheet!$C$24-Mainsheet!$C$26)/100</f>
        <v>2459.7798682701005</v>
      </c>
      <c r="J46" s="15">
        <f t="shared" si="4"/>
        <v>0.57399999999999995</v>
      </c>
      <c r="L46" s="14">
        <f t="shared" si="9"/>
        <v>2889.4129938744672</v>
      </c>
      <c r="M46" s="15">
        <f t="shared" si="5"/>
        <v>1</v>
      </c>
      <c r="N46" s="14">
        <f>N45+(Mainsheet!$D$22-Mainsheet!$D$20)/100</f>
        <v>5780.4557402862602</v>
      </c>
      <c r="O46" s="14">
        <f t="shared" si="6"/>
        <v>1.5090982815791085</v>
      </c>
      <c r="P46" s="14">
        <f t="shared" si="10"/>
        <v>7926.7501824481169</v>
      </c>
      <c r="Q46" s="15">
        <f t="shared" si="7"/>
        <v>1.9204140401675889</v>
      </c>
      <c r="R46" s="14">
        <f>R45-(Mainsheet!$D$24-Mainsheet!$D$26)/100</f>
        <v>4919.5597365402018</v>
      </c>
      <c r="S46" s="14">
        <f>S45+Mainsheet!$I$6*LN(Data!R46/Data!R45)</f>
        <v>1.6458015606242775</v>
      </c>
    </row>
    <row r="47" spans="1:19" x14ac:dyDescent="0.3">
      <c r="A47" s="14">
        <f>A46+(Mainsheet!$C$20-Mainsheet!$C$18)/100</f>
        <v>3683.9820278660504</v>
      </c>
      <c r="B47" s="14">
        <f t="shared" si="8"/>
        <v>0.22615145715412222</v>
      </c>
      <c r="D47" s="15">
        <f t="shared" si="3"/>
        <v>6964.4045063689919</v>
      </c>
      <c r="E47" s="14">
        <f>E46+(Mainsheet!$E$22-Mainsheet!$E$20)/100</f>
        <v>0.24036250000000006</v>
      </c>
      <c r="F47" s="14">
        <f>F46*(G46/G47)^Mainsheet!$I$5</f>
        <v>4983.7790314037238</v>
      </c>
      <c r="G47" s="14">
        <f>G46+(Mainsheet!$E$24-Mainsheet!$E$22)/100</f>
        <v>0.45561250000000014</v>
      </c>
      <c r="I47" s="14">
        <f>I46-(Mainsheet!$C$24-Mainsheet!$C$26)/100</f>
        <v>2433.7123706224202</v>
      </c>
      <c r="J47" s="15">
        <f t="shared" si="4"/>
        <v>0.57399999999999995</v>
      </c>
      <c r="L47" s="14">
        <f t="shared" si="9"/>
        <v>2902.9195251968831</v>
      </c>
      <c r="M47" s="15">
        <f t="shared" si="5"/>
        <v>1</v>
      </c>
      <c r="N47" s="14">
        <f>N46+(Mainsheet!$D$22-Mainsheet!$D$20)/100</f>
        <v>5832.6887740840275</v>
      </c>
      <c r="O47" s="14">
        <f t="shared" si="6"/>
        <v>1.518134324520775</v>
      </c>
      <c r="P47" s="14">
        <f t="shared" si="10"/>
        <v>7911.7492123534139</v>
      </c>
      <c r="Q47" s="15">
        <f t="shared" si="7"/>
        <v>1.9204140401675889</v>
      </c>
      <c r="R47" s="14">
        <f>R46-(Mainsheet!$D$24-Mainsheet!$D$26)/100</f>
        <v>4867.4247412448412</v>
      </c>
      <c r="S47" s="14">
        <f>S46+Mainsheet!$I$6*LN(Data!R47/Data!R46)</f>
        <v>1.6381572830549669</v>
      </c>
    </row>
    <row r="48" spans="1:19" x14ac:dyDescent="0.3">
      <c r="A48" s="14">
        <f>A47+(Mainsheet!$C$20-Mainsheet!$C$18)/100</f>
        <v>3743.6260729297405</v>
      </c>
      <c r="B48" s="14">
        <f t="shared" si="8"/>
        <v>0.22357192991759053</v>
      </c>
      <c r="D48" s="15">
        <f t="shared" si="3"/>
        <v>6964.4045063689919</v>
      </c>
      <c r="E48" s="14">
        <f>E47+(Mainsheet!$E$22-Mainsheet!$E$20)/100</f>
        <v>0.24251500000000006</v>
      </c>
      <c r="F48" s="14">
        <f>F47*(G47/G48)^Mainsheet!$I$5</f>
        <v>4951.0013382402503</v>
      </c>
      <c r="G48" s="14">
        <f>G47+(Mainsheet!$E$24-Mainsheet!$E$22)/100</f>
        <v>0.45776500000000014</v>
      </c>
      <c r="I48" s="14">
        <f>I47-(Mainsheet!$C$24-Mainsheet!$C$26)/100</f>
        <v>2407.6448729747399</v>
      </c>
      <c r="J48" s="15">
        <f t="shared" si="4"/>
        <v>0.57399999999999995</v>
      </c>
      <c r="L48" s="14">
        <f t="shared" si="9"/>
        <v>2916.270752664504</v>
      </c>
      <c r="M48" s="15">
        <f t="shared" si="5"/>
        <v>1</v>
      </c>
      <c r="N48" s="14">
        <f>N47+(Mainsheet!$D$22-Mainsheet!$D$20)/100</f>
        <v>5884.9218078817948</v>
      </c>
      <c r="O48" s="14">
        <f t="shared" si="6"/>
        <v>1.5270898073151882</v>
      </c>
      <c r="P48" s="14">
        <f t="shared" si="10"/>
        <v>7896.8471344932022</v>
      </c>
      <c r="Q48" s="15">
        <f t="shared" si="7"/>
        <v>1.9204140401675889</v>
      </c>
      <c r="R48" s="14">
        <f>R47-(Mainsheet!$D$24-Mainsheet!$D$26)/100</f>
        <v>4815.2897459494807</v>
      </c>
      <c r="S48" s="14">
        <f>S47+Mainsheet!$I$6*LN(Data!R48/Data!R47)</f>
        <v>1.6304306851740478</v>
      </c>
    </row>
    <row r="49" spans="1:19" x14ac:dyDescent="0.3">
      <c r="A49" s="14">
        <f>A48+(Mainsheet!$C$20-Mainsheet!$C$18)/100</f>
        <v>3803.2701179934306</v>
      </c>
      <c r="B49" s="14">
        <f t="shared" si="8"/>
        <v>0.22106190740543166</v>
      </c>
      <c r="D49" s="15">
        <f t="shared" si="3"/>
        <v>6964.4045063689919</v>
      </c>
      <c r="E49" s="14">
        <f>E48+(Mainsheet!$E$22-Mainsheet!$E$20)/100</f>
        <v>0.24466750000000007</v>
      </c>
      <c r="F49" s="14">
        <f>F48*(G48/G49)^Mainsheet!$I$5</f>
        <v>4918.591473634614</v>
      </c>
      <c r="G49" s="14">
        <f>G48+(Mainsheet!$E$24-Mainsheet!$E$22)/100</f>
        <v>0.45991750000000015</v>
      </c>
      <c r="I49" s="14">
        <f>I48-(Mainsheet!$C$24-Mainsheet!$C$26)/100</f>
        <v>2381.5773753270596</v>
      </c>
      <c r="J49" s="15">
        <f t="shared" si="4"/>
        <v>0.57399999999999995</v>
      </c>
      <c r="L49" s="14">
        <f t="shared" si="9"/>
        <v>2929.4708942916691</v>
      </c>
      <c r="M49" s="15">
        <f t="shared" si="5"/>
        <v>1</v>
      </c>
      <c r="N49" s="14">
        <f>N48+(Mainsheet!$D$22-Mainsheet!$D$20)/100</f>
        <v>5937.1548416795622</v>
      </c>
      <c r="O49" s="14">
        <f t="shared" si="6"/>
        <v>1.5359661537337883</v>
      </c>
      <c r="P49" s="14">
        <f t="shared" si="10"/>
        <v>7882.0428364994714</v>
      </c>
      <c r="Q49" s="15">
        <f t="shared" si="7"/>
        <v>1.9204140401675889</v>
      </c>
      <c r="R49" s="14">
        <f>R48-(Mainsheet!$D$24-Mainsheet!$D$26)/100</f>
        <v>4763.1547506541201</v>
      </c>
      <c r="S49" s="14">
        <f>S48+Mainsheet!$I$6*LN(Data!R49/Data!R48)</f>
        <v>1.6226199746676009</v>
      </c>
    </row>
    <row r="50" spans="1:19" x14ac:dyDescent="0.3">
      <c r="A50" s="14">
        <f>A49+(Mainsheet!$C$20-Mainsheet!$C$18)/100</f>
        <v>3862.9141630571207</v>
      </c>
      <c r="B50" s="14">
        <f t="shared" si="8"/>
        <v>0.21861847023977296</v>
      </c>
      <c r="D50" s="15">
        <f t="shared" si="3"/>
        <v>6964.4045063689919</v>
      </c>
      <c r="E50" s="14">
        <f>E49+(Mainsheet!$E$22-Mainsheet!$E$20)/100</f>
        <v>0.24682000000000007</v>
      </c>
      <c r="F50" s="14">
        <f>F49*(G49/G50)^Mainsheet!$I$5</f>
        <v>4886.5436171721758</v>
      </c>
      <c r="G50" s="14">
        <f>G49+(Mainsheet!$E$24-Mainsheet!$E$22)/100</f>
        <v>0.46207000000000015</v>
      </c>
      <c r="I50" s="14">
        <f>I49-(Mainsheet!$C$24-Mainsheet!$C$26)/100</f>
        <v>2355.5098776793793</v>
      </c>
      <c r="J50" s="15">
        <f t="shared" si="4"/>
        <v>0.57399999999999995</v>
      </c>
      <c r="L50" s="14">
        <f t="shared" si="9"/>
        <v>2942.5239895299674</v>
      </c>
      <c r="M50" s="15">
        <f t="shared" si="5"/>
        <v>1</v>
      </c>
      <c r="N50" s="14">
        <f>N49+(Mainsheet!$D$22-Mainsheet!$D$20)/100</f>
        <v>5989.3878754773295</v>
      </c>
      <c r="O50" s="14">
        <f t="shared" si="6"/>
        <v>1.5447647501340744</v>
      </c>
      <c r="P50" s="14">
        <f t="shared" si="10"/>
        <v>7867.3352236472056</v>
      </c>
      <c r="Q50" s="15">
        <f t="shared" si="7"/>
        <v>1.9204140401675889</v>
      </c>
      <c r="R50" s="14">
        <f>R49-(Mainsheet!$D$24-Mainsheet!$D$26)/100</f>
        <v>4711.0197553587595</v>
      </c>
      <c r="S50" s="14">
        <f>S49+Mainsheet!$I$6*LN(Data!R50/Data!R49)</f>
        <v>1.6147233000423094</v>
      </c>
    </row>
    <row r="51" spans="1:19" x14ac:dyDescent="0.3">
      <c r="A51" s="14">
        <f>A50+(Mainsheet!$C$20-Mainsheet!$C$18)/100</f>
        <v>3922.5582081208108</v>
      </c>
      <c r="B51" s="14">
        <f t="shared" si="8"/>
        <v>0.21623886428433192</v>
      </c>
      <c r="D51" s="15">
        <f t="shared" si="3"/>
        <v>6964.4045063689919</v>
      </c>
      <c r="E51" s="14">
        <f>E50+(Mainsheet!$E$22-Mainsheet!$E$20)/100</f>
        <v>0.24897250000000007</v>
      </c>
      <c r="F51" s="14">
        <f>F50*(G50/G51)^Mainsheet!$I$5</f>
        <v>4854.8520670750704</v>
      </c>
      <c r="G51" s="14">
        <f>G50+(Mainsheet!$E$24-Mainsheet!$E$22)/100</f>
        <v>0.46422250000000015</v>
      </c>
      <c r="I51" s="14">
        <f>I50-(Mainsheet!$C$24-Mainsheet!$C$26)/100</f>
        <v>2329.442380031699</v>
      </c>
      <c r="J51" s="15">
        <f t="shared" si="4"/>
        <v>0.57399999999999995</v>
      </c>
      <c r="L51" s="14">
        <f t="shared" si="9"/>
        <v>2955.4339094537572</v>
      </c>
      <c r="M51" s="15">
        <f t="shared" si="5"/>
        <v>1</v>
      </c>
      <c r="N51" s="14">
        <f>N50+(Mainsheet!$D$22-Mainsheet!$D$20)/100</f>
        <v>6041.6209092750969</v>
      </c>
      <c r="O51" s="14">
        <f t="shared" si="6"/>
        <v>1.5534869467591159</v>
      </c>
      <c r="P51" s="14">
        <f t="shared" si="10"/>
        <v>7852.7232184939294</v>
      </c>
      <c r="Q51" s="15">
        <f t="shared" si="7"/>
        <v>1.9204140401675889</v>
      </c>
      <c r="R51" s="14">
        <f>R50-(Mainsheet!$D$24-Mainsheet!$D$26)/100</f>
        <v>4658.884760063399</v>
      </c>
      <c r="S51" s="14">
        <f>S50+Mainsheet!$I$6*LN(Data!R51/Data!R50)</f>
        <v>1.6067387479910895</v>
      </c>
    </row>
    <row r="52" spans="1:19" x14ac:dyDescent="0.3">
      <c r="A52" s="14">
        <f>A51+(Mainsheet!$C$20-Mainsheet!$C$18)/100</f>
        <v>3982.2022531845009</v>
      </c>
      <c r="B52" s="14">
        <f t="shared" si="8"/>
        <v>0.2139204889514936</v>
      </c>
      <c r="D52" s="15">
        <f t="shared" si="3"/>
        <v>6964.4045063689919</v>
      </c>
      <c r="E52" s="14">
        <f>E51+(Mainsheet!$E$22-Mainsheet!$E$20)/100</f>
        <v>0.25112500000000004</v>
      </c>
      <c r="F52" s="14">
        <f>F51*(G51/G52)^Mainsheet!$I$5</f>
        <v>4823.5112372481499</v>
      </c>
      <c r="G52" s="14">
        <f>G51+(Mainsheet!$E$24-Mainsheet!$E$22)/100</f>
        <v>0.46637500000000015</v>
      </c>
      <c r="I52" s="14">
        <f>I51-(Mainsheet!$C$24-Mainsheet!$C$26)/100</f>
        <v>2303.3748823840187</v>
      </c>
      <c r="J52" s="15">
        <f t="shared" si="4"/>
        <v>0.57399999999999995</v>
      </c>
      <c r="L52" s="14">
        <f t="shared" si="9"/>
        <v>2968.2043662194005</v>
      </c>
      <c r="M52" s="15">
        <f t="shared" si="5"/>
        <v>1</v>
      </c>
      <c r="N52" s="14">
        <f>N51+(Mainsheet!$D$22-Mainsheet!$D$20)/100</f>
        <v>6093.8539430728642</v>
      </c>
      <c r="O52" s="14">
        <f t="shared" si="6"/>
        <v>1.5621340589811308</v>
      </c>
      <c r="P52" s="14">
        <f t="shared" si="10"/>
        <v>7838.2057605282462</v>
      </c>
      <c r="Q52" s="15">
        <f t="shared" si="7"/>
        <v>1.9204140401675889</v>
      </c>
      <c r="R52" s="14">
        <f>R51-(Mainsheet!$D$24-Mainsheet!$D$26)/100</f>
        <v>4606.7497647680384</v>
      </c>
      <c r="S52" s="14">
        <f>S51+Mainsheet!$I$6*LN(Data!R52/Data!R51)</f>
        <v>1.5986643406104848</v>
      </c>
    </row>
    <row r="53" spans="1:19" x14ac:dyDescent="0.3">
      <c r="A53" s="14">
        <f>A52+(Mainsheet!$C$20-Mainsheet!$C$18)/100</f>
        <v>4041.846298248191</v>
      </c>
      <c r="B53" s="14">
        <f t="shared" si="8"/>
        <v>0.21166088649749581</v>
      </c>
      <c r="D53" s="15">
        <f t="shared" si="3"/>
        <v>6964.4045063689919</v>
      </c>
      <c r="E53" s="14">
        <f>E52+(Mainsheet!$E$22-Mainsheet!$E$20)/100</f>
        <v>0.25327750000000004</v>
      </c>
      <c r="F53" s="14">
        <f>F52*(G52/G53)^Mainsheet!$I$5</f>
        <v>4792.515654411709</v>
      </c>
      <c r="G53" s="14">
        <f>G52+(Mainsheet!$E$24-Mainsheet!$E$22)/100</f>
        <v>0.46852750000000015</v>
      </c>
      <c r="I53" s="14">
        <f>I52-(Mainsheet!$C$24-Mainsheet!$C$26)/100</f>
        <v>2277.3073847363385</v>
      </c>
      <c r="J53" s="15">
        <f t="shared" si="4"/>
        <v>0.57399999999999995</v>
      </c>
      <c r="L53" s="14">
        <f t="shared" si="9"/>
        <v>2980.8389218600487</v>
      </c>
      <c r="M53" s="15">
        <f t="shared" si="5"/>
        <v>1</v>
      </c>
      <c r="N53" s="14">
        <f>N52+(Mainsheet!$D$22-Mainsheet!$D$20)/100</f>
        <v>6146.0869768706316</v>
      </c>
      <c r="O53" s="14">
        <f t="shared" si="6"/>
        <v>1.5707073684919923</v>
      </c>
      <c r="P53" s="14">
        <f t="shared" si="10"/>
        <v>7823.7818058271178</v>
      </c>
      <c r="Q53" s="15">
        <f t="shared" si="7"/>
        <v>1.9204140401675889</v>
      </c>
      <c r="R53" s="14">
        <f>R52-(Mainsheet!$D$24-Mainsheet!$D$26)/100</f>
        <v>4554.6147694726778</v>
      </c>
      <c r="S53" s="14">
        <f>S52+Mainsheet!$I$6*LN(Data!R53/Data!R52)</f>
        <v>1.590498032459698</v>
      </c>
    </row>
    <row r="54" spans="1:19" x14ac:dyDescent="0.3">
      <c r="A54" s="14">
        <f>A53+(Mainsheet!$C$20-Mainsheet!$C$18)/100</f>
        <v>4101.4903433118807</v>
      </c>
      <c r="B54" s="14">
        <f t="shared" si="8"/>
        <v>0.20945773220904063</v>
      </c>
      <c r="D54" s="15">
        <f t="shared" si="3"/>
        <v>6964.4045063689919</v>
      </c>
      <c r="E54" s="14">
        <f>E53+(Mainsheet!$E$22-Mainsheet!$E$20)/100</f>
        <v>0.25543000000000005</v>
      </c>
      <c r="F54" s="14">
        <f>F53*(G53/G54)^Mainsheet!$I$5</f>
        <v>4761.8599553180538</v>
      </c>
      <c r="G54" s="14">
        <f>G53+(Mainsheet!$E$24-Mainsheet!$E$22)/100</f>
        <v>0.47068000000000015</v>
      </c>
      <c r="I54" s="14">
        <f>I53-(Mainsheet!$C$24-Mainsheet!$C$26)/100</f>
        <v>2251.2398870886582</v>
      </c>
      <c r="J54" s="15">
        <f t="shared" si="4"/>
        <v>0.57399999999999995</v>
      </c>
      <c r="L54" s="14">
        <f t="shared" si="9"/>
        <v>2993.3409964717284</v>
      </c>
      <c r="M54" s="15">
        <f t="shared" si="5"/>
        <v>1</v>
      </c>
      <c r="N54" s="14">
        <f>N53+(Mainsheet!$D$22-Mainsheet!$D$20)/100</f>
        <v>6198.3200106683989</v>
      </c>
      <c r="O54" s="14">
        <f t="shared" si="6"/>
        <v>1.5792081244433605</v>
      </c>
      <c r="P54" s="14">
        <f t="shared" si="10"/>
        <v>7809.4503267216105</v>
      </c>
      <c r="Q54" s="15">
        <f t="shared" si="7"/>
        <v>1.9204140401675889</v>
      </c>
      <c r="R54" s="14">
        <f>R53-(Mainsheet!$D$24-Mainsheet!$D$26)/100</f>
        <v>4502.4797741773173</v>
      </c>
      <c r="S54" s="14">
        <f>S53+Mainsheet!$I$6*LN(Data!R54/Data!R53)</f>
        <v>1.5822377074503233</v>
      </c>
    </row>
    <row r="55" spans="1:19" x14ac:dyDescent="0.3">
      <c r="A55" s="14">
        <f>A54+(Mainsheet!$C$20-Mainsheet!$C$18)/100</f>
        <v>4161.1343883755708</v>
      </c>
      <c r="B55" s="14">
        <f t="shared" si="8"/>
        <v>0.20730882539536072</v>
      </c>
      <c r="D55" s="15">
        <f t="shared" si="3"/>
        <v>6964.4045063689919</v>
      </c>
      <c r="E55" s="14">
        <f>E54+(Mainsheet!$E$22-Mainsheet!$E$20)/100</f>
        <v>0.25758250000000005</v>
      </c>
      <c r="F55" s="14">
        <f>F54*(G54/G55)^Mainsheet!$I$5</f>
        <v>4731.5388840490878</v>
      </c>
      <c r="G55" s="14">
        <f>G54+(Mainsheet!$E$24-Mainsheet!$E$22)/100</f>
        <v>0.47283250000000016</v>
      </c>
      <c r="I55" s="14">
        <f>I54-(Mainsheet!$C$24-Mainsheet!$C$26)/100</f>
        <v>2225.1723894409779</v>
      </c>
      <c r="J55" s="15">
        <f t="shared" si="4"/>
        <v>0.57399999999999995</v>
      </c>
      <c r="L55" s="14">
        <f t="shared" si="9"/>
        <v>3005.7138758410533</v>
      </c>
      <c r="M55" s="15">
        <f t="shared" si="5"/>
        <v>1</v>
      </c>
      <c r="N55" s="14">
        <f>N54+(Mainsheet!$D$22-Mainsheet!$D$20)/100</f>
        <v>6250.5530444661663</v>
      </c>
      <c r="O55" s="14">
        <f t="shared" si="6"/>
        <v>1.5876375445389719</v>
      </c>
      <c r="P55" s="14">
        <f t="shared" si="10"/>
        <v>7795.2103114708743</v>
      </c>
      <c r="Q55" s="15">
        <f t="shared" si="7"/>
        <v>1.9204140401675889</v>
      </c>
      <c r="R55" s="14">
        <f>R54-(Mainsheet!$D$24-Mainsheet!$D$26)/100</f>
        <v>4450.3447788819567</v>
      </c>
      <c r="S55" s="14">
        <f>S54+Mainsheet!$I$6*LN(Data!R55/Data!R54)</f>
        <v>1.573881175554946</v>
      </c>
    </row>
    <row r="56" spans="1:19" x14ac:dyDescent="0.3">
      <c r="A56" s="14">
        <f>A55+(Mainsheet!$C$20-Mainsheet!$C$18)/100</f>
        <v>4220.7784334392609</v>
      </c>
      <c r="B56" s="14">
        <f t="shared" si="8"/>
        <v>0.20521208110916186</v>
      </c>
      <c r="D56" s="15">
        <f t="shared" si="3"/>
        <v>6964.4045063689919</v>
      </c>
      <c r="E56" s="14">
        <f>E55+(Mainsheet!$E$22-Mainsheet!$E$20)/100</f>
        <v>0.25973500000000005</v>
      </c>
      <c r="F56" s="14">
        <f>F55*(G55/G56)^Mainsheet!$I$5</f>
        <v>4701.5472893922088</v>
      </c>
      <c r="G56" s="14">
        <f>G55+(Mainsheet!$E$24-Mainsheet!$E$22)/100</f>
        <v>0.47498500000000016</v>
      </c>
      <c r="I56" s="14">
        <f>I55-(Mainsheet!$C$24-Mainsheet!$C$26)/100</f>
        <v>2199.1048917932976</v>
      </c>
      <c r="J56" s="15">
        <f t="shared" si="4"/>
        <v>0.57399999999999995</v>
      </c>
      <c r="L56" s="14">
        <f t="shared" si="9"/>
        <v>3017.9607185600653</v>
      </c>
      <c r="M56" s="15">
        <f t="shared" si="5"/>
        <v>1</v>
      </c>
      <c r="N56" s="14">
        <f>N55+(Mainsheet!$D$22-Mainsheet!$D$20)/100</f>
        <v>6302.7860782639336</v>
      </c>
      <c r="O56" s="14">
        <f t="shared" si="6"/>
        <v>1.5959968160814828</v>
      </c>
      <c r="P56" s="14">
        <f t="shared" si="10"/>
        <v>7781.0607639441077</v>
      </c>
      <c r="Q56" s="15">
        <f t="shared" si="7"/>
        <v>1.9204140401675889</v>
      </c>
      <c r="R56" s="14">
        <f>R55-(Mainsheet!$D$24-Mainsheet!$D$26)/100</f>
        <v>4398.2097835865961</v>
      </c>
      <c r="S56" s="14">
        <f>S55+Mainsheet!$I$6*LN(Data!R56/Data!R55)</f>
        <v>1.5654261693218019</v>
      </c>
    </row>
    <row r="57" spans="1:19" x14ac:dyDescent="0.3">
      <c r="A57" s="14">
        <f>A56+(Mainsheet!$C$20-Mainsheet!$C$18)/100</f>
        <v>4280.422478502951</v>
      </c>
      <c r="B57" s="14">
        <f t="shared" si="8"/>
        <v>0.20316552252811138</v>
      </c>
      <c r="D57" s="15">
        <f t="shared" si="3"/>
        <v>6964.4045063689919</v>
      </c>
      <c r="E57" s="14">
        <f>E56+(Mainsheet!$E$22-Mainsheet!$E$20)/100</f>
        <v>0.26188750000000005</v>
      </c>
      <c r="F57" s="14">
        <f>F56*(G56/G57)^Mainsheet!$I$5</f>
        <v>4671.8801222919001</v>
      </c>
      <c r="G57" s="14">
        <f>G56+(Mainsheet!$E$24-Mainsheet!$E$22)/100</f>
        <v>0.47713750000000016</v>
      </c>
      <c r="I57" s="14">
        <f>I56-(Mainsheet!$C$24-Mainsheet!$C$26)/100</f>
        <v>2173.0373941456173</v>
      </c>
      <c r="J57" s="15">
        <f t="shared" si="4"/>
        <v>0.57399999999999995</v>
      </c>
      <c r="L57" s="14">
        <f t="shared" si="9"/>
        <v>3030.0845626694277</v>
      </c>
      <c r="M57" s="15">
        <f t="shared" si="5"/>
        <v>1</v>
      </c>
      <c r="N57" s="14">
        <f>N56+(Mainsheet!$D$22-Mainsheet!$D$20)/100</f>
        <v>6355.019112061701</v>
      </c>
      <c r="O57" s="14">
        <f t="shared" si="6"/>
        <v>1.6042870969761085</v>
      </c>
      <c r="P57" s="14">
        <f t="shared" si="10"/>
        <v>7767.0007033102866</v>
      </c>
      <c r="Q57" s="15">
        <f t="shared" si="7"/>
        <v>1.9204140401675889</v>
      </c>
      <c r="R57" s="14">
        <f>R56-(Mainsheet!$D$24-Mainsheet!$D$26)/100</f>
        <v>4346.0747882912356</v>
      </c>
      <c r="S57" s="14">
        <f>S56+Mainsheet!$I$6*LN(Data!R57/Data!R56)</f>
        <v>1.5568703401816208</v>
      </c>
    </row>
    <row r="58" spans="1:19" x14ac:dyDescent="0.3">
      <c r="A58" s="14">
        <f>A57+(Mainsheet!$C$20-Mainsheet!$C$18)/100</f>
        <v>4340.0665235666411</v>
      </c>
      <c r="B58" s="14">
        <f t="shared" si="8"/>
        <v>0.20116727393579972</v>
      </c>
      <c r="D58" s="15">
        <f t="shared" si="3"/>
        <v>6964.4045063689919</v>
      </c>
      <c r="E58" s="14">
        <f>E57+(Mainsheet!$E$22-Mainsheet!$E$20)/100</f>
        <v>0.26404000000000005</v>
      </c>
      <c r="F58" s="14">
        <f>F57*(G57/G58)^Mainsheet!$I$5</f>
        <v>4642.5324333744993</v>
      </c>
      <c r="G58" s="14">
        <f>G57+(Mainsheet!$E$24-Mainsheet!$E$22)/100</f>
        <v>0.47929000000000016</v>
      </c>
      <c r="I58" s="14">
        <f>I57-(Mainsheet!$C$24-Mainsheet!$C$26)/100</f>
        <v>2146.969896497937</v>
      </c>
      <c r="J58" s="15">
        <f t="shared" si="4"/>
        <v>0.57399999999999995</v>
      </c>
      <c r="L58" s="14">
        <f t="shared" si="9"/>
        <v>3042.0883318673332</v>
      </c>
      <c r="M58" s="15">
        <f t="shared" si="5"/>
        <v>1</v>
      </c>
      <c r="N58" s="14">
        <f>N57+(Mainsheet!$D$22-Mainsheet!$D$20)/100</f>
        <v>6407.2521458594683</v>
      </c>
      <c r="O58" s="14">
        <f t="shared" si="6"/>
        <v>1.6125095166931869</v>
      </c>
      <c r="P58" s="14">
        <f t="shared" si="10"/>
        <v>7753.0291637354158</v>
      </c>
      <c r="Q58" s="15">
        <f t="shared" si="7"/>
        <v>1.9204140401675889</v>
      </c>
      <c r="R58" s="14">
        <f>R57-(Mainsheet!$D$24-Mainsheet!$D$26)/100</f>
        <v>4293.939792995875</v>
      </c>
      <c r="S58" s="14">
        <f>S57+Mainsheet!$I$6*LN(Data!R58/Data!R57)</f>
        <v>1.5482112545316042</v>
      </c>
    </row>
    <row r="59" spans="1:19" x14ac:dyDescent="0.3">
      <c r="A59" s="14">
        <f>A58+(Mainsheet!$C$20-Mainsheet!$C$18)/100</f>
        <v>4399.7105686303312</v>
      </c>
      <c r="B59" s="14">
        <f t="shared" si="8"/>
        <v>0.19921555424750292</v>
      </c>
      <c r="D59" s="15">
        <f t="shared" si="3"/>
        <v>6964.4045063689919</v>
      </c>
      <c r="E59" s="14">
        <f>E58+(Mainsheet!$E$22-Mainsheet!$E$20)/100</f>
        <v>0.26619250000000005</v>
      </c>
      <c r="F59" s="14">
        <f>F58*(G58/G59)^Mainsheet!$I$5</f>
        <v>4613.4993705437346</v>
      </c>
      <c r="G59" s="14">
        <f>G58+(Mainsheet!$E$24-Mainsheet!$E$22)/100</f>
        <v>0.48144250000000016</v>
      </c>
      <c r="I59" s="14">
        <f>I58-(Mainsheet!$C$24-Mainsheet!$C$26)/100</f>
        <v>2120.9023988502568</v>
      </c>
      <c r="J59" s="15">
        <f t="shared" si="4"/>
        <v>0.57399999999999995</v>
      </c>
      <c r="L59" s="14">
        <f t="shared" si="9"/>
        <v>3053.9748413180755</v>
      </c>
      <c r="M59" s="15">
        <f t="shared" si="5"/>
        <v>1</v>
      </c>
      <c r="N59" s="14">
        <f>N58+(Mainsheet!$D$22-Mainsheet!$D$20)/100</f>
        <v>6459.4851796572357</v>
      </c>
      <c r="O59" s="14">
        <f t="shared" si="6"/>
        <v>1.6206651771916643</v>
      </c>
      <c r="P59" s="14">
        <f t="shared" si="10"/>
        <v>7739.1451940871166</v>
      </c>
      <c r="Q59" s="15">
        <f t="shared" si="7"/>
        <v>1.9204140401675889</v>
      </c>
      <c r="R59" s="14">
        <f>R58-(Mainsheet!$D$24-Mainsheet!$D$26)/100</f>
        <v>4241.8047977005144</v>
      </c>
      <c r="S59" s="14">
        <f>S58+Mainsheet!$I$6*LN(Data!R59/Data!R58)</f>
        <v>1.5394463895802009</v>
      </c>
    </row>
    <row r="60" spans="1:19" x14ac:dyDescent="0.3">
      <c r="A60" s="14">
        <f>A59+(Mainsheet!$C$20-Mainsheet!$C$18)/100</f>
        <v>4459.3546136940213</v>
      </c>
      <c r="B60" s="14">
        <f t="shared" si="8"/>
        <v>0.19730867103172534</v>
      </c>
      <c r="D60" s="15">
        <f t="shared" si="3"/>
        <v>6964.4045063689919</v>
      </c>
      <c r="E60" s="14">
        <f>E59+(Mainsheet!$E$22-Mainsheet!$E$20)/100</f>
        <v>0.26834500000000006</v>
      </c>
      <c r="F60" s="14">
        <f>F59*(G59/G60)^Mainsheet!$I$5</f>
        <v>4584.7761766446929</v>
      </c>
      <c r="G60" s="14">
        <f>G59+(Mainsheet!$E$24-Mainsheet!$E$22)/100</f>
        <v>0.48359500000000016</v>
      </c>
      <c r="I60" s="14">
        <f>I59-(Mainsheet!$C$24-Mainsheet!$C$26)/100</f>
        <v>2094.8349012025765</v>
      </c>
      <c r="J60" s="15">
        <f t="shared" si="4"/>
        <v>0.57399999999999995</v>
      </c>
      <c r="L60" s="14">
        <f t="shared" si="9"/>
        <v>3065.7468030911509</v>
      </c>
      <c r="M60" s="15">
        <f t="shared" si="5"/>
        <v>1</v>
      </c>
      <c r="N60" s="14">
        <f>N59+(Mainsheet!$D$22-Mainsheet!$D$20)/100</f>
        <v>6511.718213455003</v>
      </c>
      <c r="O60" s="14">
        <f t="shared" si="6"/>
        <v>1.628755153805393</v>
      </c>
      <c r="P60" s="14">
        <f t="shared" si="10"/>
        <v>7725.3478576463094</v>
      </c>
      <c r="Q60" s="15">
        <f t="shared" si="7"/>
        <v>1.9204140401675889</v>
      </c>
      <c r="R60" s="14">
        <f>R59-(Mainsheet!$D$24-Mainsheet!$D$26)/100</f>
        <v>4189.6698024051539</v>
      </c>
      <c r="S60" s="14">
        <f>S59+Mainsheet!$I$6*LN(Data!R60/Data!R59)</f>
        <v>1.5305731289349296</v>
      </c>
    </row>
    <row r="61" spans="1:19" x14ac:dyDescent="0.3">
      <c r="A61" s="14">
        <f>A60+(Mainsheet!$C$20-Mainsheet!$C$18)/100</f>
        <v>4518.9986587577114</v>
      </c>
      <c r="B61" s="14">
        <f t="shared" si="8"/>
        <v>0.19544501498350311</v>
      </c>
      <c r="D61" s="15">
        <f t="shared" si="3"/>
        <v>6964.4045063689919</v>
      </c>
      <c r="E61" s="14">
        <f>E60+(Mainsheet!$E$22-Mainsheet!$E$20)/100</f>
        <v>0.27049750000000006</v>
      </c>
      <c r="F61" s="14">
        <f>F60*(G60/G61)^Mainsheet!$I$5</f>
        <v>4556.3581871939814</v>
      </c>
      <c r="G61" s="14">
        <f>G60+(Mainsheet!$E$24-Mainsheet!$E$22)/100</f>
        <v>0.48574750000000017</v>
      </c>
      <c r="I61" s="14">
        <f>I60-(Mainsheet!$C$24-Mainsheet!$C$26)/100</f>
        <v>2068.7674035548962</v>
      </c>
      <c r="J61" s="15">
        <f t="shared" si="4"/>
        <v>0.57399999999999995</v>
      </c>
      <c r="L61" s="14">
        <f t="shared" si="9"/>
        <v>3077.4068312589943</v>
      </c>
      <c r="M61" s="15">
        <f t="shared" si="5"/>
        <v>1</v>
      </c>
      <c r="N61" s="14">
        <f>N60+(Mainsheet!$D$22-Mainsheet!$D$20)/100</f>
        <v>6563.9512472527704</v>
      </c>
      <c r="O61" s="14">
        <f t="shared" si="6"/>
        <v>1.6367804960940227</v>
      </c>
      <c r="P61" s="14">
        <f t="shared" si="10"/>
        <v>7711.6362318258152</v>
      </c>
      <c r="Q61" s="15">
        <f t="shared" si="7"/>
        <v>1.9204140401675889</v>
      </c>
      <c r="R61" s="14">
        <f>R60-(Mainsheet!$D$24-Mainsheet!$D$26)/100</f>
        <v>4137.5348071097933</v>
      </c>
      <c r="S61" s="14">
        <f>S60+Mainsheet!$I$6*LN(Data!R61/Data!R60)</f>
        <v>1.5215887579139444</v>
      </c>
    </row>
    <row r="62" spans="1:19" x14ac:dyDescent="0.3">
      <c r="A62" s="14">
        <f>A61+(Mainsheet!$C$20-Mainsheet!$C$18)/100</f>
        <v>4578.6427038214015</v>
      </c>
      <c r="B62" s="14">
        <f t="shared" si="8"/>
        <v>0.19362305480987976</v>
      </c>
      <c r="D62" s="15">
        <f t="shared" si="3"/>
        <v>6964.4045063689919</v>
      </c>
      <c r="E62" s="14">
        <f>E61+(Mainsheet!$E$22-Mainsheet!$E$20)/100</f>
        <v>0.27265000000000006</v>
      </c>
      <c r="F62" s="14">
        <f>F61*(G61/G62)^Mainsheet!$I$5</f>
        <v>4528.2408281739163</v>
      </c>
      <c r="G62" s="14">
        <f>G61+(Mainsheet!$E$24-Mainsheet!$E$22)/100</f>
        <v>0.48790000000000017</v>
      </c>
      <c r="I62" s="14">
        <f>I61-(Mainsheet!$C$24-Mainsheet!$C$26)/100</f>
        <v>2042.6999059072159</v>
      </c>
      <c r="J62" s="15">
        <f t="shared" si="4"/>
        <v>0.57399999999999995</v>
      </c>
      <c r="L62" s="14">
        <f t="shared" si="9"/>
        <v>3088.9574466789804</v>
      </c>
      <c r="M62" s="15">
        <f t="shared" si="5"/>
        <v>1</v>
      </c>
      <c r="N62" s="14">
        <f>N61+(Mainsheet!$D$22-Mainsheet!$D$20)/100</f>
        <v>6616.1842810505377</v>
      </c>
      <c r="O62" s="14">
        <f t="shared" si="6"/>
        <v>1.6447422286601692</v>
      </c>
      <c r="P62" s="14">
        <f t="shared" si="10"/>
        <v>7698.009407895659</v>
      </c>
      <c r="Q62" s="15">
        <f t="shared" si="7"/>
        <v>1.9204140401675889</v>
      </c>
      <c r="R62" s="14">
        <f>R61-(Mainsheet!$D$24-Mainsheet!$D$26)/100</f>
        <v>4085.3998118144327</v>
      </c>
      <c r="S62" s="14">
        <f>S61+Mainsheet!$I$6*LN(Data!R62/Data!R61)</f>
        <v>1.5124904585603198</v>
      </c>
    </row>
    <row r="63" spans="1:19" x14ac:dyDescent="0.3">
      <c r="A63" s="14">
        <f>A62+(Mainsheet!$C$20-Mainsheet!$C$18)/100</f>
        <v>4638.2867488850916</v>
      </c>
      <c r="B63" s="14">
        <f t="shared" si="8"/>
        <v>0.19184133249190158</v>
      </c>
      <c r="D63" s="15">
        <f t="shared" si="3"/>
        <v>6964.4045063689919</v>
      </c>
      <c r="E63" s="14">
        <f>E62+(Mainsheet!$E$22-Mainsheet!$E$20)/100</f>
        <v>0.27480250000000006</v>
      </c>
      <c r="F63" s="14">
        <f>F62*(G62/G63)^Mainsheet!$I$5</f>
        <v>4500.4196138886737</v>
      </c>
      <c r="G63" s="14">
        <f>G62+(Mainsheet!$E$24-Mainsheet!$E$22)/100</f>
        <v>0.49005250000000017</v>
      </c>
      <c r="I63" s="14">
        <f>I62-(Mainsheet!$C$24-Mainsheet!$C$26)/100</f>
        <v>2016.6324082595356</v>
      </c>
      <c r="J63" s="15">
        <f t="shared" si="4"/>
        <v>0.57399999999999995</v>
      </c>
      <c r="L63" s="14">
        <f t="shared" si="9"/>
        <v>3100.4010814830876</v>
      </c>
      <c r="M63" s="15">
        <f t="shared" si="5"/>
        <v>1</v>
      </c>
      <c r="N63" s="14">
        <f>N62+(Mainsheet!$D$22-Mainsheet!$D$20)/100</f>
        <v>6668.4173148483051</v>
      </c>
      <c r="O63" s="14">
        <f t="shared" si="6"/>
        <v>1.6526413519344545</v>
      </c>
      <c r="P63" s="14">
        <f t="shared" si="10"/>
        <v>7684.4664907149117</v>
      </c>
      <c r="Q63" s="15">
        <f t="shared" si="7"/>
        <v>1.9204140401675889</v>
      </c>
      <c r="R63" s="14">
        <f>R62-(Mainsheet!$D$24-Mainsheet!$D$26)/100</f>
        <v>4033.2648165190722</v>
      </c>
      <c r="S63" s="14">
        <f>S62+Mainsheet!$I$6*LN(Data!R63/Data!R62)</f>
        <v>1.5032753043361469</v>
      </c>
    </row>
    <row r="64" spans="1:19" x14ac:dyDescent="0.3">
      <c r="A64" s="14">
        <f>A63+(Mainsheet!$C$20-Mainsheet!$C$18)/100</f>
        <v>4697.9307939487817</v>
      </c>
      <c r="B64" s="14">
        <f t="shared" si="8"/>
        <v>0.19009845889097671</v>
      </c>
      <c r="D64" s="15">
        <f t="shared" si="3"/>
        <v>6964.4045063689919</v>
      </c>
      <c r="E64" s="14">
        <f>E63+(Mainsheet!$E$22-Mainsheet!$E$20)/100</f>
        <v>0.27695500000000006</v>
      </c>
      <c r="F64" s="14">
        <f>F63*(G63/G64)^Mainsheet!$I$5</f>
        <v>4472.8901448803826</v>
      </c>
      <c r="G64" s="14">
        <f>G63+(Mainsheet!$E$24-Mainsheet!$E$22)/100</f>
        <v>0.49220500000000017</v>
      </c>
      <c r="I64" s="14">
        <f>I63-(Mainsheet!$C$24-Mainsheet!$C$26)/100</f>
        <v>1990.5649106118553</v>
      </c>
      <c r="J64" s="15">
        <f t="shared" si="4"/>
        <v>0.57399999999999995</v>
      </c>
      <c r="L64" s="14">
        <f t="shared" si="9"/>
        <v>3111.7400832966064</v>
      </c>
      <c r="M64" s="15">
        <f t="shared" si="5"/>
        <v>1</v>
      </c>
      <c r="N64" s="14">
        <f>N63+(Mainsheet!$D$22-Mainsheet!$D$20)/100</f>
        <v>6720.6503486460724</v>
      </c>
      <c r="O64" s="14">
        <f t="shared" si="6"/>
        <v>1.6604788429299182</v>
      </c>
      <c r="P64" s="14">
        <f t="shared" si="10"/>
        <v>7671.0065984698576</v>
      </c>
      <c r="Q64" s="15">
        <f t="shared" si="7"/>
        <v>1.9204140401675889</v>
      </c>
      <c r="R64" s="14">
        <f>R63-(Mainsheet!$D$24-Mainsheet!$D$26)/100</f>
        <v>3981.1298212237116</v>
      </c>
      <c r="S64" s="14">
        <f>S63+Mainsheet!$I$6*LN(Data!R64/Data!R63)</f>
        <v>1.4939402544714435</v>
      </c>
    </row>
    <row r="65" spans="1:19" x14ac:dyDescent="0.3">
      <c r="A65" s="14">
        <f>A64+(Mainsheet!$C$20-Mainsheet!$C$18)/100</f>
        <v>4757.5748390124718</v>
      </c>
      <c r="B65" s="14">
        <f t="shared" si="8"/>
        <v>0.18839310967055908</v>
      </c>
      <c r="D65" s="15">
        <f t="shared" si="3"/>
        <v>6964.4045063689919</v>
      </c>
      <c r="E65" s="14">
        <f>E64+(Mainsheet!$E$22-Mainsheet!$E$20)/100</f>
        <v>0.27910750000000006</v>
      </c>
      <c r="F65" s="14">
        <f>F64*(G64/G65)^Mainsheet!$I$5</f>
        <v>4445.648105903244</v>
      </c>
      <c r="G65" s="14">
        <f>G64+(Mainsheet!$E$24-Mainsheet!$E$22)/100</f>
        <v>0.49435750000000017</v>
      </c>
      <c r="I65" s="14">
        <f>I64-(Mainsheet!$C$24-Mainsheet!$C$26)/100</f>
        <v>1964.4974129641751</v>
      </c>
      <c r="J65" s="15">
        <f t="shared" si="4"/>
        <v>0.57399999999999995</v>
      </c>
      <c r="L65" s="14">
        <f t="shared" si="9"/>
        <v>3122.9767192054674</v>
      </c>
      <c r="M65" s="15">
        <f t="shared" si="5"/>
        <v>1</v>
      </c>
      <c r="N65" s="14">
        <f>N64+(Mainsheet!$D$22-Mainsheet!$D$20)/100</f>
        <v>6772.8833824438398</v>
      </c>
      <c r="O65" s="14">
        <f t="shared" si="6"/>
        <v>1.668255655967225</v>
      </c>
      <c r="P65" s="14">
        <f t="shared" si="10"/>
        <v>7657.6288624183398</v>
      </c>
      <c r="Q65" s="15">
        <f t="shared" si="7"/>
        <v>1.9204140401675889</v>
      </c>
      <c r="R65" s="14">
        <f>R64-(Mainsheet!$D$24-Mainsheet!$D$26)/100</f>
        <v>3928.994825928351</v>
      </c>
      <c r="S65" s="14">
        <f>S64+Mainsheet!$I$6*LN(Data!R65/Data!R64)</f>
        <v>1.4844821479405736</v>
      </c>
    </row>
    <row r="66" spans="1:19" x14ac:dyDescent="0.3">
      <c r="A66" s="14">
        <f>A65+(Mainsheet!$C$20-Mainsheet!$C$18)/100</f>
        <v>4817.2188840761619</v>
      </c>
      <c r="B66" s="14">
        <f t="shared" si="8"/>
        <v>0.18672402150689613</v>
      </c>
      <c r="D66" s="15">
        <f t="shared" si="3"/>
        <v>6964.4045063689919</v>
      </c>
      <c r="E66" s="14">
        <f>E65+(Mainsheet!$E$22-Mainsheet!$E$20)/100</f>
        <v>0.28126000000000007</v>
      </c>
      <c r="F66" s="14">
        <f>F65*(G65/G66)^Mainsheet!$I$5</f>
        <v>4418.6892639538073</v>
      </c>
      <c r="G66" s="14">
        <f>G65+(Mainsheet!$E$24-Mainsheet!$E$22)/100</f>
        <v>0.49651000000000017</v>
      </c>
      <c r="I66" s="14">
        <f>I65-(Mainsheet!$C$24-Mainsheet!$C$26)/100</f>
        <v>1938.4299153164948</v>
      </c>
      <c r="J66" s="15">
        <f t="shared" si="4"/>
        <v>0.57399999999999995</v>
      </c>
      <c r="L66" s="14">
        <f t="shared" si="9"/>
        <v>3134.1131794901166</v>
      </c>
      <c r="M66" s="15">
        <f t="shared" si="5"/>
        <v>1</v>
      </c>
      <c r="N66" s="14">
        <f>N65+(Mainsheet!$D$22-Mainsheet!$D$20)/100</f>
        <v>6825.1164162416071</v>
      </c>
      <c r="O66" s="14">
        <f t="shared" si="6"/>
        <v>1.6759727233720154</v>
      </c>
      <c r="P66" s="14">
        <f t="shared" si="10"/>
        <v>7644.3324266400887</v>
      </c>
      <c r="Q66" s="15">
        <f t="shared" si="7"/>
        <v>1.9204140401675889</v>
      </c>
      <c r="R66" s="14">
        <f>R65-(Mainsheet!$D$24-Mainsheet!$D$26)/100</f>
        <v>3876.8598306329905</v>
      </c>
      <c r="S66" s="14">
        <f>S65+Mainsheet!$I$6*LN(Data!R66/Data!R65)</f>
        <v>1.4748976970363201</v>
      </c>
    </row>
    <row r="67" spans="1:19" x14ac:dyDescent="0.3">
      <c r="A67" s="14">
        <f>A66+(Mainsheet!$C$20-Mainsheet!$C$18)/100</f>
        <v>4876.862929139852</v>
      </c>
      <c r="B67" s="14">
        <f t="shared" ref="B67:B98" si="11">0.287*L67/A67</f>
        <v>0.18508998856506076</v>
      </c>
      <c r="D67" s="15">
        <f t="shared" si="3"/>
        <v>6964.4045063689919</v>
      </c>
      <c r="E67" s="14">
        <f>E66+(Mainsheet!$E$22-Mainsheet!$E$20)/100</f>
        <v>0.28341250000000007</v>
      </c>
      <c r="F67" s="14">
        <f>F66*(G66/G67)^Mainsheet!$I$5</f>
        <v>4392.0094663556138</v>
      </c>
      <c r="G67" s="14">
        <f>G66+(Mainsheet!$E$24-Mainsheet!$E$22)/100</f>
        <v>0.49866250000000018</v>
      </c>
      <c r="I67" s="14">
        <f>I66-(Mainsheet!$C$24-Mainsheet!$C$26)/100</f>
        <v>1912.3624176688145</v>
      </c>
      <c r="J67" s="15">
        <f t="shared" si="4"/>
        <v>0.57399999999999995</v>
      </c>
      <c r="L67" s="14">
        <f t="shared" ref="L67:L102" si="12">L66*(A67/A66)^(0.4/1.4)</f>
        <v>3145.1515811423833</v>
      </c>
      <c r="M67" s="15">
        <f t="shared" si="5"/>
        <v>1</v>
      </c>
      <c r="N67" s="14">
        <f>N66+(Mainsheet!$D$22-Mainsheet!$D$20)/100</f>
        <v>6877.3494500393745</v>
      </c>
      <c r="O67" s="14">
        <f t="shared" si="6"/>
        <v>1.6836309561456728</v>
      </c>
      <c r="P67" s="14">
        <f t="shared" ref="P67:P102" si="13">P66*(F67/F66)^(0.4/1.4)</f>
        <v>7631.1164477928814</v>
      </c>
      <c r="Q67" s="15">
        <f t="shared" si="7"/>
        <v>1.9204140401675889</v>
      </c>
      <c r="R67" s="14">
        <f>R66-(Mainsheet!$D$24-Mainsheet!$D$26)/100</f>
        <v>3824.7248353376299</v>
      </c>
      <c r="S67" s="14">
        <f>S66+Mainsheet!$I$6*LN(Data!R67/Data!R66)</f>
        <v>1.4651834805089223</v>
      </c>
    </row>
    <row r="68" spans="1:19" x14ac:dyDescent="0.3">
      <c r="A68" s="14">
        <f>A67+(Mainsheet!$C$20-Mainsheet!$C$18)/100</f>
        <v>4936.5069742035421</v>
      </c>
      <c r="B68" s="14">
        <f t="shared" si="11"/>
        <v>0.18348985921870989</v>
      </c>
      <c r="D68" s="15">
        <f t="shared" ref="D68:D102" si="14">D67</f>
        <v>6964.4045063689919</v>
      </c>
      <c r="E68" s="14">
        <f>E67+(Mainsheet!$E$22-Mainsheet!$E$20)/100</f>
        <v>0.28556500000000007</v>
      </c>
      <c r="F68" s="14">
        <f>F67*(G67/G68)^Mainsheet!$I$5</f>
        <v>4365.6046388964869</v>
      </c>
      <c r="G68" s="14">
        <f>G67+(Mainsheet!$E$24-Mainsheet!$E$22)/100</f>
        <v>0.50081500000000012</v>
      </c>
      <c r="I68" s="14">
        <f>I67-(Mainsheet!$C$24-Mainsheet!$C$26)/100</f>
        <v>1886.2949200211342</v>
      </c>
      <c r="J68" s="15">
        <f t="shared" ref="J68:J102" si="15">J67</f>
        <v>0.57399999999999995</v>
      </c>
      <c r="L68" s="14">
        <f t="shared" si="12"/>
        <v>3156.0939711804444</v>
      </c>
      <c r="M68" s="15">
        <f t="shared" ref="M68:M102" si="16">M67</f>
        <v>1</v>
      </c>
      <c r="N68" s="14">
        <f>N67+(Mainsheet!$D$22-Mainsheet!$D$20)/100</f>
        <v>6929.5824838371418</v>
      </c>
      <c r="O68" s="14">
        <f t="shared" ref="O68:O102" si="17">O67+1.0045*LN(N68/N67)</f>
        <v>1.6912312446107136</v>
      </c>
      <c r="P68" s="14">
        <f t="shared" si="13"/>
        <v>7617.9800948743714</v>
      </c>
      <c r="Q68" s="15">
        <f t="shared" ref="Q68:Q102" si="18">Q67</f>
        <v>1.9204140401675889</v>
      </c>
      <c r="R68" s="14">
        <f>R67-(Mainsheet!$D$24-Mainsheet!$D$26)/100</f>
        <v>3772.5898400422693</v>
      </c>
      <c r="S68" s="14">
        <f>S67+Mainsheet!$I$6*LN(Data!R68/Data!R67)</f>
        <v>1.4553359362342522</v>
      </c>
    </row>
    <row r="69" spans="1:19" x14ac:dyDescent="0.3">
      <c r="A69" s="14">
        <f>A68+(Mainsheet!$C$20-Mainsheet!$C$18)/100</f>
        <v>4996.1510192672322</v>
      </c>
      <c r="B69" s="14">
        <f t="shared" si="11"/>
        <v>0.18192253299399908</v>
      </c>
      <c r="D69" s="15">
        <f t="shared" si="14"/>
        <v>6964.4045063689919</v>
      </c>
      <c r="E69" s="14">
        <f>E68+(Mainsheet!$E$22-Mainsheet!$E$20)/100</f>
        <v>0.28771750000000007</v>
      </c>
      <c r="F69" s="14">
        <f>F68*(G68/G69)^Mainsheet!$I$5</f>
        <v>4339.4707840167866</v>
      </c>
      <c r="G69" s="14">
        <f>G68+(Mainsheet!$E$24-Mainsheet!$E$22)/100</f>
        <v>0.50296750000000012</v>
      </c>
      <c r="I69" s="14">
        <f>I68-(Mainsheet!$C$24-Mainsheet!$C$26)/100</f>
        <v>1860.2274223734539</v>
      </c>
      <c r="J69" s="15">
        <f t="shared" si="15"/>
        <v>0.57399999999999995</v>
      </c>
      <c r="L69" s="14">
        <f t="shared" si="12"/>
        <v>3166.9423297757676</v>
      </c>
      <c r="M69" s="15">
        <f t="shared" si="16"/>
        <v>1</v>
      </c>
      <c r="N69" s="14">
        <f>N68+(Mainsheet!$D$22-Mainsheet!$D$20)/100</f>
        <v>6981.8155176349092</v>
      </c>
      <c r="O69" s="14">
        <f t="shared" si="17"/>
        <v>1.6987744590319447</v>
      </c>
      <c r="P69" s="14">
        <f t="shared" si="13"/>
        <v>7604.9225489894206</v>
      </c>
      <c r="Q69" s="15">
        <f t="shared" si="18"/>
        <v>1.9204140401675889</v>
      </c>
      <c r="R69" s="14">
        <f>R68-(Mainsheet!$D$24-Mainsheet!$D$26)/100</f>
        <v>3720.4548447469087</v>
      </c>
      <c r="S69" s="14">
        <f>S68+Mainsheet!$I$6*LN(Data!R69/Data!R68)</f>
        <v>1.4453513533718096</v>
      </c>
    </row>
    <row r="70" spans="1:19" x14ac:dyDescent="0.3">
      <c r="A70" s="14">
        <f>A69+(Mainsheet!$C$20-Mainsheet!$C$18)/100</f>
        <v>5055.7950643309223</v>
      </c>
      <c r="B70" s="14">
        <f t="shared" si="11"/>
        <v>0.18038695771986757</v>
      </c>
      <c r="D70" s="15">
        <f t="shared" si="14"/>
        <v>6964.4045063689919</v>
      </c>
      <c r="E70" s="14">
        <f>E69+(Mainsheet!$E$22-Mainsheet!$E$20)/100</f>
        <v>0.28987000000000007</v>
      </c>
      <c r="F70" s="14">
        <f>F69*(G69/G70)^Mainsheet!$I$5</f>
        <v>4313.603979047044</v>
      </c>
      <c r="G70" s="14">
        <f>G69+(Mainsheet!$E$24-Mainsheet!$E$22)/100</f>
        <v>0.50512000000000012</v>
      </c>
      <c r="I70" s="14">
        <f>I69-(Mainsheet!$C$24-Mainsheet!$C$26)/100</f>
        <v>1834.1599247257736</v>
      </c>
      <c r="J70" s="15">
        <f t="shared" si="15"/>
        <v>0.57399999999999995</v>
      </c>
      <c r="L70" s="14">
        <f t="shared" si="12"/>
        <v>3177.6985732047992</v>
      </c>
      <c r="M70" s="15">
        <f t="shared" si="16"/>
        <v>1</v>
      </c>
      <c r="N70" s="14">
        <f>N69+(Mainsheet!$D$22-Mainsheet!$D$20)/100</f>
        <v>7034.0485514326765</v>
      </c>
      <c r="O70" s="14">
        <f t="shared" si="17"/>
        <v>1.7062614502144713</v>
      </c>
      <c r="P70" s="14">
        <f t="shared" si="13"/>
        <v>7591.9430031228003</v>
      </c>
      <c r="Q70" s="15">
        <f t="shared" si="18"/>
        <v>1.9204140401675889</v>
      </c>
      <c r="R70" s="14">
        <f>R69-(Mainsheet!$D$24-Mainsheet!$D$26)/100</f>
        <v>3668.3198494515482</v>
      </c>
      <c r="S70" s="14">
        <f>S69+Mainsheet!$I$6*LN(Data!R70/Data!R69)</f>
        <v>1.4352258639693352</v>
      </c>
    </row>
    <row r="71" spans="1:19" x14ac:dyDescent="0.3">
      <c r="A71" s="14">
        <f>A70+(Mainsheet!$C$20-Mainsheet!$C$18)/100</f>
        <v>5115.4391093946124</v>
      </c>
      <c r="B71" s="14">
        <f t="shared" si="11"/>
        <v>0.17888212686851068</v>
      </c>
      <c r="D71" s="15">
        <f t="shared" si="14"/>
        <v>6964.4045063689919</v>
      </c>
      <c r="E71" s="14">
        <f>E70+(Mainsheet!$E$22-Mainsheet!$E$20)/100</f>
        <v>0.29202250000000007</v>
      </c>
      <c r="F71" s="14">
        <f>F70*(G70/G71)^Mainsheet!$I$5</f>
        <v>4288.0003744934102</v>
      </c>
      <c r="G71" s="14">
        <f>G70+(Mainsheet!$E$24-Mainsheet!$E$22)/100</f>
        <v>0.50727250000000013</v>
      </c>
      <c r="I71" s="14">
        <f>I70-(Mainsheet!$C$24-Mainsheet!$C$26)/100</f>
        <v>1808.0924270780934</v>
      </c>
      <c r="J71" s="15">
        <f t="shared" si="15"/>
        <v>0.57399999999999995</v>
      </c>
      <c r="L71" s="14">
        <f t="shared" si="12"/>
        <v>3188.3645566371724</v>
      </c>
      <c r="M71" s="15">
        <f t="shared" si="16"/>
        <v>1</v>
      </c>
      <c r="N71" s="14">
        <f>N70+(Mainsheet!$D$22-Mainsheet!$D$20)/100</f>
        <v>7086.2815852304439</v>
      </c>
      <c r="O71" s="14">
        <f t="shared" si="17"/>
        <v>1.7136930500795826</v>
      </c>
      <c r="P71" s="14">
        <f t="shared" si="13"/>
        <v>7579.0406619171054</v>
      </c>
      <c r="Q71" s="15">
        <f t="shared" si="18"/>
        <v>1.9204140401675889</v>
      </c>
      <c r="R71" s="14">
        <f>R70-(Mainsheet!$D$24-Mainsheet!$D$26)/100</f>
        <v>3616.1848541561876</v>
      </c>
      <c r="S71" s="14">
        <f>S70+Mainsheet!$I$6*LN(Data!R71/Data!R70)</f>
        <v>1.4249554339665074</v>
      </c>
    </row>
    <row r="72" spans="1:19" x14ac:dyDescent="0.3">
      <c r="A72" s="14">
        <f>A71+(Mainsheet!$C$20-Mainsheet!$C$18)/100</f>
        <v>5175.0831544583025</v>
      </c>
      <c r="B72" s="14">
        <f t="shared" si="11"/>
        <v>0.17740707707129741</v>
      </c>
      <c r="D72" s="15">
        <f t="shared" si="14"/>
        <v>6964.4045063689919</v>
      </c>
      <c r="E72" s="14">
        <f>E71+(Mainsheet!$E$22-Mainsheet!$E$20)/100</f>
        <v>0.29417500000000008</v>
      </c>
      <c r="F72" s="14">
        <f>F71*(G71/G72)^Mainsheet!$I$5</f>
        <v>4262.6561923694289</v>
      </c>
      <c r="G72" s="14">
        <f>G71+(Mainsheet!$E$24-Mainsheet!$E$22)/100</f>
        <v>0.50942500000000013</v>
      </c>
      <c r="I72" s="14">
        <f>I71-(Mainsheet!$C$24-Mainsheet!$C$26)/100</f>
        <v>1782.0249294304131</v>
      </c>
      <c r="J72" s="15">
        <f t="shared" si="15"/>
        <v>0.57399999999999995</v>
      </c>
      <c r="L72" s="14">
        <f t="shared" si="12"/>
        <v>3198.9420767712791</v>
      </c>
      <c r="M72" s="15">
        <f t="shared" si="16"/>
        <v>1</v>
      </c>
      <c r="N72" s="14">
        <f>N71+(Mainsheet!$D$22-Mainsheet!$D$20)/100</f>
        <v>7138.5146190282112</v>
      </c>
      <c r="O72" s="14">
        <f t="shared" si="17"/>
        <v>1.721070072219492</v>
      </c>
      <c r="P72" s="14">
        <f t="shared" si="13"/>
        <v>7566.2147414557394</v>
      </c>
      <c r="Q72" s="15">
        <f t="shared" si="18"/>
        <v>1.9204140401675889</v>
      </c>
      <c r="R72" s="14">
        <f>R71-(Mainsheet!$D$24-Mainsheet!$D$26)/100</f>
        <v>3564.049858860827</v>
      </c>
      <c r="S72" s="14">
        <f>S71+Mainsheet!$I$6*LN(Data!R72/Data!R71)</f>
        <v>1.4145358535453612</v>
      </c>
    </row>
    <row r="73" spans="1:19" x14ac:dyDescent="0.3">
      <c r="A73" s="14">
        <f>A72+(Mainsheet!$C$20-Mainsheet!$C$18)/100</f>
        <v>5234.7271995219926</v>
      </c>
      <c r="B73" s="14">
        <f t="shared" si="11"/>
        <v>0.17596088579668875</v>
      </c>
      <c r="D73" s="15">
        <f t="shared" si="14"/>
        <v>6964.4045063689919</v>
      </c>
      <c r="E73" s="14">
        <f>E72+(Mainsheet!$E$22-Mainsheet!$E$20)/100</f>
        <v>0.29632750000000008</v>
      </c>
      <c r="F73" s="14">
        <f>F72*(G72/G73)^Mainsheet!$I$5</f>
        <v>4237.5677245726984</v>
      </c>
      <c r="G73" s="14">
        <f>G72+(Mainsheet!$E$24-Mainsheet!$E$22)/100</f>
        <v>0.51157750000000013</v>
      </c>
      <c r="I73" s="14">
        <f>I72-(Mainsheet!$C$24-Mainsheet!$C$26)/100</f>
        <v>1755.9574317827328</v>
      </c>
      <c r="J73" s="15">
        <f t="shared" si="15"/>
        <v>0.57399999999999995</v>
      </c>
      <c r="L73" s="14">
        <f t="shared" si="12"/>
        <v>3209.4328743272117</v>
      </c>
      <c r="M73" s="15">
        <f t="shared" si="16"/>
        <v>1</v>
      </c>
      <c r="N73" s="14">
        <f>N72+(Mainsheet!$D$22-Mainsheet!$D$20)/100</f>
        <v>7190.7476528259785</v>
      </c>
      <c r="O73" s="14">
        <f t="shared" si="17"/>
        <v>1.7283933124318533</v>
      </c>
      <c r="P73" s="14">
        <f t="shared" si="13"/>
        <v>7553.4644690508376</v>
      </c>
      <c r="Q73" s="15">
        <f t="shared" si="18"/>
        <v>1.9204140401675889</v>
      </c>
      <c r="R73" s="14">
        <f>R72-(Mainsheet!$D$24-Mainsheet!$D$26)/100</f>
        <v>3511.9148635654665</v>
      </c>
      <c r="S73" s="14">
        <f>S72+Mainsheet!$I$6*LN(Data!R73/Data!R72)</f>
        <v>1.4039627267696599</v>
      </c>
    </row>
    <row r="74" spans="1:19" x14ac:dyDescent="0.3">
      <c r="A74" s="14">
        <f>A73+(Mainsheet!$C$20-Mainsheet!$C$18)/100</f>
        <v>5294.3712445856827</v>
      </c>
      <c r="B74" s="14">
        <f t="shared" si="11"/>
        <v>0.17454266917788383</v>
      </c>
      <c r="D74" s="15">
        <f t="shared" si="14"/>
        <v>6964.4045063689919</v>
      </c>
      <c r="E74" s="14">
        <f>E73+(Mainsheet!$E$22-Mainsheet!$E$20)/100</f>
        <v>0.29848000000000008</v>
      </c>
      <c r="F74" s="14">
        <f>F73*(G73/G74)^Mainsheet!$I$5</f>
        <v>4212.7313313050254</v>
      </c>
      <c r="G74" s="14">
        <f>G73+(Mainsheet!$E$24-Mainsheet!$E$22)/100</f>
        <v>0.51373000000000013</v>
      </c>
      <c r="I74" s="14">
        <f>I73-(Mainsheet!$C$24-Mainsheet!$C$26)/100</f>
        <v>1729.8899341350525</v>
      </c>
      <c r="J74" s="15">
        <f t="shared" si="15"/>
        <v>0.57399999999999995</v>
      </c>
      <c r="L74" s="14">
        <f t="shared" si="12"/>
        <v>3219.8386364063417</v>
      </c>
      <c r="M74" s="15">
        <f t="shared" si="16"/>
        <v>1</v>
      </c>
      <c r="N74" s="14">
        <f>N73+(Mainsheet!$D$22-Mainsheet!$D$20)/100</f>
        <v>7242.9806866237459</v>
      </c>
      <c r="O74" s="14">
        <f t="shared" si="17"/>
        <v>1.735663549234935</v>
      </c>
      <c r="P74" s="14">
        <f t="shared" si="13"/>
        <v>7540.7890830359984</v>
      </c>
      <c r="Q74" s="15">
        <f t="shared" si="18"/>
        <v>1.9204140401675889</v>
      </c>
      <c r="R74" s="14">
        <f>R73-(Mainsheet!$D$24-Mainsheet!$D$26)/100</f>
        <v>3459.7798682701059</v>
      </c>
      <c r="S74" s="14">
        <f>S73+Mainsheet!$I$6*LN(Data!R74/Data!R73)</f>
        <v>1.3932314604494065</v>
      </c>
    </row>
    <row r="75" spans="1:19" x14ac:dyDescent="0.3">
      <c r="A75" s="14">
        <f>A74+(Mainsheet!$C$20-Mainsheet!$C$18)/100</f>
        <v>5354.0152896493728</v>
      </c>
      <c r="B75" s="14">
        <f t="shared" si="11"/>
        <v>0.17315157997897532</v>
      </c>
      <c r="D75" s="15">
        <f t="shared" si="14"/>
        <v>6964.4045063689919</v>
      </c>
      <c r="E75" s="14">
        <f>E74+(Mainsheet!$E$22-Mainsheet!$E$20)/100</f>
        <v>0.30063250000000008</v>
      </c>
      <c r="F75" s="14">
        <f>F74*(G74/G75)^Mainsheet!$I$5</f>
        <v>4188.1434395347324</v>
      </c>
      <c r="G75" s="14">
        <f>G74+(Mainsheet!$E$24-Mainsheet!$E$22)/100</f>
        <v>0.51588250000000013</v>
      </c>
      <c r="I75" s="14">
        <f>I74-(Mainsheet!$C$24-Mainsheet!$C$26)/100</f>
        <v>1703.8224364873722</v>
      </c>
      <c r="J75" s="15">
        <f t="shared" si="15"/>
        <v>0.57399999999999995</v>
      </c>
      <c r="L75" s="14">
        <f t="shared" si="12"/>
        <v>3230.1609987260636</v>
      </c>
      <c r="M75" s="15">
        <f t="shared" si="16"/>
        <v>1</v>
      </c>
      <c r="N75" s="14">
        <f>N74+(Mainsheet!$D$22-Mainsheet!$D$20)/100</f>
        <v>7295.2137204215132</v>
      </c>
      <c r="O75" s="14">
        <f t="shared" si="17"/>
        <v>1.7428815443642836</v>
      </c>
      <c r="P75" s="14">
        <f t="shared" si="13"/>
        <v>7528.1878325636844</v>
      </c>
      <c r="Q75" s="15">
        <f t="shared" si="18"/>
        <v>1.9204140401675889</v>
      </c>
      <c r="R75" s="14">
        <f>R74-(Mainsheet!$D$24-Mainsheet!$D$26)/100</f>
        <v>3407.6448729747453</v>
      </c>
      <c r="S75" s="14">
        <f>S74+Mainsheet!$I$6*LN(Data!R75/Data!R74)</f>
        <v>1.3823372521598942</v>
      </c>
    </row>
    <row r="76" spans="1:19" x14ac:dyDescent="0.3">
      <c r="A76" s="14">
        <f>A75+(Mainsheet!$C$20-Mainsheet!$C$18)/100</f>
        <v>5413.6593347130629</v>
      </c>
      <c r="B76" s="14">
        <f t="shared" si="11"/>
        <v>0.17178680568935259</v>
      </c>
      <c r="D76" s="15">
        <f t="shared" si="14"/>
        <v>6964.4045063689919</v>
      </c>
      <c r="E76" s="14">
        <f>E75+(Mainsheet!$E$22-Mainsheet!$E$20)/100</f>
        <v>0.30278500000000008</v>
      </c>
      <c r="F76" s="14">
        <f>F75*(G75/G76)^Mainsheet!$I$5</f>
        <v>4163.8005414998215</v>
      </c>
      <c r="G76" s="14">
        <f>G75+(Mainsheet!$E$24-Mainsheet!$E$22)/100</f>
        <v>0.51803500000000013</v>
      </c>
      <c r="I76" s="14">
        <f>I75-(Mainsheet!$C$24-Mainsheet!$C$26)/100</f>
        <v>1677.7549388396919</v>
      </c>
      <c r="J76" s="15">
        <f t="shared" si="15"/>
        <v>0.57399999999999995</v>
      </c>
      <c r="L76" s="14">
        <f t="shared" si="12"/>
        <v>3240.4015477376402</v>
      </c>
      <c r="M76" s="15">
        <f t="shared" si="16"/>
        <v>1</v>
      </c>
      <c r="N76" s="14">
        <f>N75+(Mainsheet!$D$22-Mainsheet!$D$20)/100</f>
        <v>7347.4467542192806</v>
      </c>
      <c r="O76" s="14">
        <f t="shared" si="17"/>
        <v>1.7500480432516701</v>
      </c>
      <c r="P76" s="14">
        <f t="shared" si="13"/>
        <v>7515.659977407181</v>
      </c>
      <c r="Q76" s="15">
        <f t="shared" si="18"/>
        <v>1.9204140401675889</v>
      </c>
      <c r="R76" s="14">
        <f>R75-(Mainsheet!$D$24-Mainsheet!$D$26)/100</f>
        <v>3355.5098776793848</v>
      </c>
      <c r="S76" s="14">
        <f>S75+Mainsheet!$I$6*LN(Data!R76/Data!R75)</f>
        <v>1.3712750773370797</v>
      </c>
    </row>
    <row r="77" spans="1:19" x14ac:dyDescent="0.3">
      <c r="A77" s="14">
        <f>A76+(Mainsheet!$C$20-Mainsheet!$C$18)/100</f>
        <v>5473.303379776753</v>
      </c>
      <c r="B77" s="14">
        <f t="shared" si="11"/>
        <v>0.17044756673695366</v>
      </c>
      <c r="D77" s="15">
        <f t="shared" si="14"/>
        <v>6964.4045063689919</v>
      </c>
      <c r="E77" s="14">
        <f>E76+(Mainsheet!$E$22-Mainsheet!$E$20)/100</f>
        <v>0.30493750000000008</v>
      </c>
      <c r="F77" s="14">
        <f>F76*(G76/G77)^Mainsheet!$I$5</f>
        <v>4139.6991932507453</v>
      </c>
      <c r="G77" s="14">
        <f>G76+(Mainsheet!$E$24-Mainsheet!$E$22)/100</f>
        <v>0.52018750000000014</v>
      </c>
      <c r="I77" s="14">
        <f>I76-(Mainsheet!$C$24-Mainsheet!$C$26)/100</f>
        <v>1651.6874411920116</v>
      </c>
      <c r="J77" s="15">
        <f t="shared" si="15"/>
        <v>0.57399999999999995</v>
      </c>
      <c r="L77" s="14">
        <f t="shared" si="12"/>
        <v>3250.5618226344677</v>
      </c>
      <c r="M77" s="15">
        <f t="shared" si="16"/>
        <v>1</v>
      </c>
      <c r="N77" s="14">
        <f>N76+(Mainsheet!$D$22-Mainsheet!$D$20)/100</f>
        <v>7399.6797880170479</v>
      </c>
      <c r="O77" s="14">
        <f t="shared" si="17"/>
        <v>1.757163775487073</v>
      </c>
      <c r="P77" s="14">
        <f t="shared" si="13"/>
        <v>7503.2047877669793</v>
      </c>
      <c r="Q77" s="15">
        <f t="shared" si="18"/>
        <v>1.9204140401675889</v>
      </c>
      <c r="R77" s="14">
        <f>R76-(Mainsheet!$D$24-Mainsheet!$D$26)/100</f>
        <v>3303.3748823840242</v>
      </c>
      <c r="S77" s="14">
        <f>S76+Mainsheet!$I$6*LN(Data!R77/Data!R76)</f>
        <v>1.3600396753624822</v>
      </c>
    </row>
    <row r="78" spans="1:19" x14ac:dyDescent="0.3">
      <c r="A78" s="14">
        <f>A77+(Mainsheet!$C$20-Mainsheet!$C$18)/100</f>
        <v>5532.9474248404431</v>
      </c>
      <c r="B78" s="14">
        <f t="shared" si="11"/>
        <v>0.16913311481175114</v>
      </c>
      <c r="D78" s="15">
        <f t="shared" si="14"/>
        <v>6964.4045063689919</v>
      </c>
      <c r="E78" s="14">
        <f>E77+(Mainsheet!$E$22-Mainsheet!$E$20)/100</f>
        <v>0.30709000000000009</v>
      </c>
      <c r="F78" s="14">
        <f>F77*(G77/G78)^Mainsheet!$I$5</f>
        <v>4115.8360132315811</v>
      </c>
      <c r="G78" s="14">
        <f>G77+(Mainsheet!$E$24-Mainsheet!$E$22)/100</f>
        <v>0.52234000000000014</v>
      </c>
      <c r="I78" s="14">
        <f>I77-(Mainsheet!$C$24-Mainsheet!$C$26)/100</f>
        <v>1625.6199435443314</v>
      </c>
      <c r="J78" s="15">
        <f t="shared" si="15"/>
        <v>0.57399999999999995</v>
      </c>
      <c r="L78" s="14">
        <f t="shared" si="12"/>
        <v>3260.6433172575667</v>
      </c>
      <c r="M78" s="15">
        <f t="shared" si="16"/>
        <v>1</v>
      </c>
      <c r="N78" s="14">
        <f>N77+(Mainsheet!$D$22-Mainsheet!$D$20)/100</f>
        <v>7451.9128218148153</v>
      </c>
      <c r="O78" s="14">
        <f t="shared" si="17"/>
        <v>1.7642294552644113</v>
      </c>
      <c r="P78" s="14">
        <f t="shared" si="13"/>
        <v>7490.8215440814802</v>
      </c>
      <c r="Q78" s="15">
        <f t="shared" si="18"/>
        <v>1.9204140401675889</v>
      </c>
      <c r="R78" s="14">
        <f>R77-(Mainsheet!$D$24-Mainsheet!$D$26)/100</f>
        <v>3251.2398870886636</v>
      </c>
      <c r="S78" s="14">
        <f>S77+Mainsheet!$I$6*LN(Data!R78/Data!R77)</f>
        <v>1.3486255345411504</v>
      </c>
    </row>
    <row r="79" spans="1:19" x14ac:dyDescent="0.3">
      <c r="A79" s="14">
        <f>A78+(Mainsheet!$C$20-Mainsheet!$C$18)/100</f>
        <v>5592.5914699041332</v>
      </c>
      <c r="B79" s="14">
        <f t="shared" si="11"/>
        <v>0.16784273129156532</v>
      </c>
      <c r="D79" s="15">
        <f t="shared" si="14"/>
        <v>6964.4045063689919</v>
      </c>
      <c r="E79" s="14">
        <f>E78+(Mainsheet!$E$22-Mainsheet!$E$20)/100</f>
        <v>0.30924250000000009</v>
      </c>
      <c r="F79" s="14">
        <f>F78*(G78/G79)^Mainsheet!$I$5</f>
        <v>4092.2076808984348</v>
      </c>
      <c r="G79" s="14">
        <f>G78+(Mainsheet!$E$24-Mainsheet!$E$22)/100</f>
        <v>0.52449250000000014</v>
      </c>
      <c r="I79" s="14">
        <f>I78-(Mainsheet!$C$24-Mainsheet!$C$26)/100</f>
        <v>1599.5524458966511</v>
      </c>
      <c r="J79" s="15">
        <f t="shared" si="15"/>
        <v>0.57399999999999995</v>
      </c>
      <c r="L79" s="14">
        <f t="shared" si="12"/>
        <v>3270.6474819045984</v>
      </c>
      <c r="M79" s="15">
        <f t="shared" si="16"/>
        <v>1</v>
      </c>
      <c r="N79" s="14">
        <f>N78+(Mainsheet!$D$22-Mainsheet!$D$20)/100</f>
        <v>7504.1458556125826</v>
      </c>
      <c r="O79" s="14">
        <f t="shared" si="17"/>
        <v>1.7712457818117111</v>
      </c>
      <c r="P79" s="14">
        <f t="shared" si="13"/>
        <v>7478.5095368418924</v>
      </c>
      <c r="Q79" s="15">
        <f t="shared" si="18"/>
        <v>1.9204140401675889</v>
      </c>
      <c r="R79" s="14">
        <f>R78-(Mainsheet!$D$24-Mainsheet!$D$26)/100</f>
        <v>3199.1048917933031</v>
      </c>
      <c r="S79" s="14">
        <f>S78+Mainsheet!$I$6*LN(Data!R79/Data!R78)</f>
        <v>1.3370268758653185</v>
      </c>
    </row>
    <row r="80" spans="1:19" x14ac:dyDescent="0.3">
      <c r="A80" s="14">
        <f>A79+(Mainsheet!$C$20-Mainsheet!$C$18)/100</f>
        <v>5652.2355149678233</v>
      </c>
      <c r="B80" s="14">
        <f t="shared" si="11"/>
        <v>0.16657572576294413</v>
      </c>
      <c r="D80" s="15">
        <f t="shared" si="14"/>
        <v>6964.4045063689919</v>
      </c>
      <c r="E80" s="14">
        <f>E79+(Mainsheet!$E$22-Mainsheet!$E$20)/100</f>
        <v>0.31139500000000009</v>
      </c>
      <c r="F80" s="14">
        <f>F79*(G79/G80)^Mainsheet!$I$5</f>
        <v>4068.8109353739637</v>
      </c>
      <c r="G80" s="14">
        <f>G79+(Mainsheet!$E$24-Mainsheet!$E$22)/100</f>
        <v>0.52664500000000014</v>
      </c>
      <c r="I80" s="14">
        <f>I79-(Mainsheet!$C$24-Mainsheet!$C$26)/100</f>
        <v>1573.4849482489708</v>
      </c>
      <c r="J80" s="15">
        <f t="shared" si="15"/>
        <v>0.57399999999999995</v>
      </c>
      <c r="L80" s="14">
        <f t="shared" si="12"/>
        <v>3280.5757250482702</v>
      </c>
      <c r="M80" s="15">
        <f t="shared" si="16"/>
        <v>1</v>
      </c>
      <c r="N80" s="14">
        <f>N79+(Mainsheet!$D$22-Mainsheet!$D$20)/100</f>
        <v>7556.37888941035</v>
      </c>
      <c r="O80" s="14">
        <f t="shared" si="17"/>
        <v>1.7782134398063532</v>
      </c>
      <c r="P80" s="14">
        <f t="shared" si="13"/>
        <v>7466.2680664112258</v>
      </c>
      <c r="Q80" s="15">
        <f t="shared" si="18"/>
        <v>1.9204140401675889</v>
      </c>
      <c r="R80" s="14">
        <f>R79-(Mainsheet!$D$24-Mainsheet!$D$26)/100</f>
        <v>3146.9698964979425</v>
      </c>
      <c r="S80" s="14">
        <f>S79+Mainsheet!$I$6*LN(Data!R80/Data!R79)</f>
        <v>1.325237635444023</v>
      </c>
    </row>
    <row r="81" spans="1:19" x14ac:dyDescent="0.3">
      <c r="A81" s="14">
        <f>A80+(Mainsheet!$C$20-Mainsheet!$C$18)/100</f>
        <v>5711.8795600315134</v>
      </c>
      <c r="B81" s="14">
        <f t="shared" si="11"/>
        <v>0.16533143463043484</v>
      </c>
      <c r="D81" s="15">
        <f t="shared" si="14"/>
        <v>6964.4045063689919</v>
      </c>
      <c r="E81" s="14">
        <f>E80+(Mainsheet!$E$22-Mainsheet!$E$20)/100</f>
        <v>0.31354750000000009</v>
      </c>
      <c r="F81" s="14">
        <f>F80*(G80/G81)^Mainsheet!$I$5</f>
        <v>4045.6425741369126</v>
      </c>
      <c r="G81" s="14">
        <f>G80+(Mainsheet!$E$24-Mainsheet!$E$22)/100</f>
        <v>0.52879750000000014</v>
      </c>
      <c r="I81" s="14">
        <f>I80-(Mainsheet!$C$24-Mainsheet!$C$26)/100</f>
        <v>1547.4174506012905</v>
      </c>
      <c r="J81" s="15">
        <f t="shared" si="15"/>
        <v>0.57399999999999995</v>
      </c>
      <c r="L81" s="14">
        <f t="shared" si="12"/>
        <v>3290.429414969572</v>
      </c>
      <c r="M81" s="15">
        <f t="shared" si="16"/>
        <v>1</v>
      </c>
      <c r="N81" s="14">
        <f>N80+(Mainsheet!$D$22-Mainsheet!$D$20)/100</f>
        <v>7608.6119232081173</v>
      </c>
      <c r="O81" s="14">
        <f t="shared" si="17"/>
        <v>1.7851330997760169</v>
      </c>
      <c r="P81" s="14">
        <f t="shared" si="13"/>
        <v>7454.0964428472635</v>
      </c>
      <c r="Q81" s="15">
        <f t="shared" si="18"/>
        <v>1.9204140401675889</v>
      </c>
      <c r="R81" s="14">
        <f>R80-(Mainsheet!$D$24-Mainsheet!$D$26)/100</f>
        <v>3094.8349012025819</v>
      </c>
      <c r="S81" s="14">
        <f>S80+Mainsheet!$I$6*LN(Data!R81/Data!R80)</f>
        <v>1.3132514454649467</v>
      </c>
    </row>
    <row r="82" spans="1:19" x14ac:dyDescent="0.3">
      <c r="A82" s="14">
        <f>A81+(Mainsheet!$C$20-Mainsheet!$C$18)/100</f>
        <v>5771.5236050952035</v>
      </c>
      <c r="B82" s="14">
        <f t="shared" si="11"/>
        <v>0.16410921980810389</v>
      </c>
      <c r="D82" s="15">
        <f t="shared" si="14"/>
        <v>6964.4045063689919</v>
      </c>
      <c r="E82" s="14">
        <f>E81+(Mainsheet!$E$22-Mainsheet!$E$20)/100</f>
        <v>0.31570000000000009</v>
      </c>
      <c r="F82" s="14">
        <f>F81*(G81/G82)^Mainsheet!$I$5</f>
        <v>4022.699451745631</v>
      </c>
      <c r="G82" s="14">
        <f>G81+(Mainsheet!$E$24-Mainsheet!$E$22)/100</f>
        <v>0.53095000000000014</v>
      </c>
      <c r="I82" s="14">
        <f>I81-(Mainsheet!$C$24-Mainsheet!$C$26)/100</f>
        <v>1521.3499529536102</v>
      </c>
      <c r="J82" s="15">
        <f t="shared" si="15"/>
        <v>0.57399999999999995</v>
      </c>
      <c r="L82" s="14">
        <f t="shared" si="12"/>
        <v>3300.2098813109023</v>
      </c>
      <c r="M82" s="15">
        <f t="shared" si="16"/>
        <v>1</v>
      </c>
      <c r="N82" s="14">
        <f>N81+(Mainsheet!$D$22-Mainsheet!$D$20)/100</f>
        <v>7660.8449570058847</v>
      </c>
      <c r="O82" s="14">
        <f t="shared" si="17"/>
        <v>1.7920054184859089</v>
      </c>
      <c r="P82" s="14">
        <f t="shared" si="13"/>
        <v>7441.9939857294194</v>
      </c>
      <c r="Q82" s="15">
        <f t="shared" si="18"/>
        <v>1.9204140401675889</v>
      </c>
      <c r="R82" s="14">
        <f>R81-(Mainsheet!$D$24-Mainsheet!$D$26)/100</f>
        <v>3042.6999059072214</v>
      </c>
      <c r="S82" s="14">
        <f>S81+Mainsheet!$I$6*LN(Data!R82/Data!R81)</f>
        <v>1.3010616135388526</v>
      </c>
    </row>
    <row r="83" spans="1:19" x14ac:dyDescent="0.3">
      <c r="A83" s="14">
        <f>A82+(Mainsheet!$C$20-Mainsheet!$C$18)/100</f>
        <v>5831.1676501588936</v>
      </c>
      <c r="B83" s="14">
        <f t="shared" si="11"/>
        <v>0.16290846748764934</v>
      </c>
      <c r="D83" s="15">
        <f t="shared" si="14"/>
        <v>6964.4045063689919</v>
      </c>
      <c r="E83" s="14">
        <f>E82+(Mainsheet!$E$22-Mainsheet!$E$20)/100</f>
        <v>0.31785250000000009</v>
      </c>
      <c r="F83" s="14">
        <f>F82*(G82/G83)^Mainsheet!$I$5</f>
        <v>3999.9784785945458</v>
      </c>
      <c r="G83" s="14">
        <f>G82+(Mainsheet!$E$24-Mainsheet!$E$22)/100</f>
        <v>0.53310250000000015</v>
      </c>
      <c r="I83" s="14">
        <f>I82-(Mainsheet!$C$24-Mainsheet!$C$26)/100</f>
        <v>1495.2824553059299</v>
      </c>
      <c r="J83" s="15">
        <f t="shared" si="15"/>
        <v>0.57399999999999995</v>
      </c>
      <c r="L83" s="14">
        <f t="shared" si="12"/>
        <v>3309.9184165538077</v>
      </c>
      <c r="M83" s="15">
        <f t="shared" si="16"/>
        <v>1</v>
      </c>
      <c r="N83" s="14">
        <f>N82+(Mainsheet!$D$22-Mainsheet!$D$20)/100</f>
        <v>7713.077990803652</v>
      </c>
      <c r="O83" s="14">
        <f t="shared" si="17"/>
        <v>1.7988310393128355</v>
      </c>
      <c r="P83" s="14">
        <f t="shared" si="13"/>
        <v>7429.9600239893707</v>
      </c>
      <c r="Q83" s="15">
        <f t="shared" si="18"/>
        <v>1.9204140401675889</v>
      </c>
      <c r="R83" s="14">
        <f>R82-(Mainsheet!$D$24-Mainsheet!$D$26)/100</f>
        <v>2990.5649106118608</v>
      </c>
      <c r="S83" s="14">
        <f>S82+Mainsheet!$I$6*LN(Data!R83/Data!R82)</f>
        <v>1.2886611002588608</v>
      </c>
    </row>
    <row r="84" spans="1:19" x14ac:dyDescent="0.3">
      <c r="A84" s="14">
        <f>A83+(Mainsheet!$C$20-Mainsheet!$C$18)/100</f>
        <v>5890.8116952225837</v>
      </c>
      <c r="B84" s="14">
        <f t="shared" si="11"/>
        <v>0.1617285869778905</v>
      </c>
      <c r="D84" s="15">
        <f t="shared" si="14"/>
        <v>6964.4045063689919</v>
      </c>
      <c r="E84" s="14">
        <f>E83+(Mainsheet!$E$22-Mainsheet!$E$20)/100</f>
        <v>0.32000500000000009</v>
      </c>
      <c r="F84" s="14">
        <f>F83*(G83/G84)^Mainsheet!$I$5</f>
        <v>3977.4766197026129</v>
      </c>
      <c r="G84" s="14">
        <f>G83+(Mainsheet!$E$24-Mainsheet!$E$22)/100</f>
        <v>0.53525500000000015</v>
      </c>
      <c r="I84" s="14">
        <f>I83-(Mainsheet!$C$24-Mainsheet!$C$26)/100</f>
        <v>1469.2149576582497</v>
      </c>
      <c r="J84" s="15">
        <f t="shared" si="15"/>
        <v>0.57399999999999995</v>
      </c>
      <c r="L84" s="14">
        <f t="shared" si="12"/>
        <v>3319.5562774257155</v>
      </c>
      <c r="M84" s="15">
        <f t="shared" si="16"/>
        <v>1</v>
      </c>
      <c r="N84" s="14">
        <f>N83+(Mainsheet!$D$22-Mainsheet!$D$20)/100</f>
        <v>7765.3110246014194</v>
      </c>
      <c r="O84" s="14">
        <f t="shared" si="17"/>
        <v>1.805610592606651</v>
      </c>
      <c r="P84" s="14">
        <f t="shared" si="13"/>
        <v>7417.9938957453751</v>
      </c>
      <c r="Q84" s="15">
        <f t="shared" si="18"/>
        <v>1.9204140401675889</v>
      </c>
      <c r="R84" s="14">
        <f>R83-(Mainsheet!$D$24-Mainsheet!$D$26)/100</f>
        <v>2938.4299153165002</v>
      </c>
      <c r="S84" s="14">
        <f>S83+Mainsheet!$I$6*LN(Data!R84/Data!R83)</f>
        <v>1.276042494786169</v>
      </c>
    </row>
    <row r="85" spans="1:19" x14ac:dyDescent="0.3">
      <c r="A85" s="14">
        <f>A84+(Mainsheet!$C$20-Mainsheet!$C$18)/100</f>
        <v>5950.4557402862738</v>
      </c>
      <c r="B85" s="14">
        <f t="shared" si="11"/>
        <v>0.16056900961082424</v>
      </c>
      <c r="D85" s="15">
        <f t="shared" si="14"/>
        <v>6964.4045063689919</v>
      </c>
      <c r="E85" s="14">
        <f>E84+(Mainsheet!$E$22-Mainsheet!$E$20)/100</f>
        <v>0.3221575000000001</v>
      </c>
      <c r="F85" s="14">
        <f>F84*(G84/G85)^Mainsheet!$I$5</f>
        <v>3955.1908935328033</v>
      </c>
      <c r="G85" s="14">
        <f>G84+(Mainsheet!$E$24-Mainsheet!$E$22)/100</f>
        <v>0.53740750000000015</v>
      </c>
      <c r="I85" s="14">
        <f>I84-(Mainsheet!$C$24-Mainsheet!$C$26)/100</f>
        <v>1443.1474600105694</v>
      </c>
      <c r="J85" s="15">
        <f t="shared" si="15"/>
        <v>0.57399999999999995</v>
      </c>
      <c r="L85" s="14">
        <f t="shared" si="12"/>
        <v>3329.1246862397597</v>
      </c>
      <c r="M85" s="15">
        <f t="shared" si="16"/>
        <v>1</v>
      </c>
      <c r="N85" s="14">
        <f>N84+(Mainsheet!$D$22-Mainsheet!$D$20)/100</f>
        <v>7817.5440583991867</v>
      </c>
      <c r="O85" s="14">
        <f t="shared" si="17"/>
        <v>1.812344696039591</v>
      </c>
      <c r="P85" s="14">
        <f t="shared" si="13"/>
        <v>7406.0949481401758</v>
      </c>
      <c r="Q85" s="15">
        <f t="shared" si="18"/>
        <v>1.9204140401675889</v>
      </c>
      <c r="R85" s="14">
        <f>R84-(Mainsheet!$D$24-Mainsheet!$D$26)/100</f>
        <v>2886.2949200211397</v>
      </c>
      <c r="S85" s="14">
        <f>S84+Mainsheet!$I$6*LN(Data!R85/Data!R84)</f>
        <v>1.2631979882502051</v>
      </c>
    </row>
    <row r="86" spans="1:19" x14ac:dyDescent="0.3">
      <c r="A86" s="14">
        <f>A85+(Mainsheet!$C$20-Mainsheet!$C$18)/100</f>
        <v>6010.0997853499639</v>
      </c>
      <c r="B86" s="14">
        <f t="shared" si="11"/>
        <v>0.15942918770980635</v>
      </c>
      <c r="D86" s="15">
        <f t="shared" si="14"/>
        <v>6964.4045063689919</v>
      </c>
      <c r="E86" s="14">
        <f>E85+(Mainsheet!$E$22-Mainsheet!$E$20)/100</f>
        <v>0.3243100000000001</v>
      </c>
      <c r="F86" s="14">
        <f>F85*(G85/G86)^Mainsheet!$I$5</f>
        <v>3933.1183708417038</v>
      </c>
      <c r="G86" s="14">
        <f>G85+(Mainsheet!$E$24-Mainsheet!$E$22)/100</f>
        <v>0.53956000000000015</v>
      </c>
      <c r="I86" s="14">
        <f>I85-(Mainsheet!$C$24-Mainsheet!$C$26)/100</f>
        <v>1417.0799623628891</v>
      </c>
      <c r="J86" s="15">
        <f t="shared" si="15"/>
        <v>0.57399999999999995</v>
      </c>
      <c r="L86" s="14">
        <f t="shared" si="12"/>
        <v>3338.6248321715207</v>
      </c>
      <c r="M86" s="15">
        <f t="shared" si="16"/>
        <v>1</v>
      </c>
      <c r="N86" s="14">
        <f>N85+(Mainsheet!$D$22-Mainsheet!$D$20)/100</f>
        <v>7869.7770921969541</v>
      </c>
      <c r="O86" s="14">
        <f t="shared" si="17"/>
        <v>1.8190339549439729</v>
      </c>
      <c r="P86" s="14">
        <f t="shared" si="13"/>
        <v>7394.2625371824051</v>
      </c>
      <c r="Q86" s="15">
        <f t="shared" si="18"/>
        <v>1.9204140401675889</v>
      </c>
      <c r="R86" s="14">
        <f>R85-(Mainsheet!$D$24-Mainsheet!$D$26)/100</f>
        <v>2834.1599247257791</v>
      </c>
      <c r="S86" s="14">
        <f>S85+Mainsheet!$I$6*LN(Data!R86/Data!R85)</f>
        <v>1.2501193447241403</v>
      </c>
    </row>
    <row r="87" spans="1:19" x14ac:dyDescent="0.3">
      <c r="A87" s="14">
        <f>A86+(Mainsheet!$C$20-Mainsheet!$C$18)/100</f>
        <v>6069.743830413654</v>
      </c>
      <c r="B87" s="14">
        <f t="shared" si="11"/>
        <v>0.158308593615753</v>
      </c>
      <c r="D87" s="15">
        <f t="shared" si="14"/>
        <v>6964.4045063689919</v>
      </c>
      <c r="E87" s="14">
        <f>E86+(Mainsheet!$E$22-Mainsheet!$E$20)/100</f>
        <v>0.3264625000000001</v>
      </c>
      <c r="F87" s="14">
        <f>F86*(G86/G87)^Mainsheet!$I$5</f>
        <v>3911.2561735583499</v>
      </c>
      <c r="G87" s="14">
        <f>G86+(Mainsheet!$E$24-Mainsheet!$E$22)/100</f>
        <v>0.54171250000000015</v>
      </c>
      <c r="I87" s="14">
        <f>I86-(Mainsheet!$C$24-Mainsheet!$C$26)/100</f>
        <v>1391.0124647152088</v>
      </c>
      <c r="J87" s="15">
        <f t="shared" si="15"/>
        <v>0.57399999999999995</v>
      </c>
      <c r="L87" s="14">
        <f t="shared" si="12"/>
        <v>3348.057872476234</v>
      </c>
      <c r="M87" s="15">
        <f t="shared" si="16"/>
        <v>1</v>
      </c>
      <c r="N87" s="14">
        <f>N86+(Mainsheet!$D$22-Mainsheet!$D$20)/100</f>
        <v>7922.0101259947214</v>
      </c>
      <c r="O87" s="14">
        <f t="shared" si="17"/>
        <v>1.8256789626387264</v>
      </c>
      <c r="P87" s="14">
        <f t="shared" si="13"/>
        <v>7382.4960275913872</v>
      </c>
      <c r="Q87" s="15">
        <f t="shared" si="18"/>
        <v>1.9204140401675889</v>
      </c>
      <c r="R87" s="14">
        <f>R86-(Mainsheet!$D$24-Mainsheet!$D$26)/100</f>
        <v>2782.0249294304185</v>
      </c>
      <c r="S87" s="14">
        <f>S86+Mainsheet!$I$6*LN(Data!R87/Data!R86)</f>
        <v>1.2367978695056174</v>
      </c>
    </row>
    <row r="88" spans="1:19" x14ac:dyDescent="0.3">
      <c r="A88" s="14">
        <f>A87+(Mainsheet!$C$20-Mainsheet!$C$18)/100</f>
        <v>6129.3878754773441</v>
      </c>
      <c r="B88" s="14">
        <f t="shared" si="11"/>
        <v>0.15720671876756614</v>
      </c>
      <c r="D88" s="15">
        <f t="shared" si="14"/>
        <v>6964.4045063689919</v>
      </c>
      <c r="E88" s="14">
        <f>E87+(Mainsheet!$E$22-Mainsheet!$E$20)/100</f>
        <v>0.3286150000000001</v>
      </c>
      <c r="F88" s="14">
        <f>F87*(G87/G88)^Mainsheet!$I$5</f>
        <v>3889.6014736914353</v>
      </c>
      <c r="G88" s="14">
        <f>G87+(Mainsheet!$E$24-Mainsheet!$E$22)/100</f>
        <v>0.54386500000000015</v>
      </c>
      <c r="I88" s="14">
        <f>I87-(Mainsheet!$C$24-Mainsheet!$C$26)/100</f>
        <v>1364.9449670675285</v>
      </c>
      <c r="J88" s="15">
        <f t="shared" si="15"/>
        <v>0.57399999999999995</v>
      </c>
      <c r="L88" s="14">
        <f t="shared" si="12"/>
        <v>3357.4249336498142</v>
      </c>
      <c r="M88" s="15">
        <f t="shared" si="16"/>
        <v>1</v>
      </c>
      <c r="N88" s="14">
        <f>N87+(Mainsheet!$D$22-Mainsheet!$D$20)/100</f>
        <v>7974.2431597924888</v>
      </c>
      <c r="O88" s="14">
        <f t="shared" si="17"/>
        <v>1.8322803007451955</v>
      </c>
      <c r="P88" s="14">
        <f t="shared" si="13"/>
        <v>7370.7947926452716</v>
      </c>
      <c r="Q88" s="15">
        <f t="shared" si="18"/>
        <v>1.9204140401675889</v>
      </c>
      <c r="R88" s="14">
        <f>R87-(Mainsheet!$D$24-Mainsheet!$D$26)/100</f>
        <v>2729.889934135058</v>
      </c>
      <c r="S88" s="14">
        <f>S87+Mainsheet!$I$6*LN(Data!R88/Data!R87)</f>
        <v>1.2232243743967688</v>
      </c>
    </row>
    <row r="89" spans="1:19" x14ac:dyDescent="0.3">
      <c r="A89" s="14">
        <f>A88+(Mainsheet!$C$20-Mainsheet!$C$18)/100</f>
        <v>6189.0319205410342</v>
      </c>
      <c r="B89" s="14">
        <f t="shared" si="11"/>
        <v>0.15612307283326973</v>
      </c>
      <c r="D89" s="15">
        <f t="shared" si="14"/>
        <v>6964.4045063689919</v>
      </c>
      <c r="E89" s="14">
        <f>E88+(Mainsheet!$E$22-Mainsheet!$E$20)/100</f>
        <v>0.3307675000000001</v>
      </c>
      <c r="F89" s="14">
        <f>F88*(G88/G89)^Mainsheet!$I$5</f>
        <v>3868.1514922640713</v>
      </c>
      <c r="G89" s="14">
        <f>G88+(Mainsheet!$E$24-Mainsheet!$E$22)/100</f>
        <v>0.54601750000000016</v>
      </c>
      <c r="I89" s="14">
        <f>I88-(Mainsheet!$C$24-Mainsheet!$C$26)/100</f>
        <v>1338.8774694198482</v>
      </c>
      <c r="J89" s="15">
        <f t="shared" si="15"/>
        <v>0.57399999999999995</v>
      </c>
      <c r="L89" s="14">
        <f t="shared" si="12"/>
        <v>3366.7271125367915</v>
      </c>
      <c r="M89" s="15">
        <f t="shared" si="16"/>
        <v>1</v>
      </c>
      <c r="N89" s="14">
        <f>N88+(Mainsheet!$D$22-Mainsheet!$D$20)/100</f>
        <v>8026.4761935902561</v>
      </c>
      <c r="O89" s="14">
        <f t="shared" si="17"/>
        <v>1.8388385394926303</v>
      </c>
      <c r="P89" s="14">
        <f t="shared" si="13"/>
        <v>7359.1582140323981</v>
      </c>
      <c r="Q89" s="15">
        <f t="shared" si="18"/>
        <v>1.9204140401675889</v>
      </c>
      <c r="R89" s="14">
        <f>R88-(Mainsheet!$D$24-Mainsheet!$D$26)/100</f>
        <v>2677.7549388396974</v>
      </c>
      <c r="S89" s="14">
        <f>S88+Mainsheet!$I$6*LN(Data!R89/Data!R88)</f>
        <v>1.209389139636291</v>
      </c>
    </row>
    <row r="90" spans="1:19" x14ac:dyDescent="0.3">
      <c r="A90" s="14">
        <f>A89+(Mainsheet!$C$20-Mainsheet!$C$18)/100</f>
        <v>6248.6759656047243</v>
      </c>
      <c r="B90" s="14">
        <f t="shared" si="11"/>
        <v>0.15505718288860162</v>
      </c>
      <c r="D90" s="15">
        <f t="shared" si="14"/>
        <v>6964.4045063689919</v>
      </c>
      <c r="E90" s="14">
        <f>E89+(Mainsheet!$E$22-Mainsheet!$E$20)/100</f>
        <v>0.3329200000000001</v>
      </c>
      <c r="F90" s="14">
        <f>F89*(G89/G90)^Mainsheet!$I$5</f>
        <v>3846.9034982752937</v>
      </c>
      <c r="G90" s="14">
        <f>G89+(Mainsheet!$E$24-Mainsheet!$E$22)/100</f>
        <v>0.54817000000000016</v>
      </c>
      <c r="I90" s="14">
        <f>I89-(Mainsheet!$C$24-Mainsheet!$C$26)/100</f>
        <v>1312.809971772168</v>
      </c>
      <c r="J90" s="15">
        <f t="shared" si="15"/>
        <v>0.57399999999999995</v>
      </c>
      <c r="L90" s="14">
        <f t="shared" si="12"/>
        <v>3375.9654773880879</v>
      </c>
      <c r="M90" s="15">
        <f t="shared" si="16"/>
        <v>1</v>
      </c>
      <c r="N90" s="14">
        <f>N89+(Mainsheet!$D$22-Mainsheet!$D$20)/100</f>
        <v>8078.7092273880235</v>
      </c>
      <c r="O90" s="14">
        <f t="shared" si="17"/>
        <v>1.8453542380137702</v>
      </c>
      <c r="P90" s="14">
        <f t="shared" si="13"/>
        <v>7347.5856817058138</v>
      </c>
      <c r="Q90" s="15">
        <f t="shared" si="18"/>
        <v>1.9204140401675889</v>
      </c>
      <c r="R90" s="14">
        <f>R89-(Mainsheet!$D$24-Mainsheet!$D$26)/100</f>
        <v>2625.6199435443368</v>
      </c>
      <c r="S90" s="14">
        <f>S89+Mainsheet!$I$6*LN(Data!R90/Data!R89)</f>
        <v>1.1952818720885521</v>
      </c>
    </row>
    <row r="91" spans="1:19" x14ac:dyDescent="0.3">
      <c r="A91" s="14">
        <f>A90+(Mainsheet!$C$20-Mainsheet!$C$18)/100</f>
        <v>6308.3200106684144</v>
      </c>
      <c r="B91" s="14">
        <f t="shared" si="11"/>
        <v>0.15400859264004532</v>
      </c>
      <c r="D91" s="15">
        <f t="shared" si="14"/>
        <v>6964.4045063689919</v>
      </c>
      <c r="E91" s="14">
        <f>E90+(Mainsheet!$E$22-Mainsheet!$E$20)/100</f>
        <v>0.33507250000000011</v>
      </c>
      <c r="F91" s="14">
        <f>F90*(G90/G91)^Mainsheet!$I$5</f>
        <v>3825.8548076875481</v>
      </c>
      <c r="G91" s="14">
        <f>G90+(Mainsheet!$E$24-Mainsheet!$E$22)/100</f>
        <v>0.55032250000000016</v>
      </c>
      <c r="I91" s="14">
        <f>I90-(Mainsheet!$C$24-Mainsheet!$C$26)/100</f>
        <v>1286.7424741244877</v>
      </c>
      <c r="J91" s="15">
        <f t="shared" si="15"/>
        <v>0.57399999999999995</v>
      </c>
      <c r="L91" s="14">
        <f t="shared" si="12"/>
        <v>3385.1410688713527</v>
      </c>
      <c r="M91" s="15">
        <f t="shared" si="16"/>
        <v>1</v>
      </c>
      <c r="N91" s="14">
        <f>N90+(Mainsheet!$D$22-Mainsheet!$D$20)/100</f>
        <v>8130.9422611857908</v>
      </c>
      <c r="O91" s="14">
        <f t="shared" si="17"/>
        <v>1.8518279446309041</v>
      </c>
      <c r="P91" s="14">
        <f t="shared" si="13"/>
        <v>7336.0765937408769</v>
      </c>
      <c r="Q91" s="15">
        <f t="shared" si="18"/>
        <v>1.9204140401675889</v>
      </c>
      <c r="R91" s="14">
        <f>R90-(Mainsheet!$D$24-Mainsheet!$D$26)/100</f>
        <v>2573.4849482489763</v>
      </c>
      <c r="S91" s="14">
        <f>S90+Mainsheet!$I$6*LN(Data!R91/Data!R90)</f>
        <v>1.1808916592392282</v>
      </c>
    </row>
    <row r="92" spans="1:19" x14ac:dyDescent="0.3">
      <c r="A92" s="14">
        <f>A91+(Mainsheet!$C$20-Mainsheet!$C$18)/100</f>
        <v>6367.9640557321045</v>
      </c>
      <c r="B92" s="14">
        <f t="shared" si="11"/>
        <v>0.15297686168950203</v>
      </c>
      <c r="D92" s="15">
        <f t="shared" si="14"/>
        <v>6964.4045063689919</v>
      </c>
      <c r="E92" s="14">
        <f>E91+(Mainsheet!$E$22-Mainsheet!$E$20)/100</f>
        <v>0.33722500000000011</v>
      </c>
      <c r="F92" s="14">
        <f>F91*(G91/G92)^Mainsheet!$I$5</f>
        <v>3805.0027824394001</v>
      </c>
      <c r="G92" s="14">
        <f>G91+(Mainsheet!$E$24-Mainsheet!$E$22)/100</f>
        <v>0.55247500000000016</v>
      </c>
      <c r="I92" s="14">
        <f>I91-(Mainsheet!$C$24-Mainsheet!$C$26)/100</f>
        <v>1260.6749764768074</v>
      </c>
      <c r="J92" s="15">
        <f t="shared" si="15"/>
        <v>0.57399999999999995</v>
      </c>
      <c r="L92" s="14">
        <f t="shared" si="12"/>
        <v>3394.2549010364137</v>
      </c>
      <c r="M92" s="15">
        <f t="shared" si="16"/>
        <v>1</v>
      </c>
      <c r="N92" s="14">
        <f>N91+(Mainsheet!$D$22-Mainsheet!$D$20)/100</f>
        <v>8183.1752949835582</v>
      </c>
      <c r="O92" s="14">
        <f t="shared" si="17"/>
        <v>1.8582601971327695</v>
      </c>
      <c r="P92" s="14">
        <f t="shared" si="13"/>
        <v>7324.6303561958484</v>
      </c>
      <c r="Q92" s="15">
        <f t="shared" si="18"/>
        <v>1.9204140401675889</v>
      </c>
      <c r="R92" s="14">
        <f>R91-(Mainsheet!$D$24-Mainsheet!$D$26)/100</f>
        <v>2521.3499529536157</v>
      </c>
      <c r="S92" s="14">
        <f>S91+Mainsheet!$I$6*LN(Data!R92/Data!R91)</f>
        <v>1.1662069184824162</v>
      </c>
    </row>
    <row r="93" spans="1:19" x14ac:dyDescent="0.3">
      <c r="A93" s="14">
        <f>A92+(Mainsheet!$C$20-Mainsheet!$C$18)/100</f>
        <v>6427.6081007957946</v>
      </c>
      <c r="B93" s="14">
        <f t="shared" si="11"/>
        <v>0.15196156483800624</v>
      </c>
      <c r="D93" s="15">
        <f t="shared" si="14"/>
        <v>6964.4045063689919</v>
      </c>
      <c r="E93" s="14">
        <f>E92+(Mainsheet!$E$22-Mainsheet!$E$20)/100</f>
        <v>0.33937750000000011</v>
      </c>
      <c r="F93" s="14">
        <f>F92*(G92/G93)^Mainsheet!$I$5</f>
        <v>3784.3448294827494</v>
      </c>
      <c r="G93" s="14">
        <f>G92+(Mainsheet!$E$24-Mainsheet!$E$22)/100</f>
        <v>0.55462750000000016</v>
      </c>
      <c r="I93" s="14">
        <f>I92-(Mainsheet!$C$24-Mainsheet!$C$26)/100</f>
        <v>1234.6074788291271</v>
      </c>
      <c r="J93" s="15">
        <f t="shared" si="15"/>
        <v>0.57399999999999995</v>
      </c>
      <c r="L93" s="14">
        <f t="shared" si="12"/>
        <v>3403.3079622382379</v>
      </c>
      <c r="M93" s="15">
        <f t="shared" si="16"/>
        <v>1</v>
      </c>
      <c r="N93" s="14">
        <f>N92+(Mainsheet!$D$22-Mainsheet!$D$20)/100</f>
        <v>8235.4083287813264</v>
      </c>
      <c r="O93" s="14">
        <f t="shared" si="17"/>
        <v>1.8646515230426435</v>
      </c>
      <c r="P93" s="14">
        <f t="shared" si="13"/>
        <v>7313.246382975417</v>
      </c>
      <c r="Q93" s="15">
        <f t="shared" si="18"/>
        <v>1.9204140401675889</v>
      </c>
      <c r="R93" s="14">
        <f>R92-(Mainsheet!$D$24-Mainsheet!$D$26)/100</f>
        <v>2469.2149576582551</v>
      </c>
      <c r="S93" s="14">
        <f>S92+Mainsheet!$I$6*LN(Data!R93/Data!R92)</f>
        <v>1.1512153411088162</v>
      </c>
    </row>
    <row r="94" spans="1:19" x14ac:dyDescent="0.3">
      <c r="A94" s="14">
        <f>A93+(Mainsheet!$C$20-Mainsheet!$C$18)/100</f>
        <v>6487.2521458594847</v>
      </c>
      <c r="B94" s="14">
        <f t="shared" si="11"/>
        <v>0.15096229142607021</v>
      </c>
      <c r="D94" s="15">
        <f t="shared" si="14"/>
        <v>6964.4045063689919</v>
      </c>
      <c r="E94" s="14">
        <f>E93+(Mainsheet!$E$22-Mainsheet!$E$20)/100</f>
        <v>0.34153000000000011</v>
      </c>
      <c r="F94" s="14">
        <f>F93*(G93/G94)^Mainsheet!$I$5</f>
        <v>3763.8783998438498</v>
      </c>
      <c r="G94" s="14">
        <f>G93+(Mainsheet!$E$24-Mainsheet!$E$22)/100</f>
        <v>0.55678000000000016</v>
      </c>
      <c r="I94" s="14">
        <f>I93-(Mainsheet!$C$24-Mainsheet!$C$26)/100</f>
        <v>1208.5399811814468</v>
      </c>
      <c r="J94" s="15">
        <f t="shared" si="15"/>
        <v>0.57399999999999995</v>
      </c>
      <c r="L94" s="14">
        <f t="shared" si="12"/>
        <v>3412.3012160196481</v>
      </c>
      <c r="M94" s="15">
        <f t="shared" si="16"/>
        <v>1</v>
      </c>
      <c r="N94" s="14">
        <f>N93+(Mainsheet!$D$22-Mainsheet!$D$20)/100</f>
        <v>8287.6413625790938</v>
      </c>
      <c r="O94" s="14">
        <f t="shared" si="17"/>
        <v>1.8710024398779583</v>
      </c>
      <c r="P94" s="14">
        <f t="shared" si="13"/>
        <v>7301.9240956970725</v>
      </c>
      <c r="Q94" s="15">
        <f t="shared" si="18"/>
        <v>1.9204140401675889</v>
      </c>
      <c r="R94" s="14">
        <f>R93-(Mainsheet!$D$24-Mainsheet!$D$26)/100</f>
        <v>2417.0799623628945</v>
      </c>
      <c r="S94" s="14">
        <f>S93+Mainsheet!$I$6*LN(Data!R94/Data!R93)</f>
        <v>1.1359038303163627</v>
      </c>
    </row>
    <row r="95" spans="1:19" x14ac:dyDescent="0.3">
      <c r="A95" s="14">
        <f>A94+(Mainsheet!$C$20-Mainsheet!$C$18)/100</f>
        <v>6546.8961909231748</v>
      </c>
      <c r="B95" s="14">
        <f t="shared" si="11"/>
        <v>0.14997864470841529</v>
      </c>
      <c r="D95" s="15">
        <f t="shared" si="14"/>
        <v>6964.4045063689919</v>
      </c>
      <c r="E95" s="14">
        <f>E94+(Mainsheet!$E$22-Mainsheet!$E$20)/100</f>
        <v>0.34368250000000011</v>
      </c>
      <c r="F95" s="14">
        <f>F94*(G94/G95)^Mainsheet!$I$5</f>
        <v>3743.6009877074484</v>
      </c>
      <c r="G95" s="14">
        <f>G94+(Mainsheet!$E$24-Mainsheet!$E$22)/100</f>
        <v>0.55893250000000017</v>
      </c>
      <c r="I95" s="14">
        <f>I94-(Mainsheet!$C$24-Mainsheet!$C$26)/100</f>
        <v>1182.4724835337665</v>
      </c>
      <c r="J95" s="15">
        <f t="shared" si="15"/>
        <v>0.57399999999999995</v>
      </c>
      <c r="L95" s="14">
        <f t="shared" si="12"/>
        <v>3421.2356019559038</v>
      </c>
      <c r="M95" s="15">
        <f t="shared" si="16"/>
        <v>1</v>
      </c>
      <c r="N95" s="14">
        <f>N94+(Mainsheet!$D$22-Mainsheet!$D$20)/100</f>
        <v>8339.8743963768611</v>
      </c>
      <c r="O95" s="14">
        <f t="shared" si="17"/>
        <v>1.8773134554017612</v>
      </c>
      <c r="P95" s="14">
        <f t="shared" si="13"/>
        <v>7290.6629235602604</v>
      </c>
      <c r="Q95" s="15">
        <f t="shared" si="18"/>
        <v>1.9204140401675889</v>
      </c>
      <c r="R95" s="14">
        <f>R94-(Mainsheet!$D$24-Mainsheet!$D$26)/100</f>
        <v>2364.944967067534</v>
      </c>
      <c r="S95" s="14">
        <f>S94+Mainsheet!$I$6*LN(Data!R95/Data!R94)</f>
        <v>1.1202584324610736</v>
      </c>
    </row>
    <row r="96" spans="1:19" x14ac:dyDescent="0.3">
      <c r="A96" s="14">
        <f>A95+(Mainsheet!$C$20-Mainsheet!$C$18)/100</f>
        <v>6606.5402359868649</v>
      </c>
      <c r="B96" s="14">
        <f t="shared" si="11"/>
        <v>0.14901024126100154</v>
      </c>
      <c r="D96" s="15">
        <f t="shared" si="14"/>
        <v>6964.4045063689919</v>
      </c>
      <c r="E96" s="14">
        <f>E95+(Mainsheet!$E$22-Mainsheet!$E$20)/100</f>
        <v>0.34583500000000011</v>
      </c>
      <c r="F96" s="14">
        <f>F95*(G95/G96)^Mainsheet!$I$5</f>
        <v>3723.5101295234017</v>
      </c>
      <c r="G96" s="14">
        <f>G95+(Mainsheet!$E$24-Mainsheet!$E$22)/100</f>
        <v>0.56108500000000017</v>
      </c>
      <c r="I96" s="14">
        <f>I95-(Mainsheet!$C$24-Mainsheet!$C$26)/100</f>
        <v>1156.4049858860863</v>
      </c>
      <c r="J96" s="15">
        <f t="shared" si="15"/>
        <v>0.57399999999999995</v>
      </c>
      <c r="L96" s="14">
        <f t="shared" si="12"/>
        <v>3430.1120364631247</v>
      </c>
      <c r="M96" s="15">
        <f t="shared" si="16"/>
        <v>1</v>
      </c>
      <c r="N96" s="14">
        <f>N95+(Mainsheet!$D$22-Mainsheet!$D$20)/100</f>
        <v>8392.1074301746285</v>
      </c>
      <c r="O96" s="14">
        <f t="shared" si="17"/>
        <v>1.8835850678663248</v>
      </c>
      <c r="P96" s="14">
        <f t="shared" si="13"/>
        <v>7279.4623032182553</v>
      </c>
      <c r="Q96" s="15">
        <f t="shared" si="18"/>
        <v>1.9204140401675889</v>
      </c>
      <c r="R96" s="14">
        <f>R95-(Mainsheet!$D$24-Mainsheet!$D$26)/100</f>
        <v>2312.8099717721734</v>
      </c>
      <c r="S96" s="14">
        <f>S95+Mainsheet!$I$6*LN(Data!R96/Data!R95)</f>
        <v>1.1042642606437914</v>
      </c>
    </row>
    <row r="97" spans="1:19" x14ac:dyDescent="0.3">
      <c r="A97" s="14">
        <f>A96+(Mainsheet!$C$20-Mainsheet!$C$18)/100</f>
        <v>6666.184281050555</v>
      </c>
      <c r="B97" s="14">
        <f t="shared" si="11"/>
        <v>0.14805671041841356</v>
      </c>
      <c r="D97" s="15">
        <f t="shared" si="14"/>
        <v>6964.4045063689919</v>
      </c>
      <c r="E97" s="14">
        <f>E96+(Mainsheet!$E$22-Mainsheet!$E$20)/100</f>
        <v>0.34798750000000012</v>
      </c>
      <c r="F97" s="14">
        <f>F96*(G96/G97)^Mainsheet!$I$5</f>
        <v>3703.6034031351187</v>
      </c>
      <c r="G97" s="14">
        <f>G96+(Mainsheet!$E$24-Mainsheet!$E$22)/100</f>
        <v>0.56323750000000017</v>
      </c>
      <c r="I97" s="14">
        <f>I96-(Mainsheet!$C$24-Mainsheet!$C$26)/100</f>
        <v>1130.337488238406</v>
      </c>
      <c r="J97" s="15">
        <f t="shared" si="15"/>
        <v>0.57399999999999995</v>
      </c>
      <c r="L97" s="14">
        <f t="shared" si="12"/>
        <v>3438.931413572413</v>
      </c>
      <c r="M97" s="15">
        <f t="shared" si="16"/>
        <v>1</v>
      </c>
      <c r="N97" s="14">
        <f>N96+(Mainsheet!$D$22-Mainsheet!$D$20)/100</f>
        <v>8444.3404639723958</v>
      </c>
      <c r="O97" s="14">
        <f t="shared" si="17"/>
        <v>1.8898177662491986</v>
      </c>
      <c r="P97" s="14">
        <f t="shared" si="13"/>
        <v>7268.3216786526755</v>
      </c>
      <c r="Q97" s="15">
        <f t="shared" si="18"/>
        <v>1.9204140401675889</v>
      </c>
      <c r="R97" s="14">
        <f>R96-(Mainsheet!$D$24-Mainsheet!$D$26)/100</f>
        <v>2260.6749764768128</v>
      </c>
      <c r="S97" s="14">
        <f>S96+Mainsheet!$I$6*LN(Data!R97/Data!R96)</f>
        <v>1.0879054095841263</v>
      </c>
    </row>
    <row r="98" spans="1:19" x14ac:dyDescent="0.3">
      <c r="A98" s="14">
        <f>A97+(Mainsheet!$C$20-Mainsheet!$C$18)/100</f>
        <v>6725.8283261142451</v>
      </c>
      <c r="B98" s="14">
        <f t="shared" si="11"/>
        <v>0.147117693739793</v>
      </c>
      <c r="D98" s="15">
        <f t="shared" si="14"/>
        <v>6964.4045063689919</v>
      </c>
      <c r="E98" s="14">
        <f>E97+(Mainsheet!$E$22-Mainsheet!$E$20)/100</f>
        <v>0.35014000000000012</v>
      </c>
      <c r="F98" s="14">
        <f>F97*(G97/G98)^Mainsheet!$I$5</f>
        <v>3683.8784269292287</v>
      </c>
      <c r="G98" s="14">
        <f>G97+(Mainsheet!$E$24-Mainsheet!$E$22)/100</f>
        <v>0.56539000000000017</v>
      </c>
      <c r="I98" s="14">
        <f>I97-(Mainsheet!$C$24-Mainsheet!$C$26)/100</f>
        <v>1104.2699905907257</v>
      </c>
      <c r="J98" s="15">
        <f t="shared" si="15"/>
        <v>0.57399999999999995</v>
      </c>
      <c r="L98" s="14">
        <f t="shared" si="12"/>
        <v>3447.6946056714291</v>
      </c>
      <c r="M98" s="15">
        <f t="shared" si="16"/>
        <v>1</v>
      </c>
      <c r="N98" s="14">
        <f>N97+(Mainsheet!$D$22-Mainsheet!$D$20)/100</f>
        <v>8496.5734977701632</v>
      </c>
      <c r="O98" s="14">
        <f t="shared" si="17"/>
        <v>1.896012030481983</v>
      </c>
      <c r="P98" s="14">
        <f t="shared" si="13"/>
        <v>7257.2405010505854</v>
      </c>
      <c r="Q98" s="15">
        <f t="shared" si="18"/>
        <v>1.9204140401675889</v>
      </c>
      <c r="R98" s="14">
        <f>R97-(Mainsheet!$D$24-Mainsheet!$D$26)/100</f>
        <v>2208.5399811814523</v>
      </c>
      <c r="S98" s="14">
        <f>S97+Mainsheet!$I$6*LN(Data!R98/Data!R97)</f>
        <v>1.0711648605615804</v>
      </c>
    </row>
    <row r="99" spans="1:19" x14ac:dyDescent="0.3">
      <c r="A99" s="14">
        <f>A98+(Mainsheet!$C$20-Mainsheet!$C$18)/100</f>
        <v>6785.4723711779352</v>
      </c>
      <c r="B99" s="14">
        <f t="shared" ref="B99:B102" si="19">0.287*L99/A99</f>
        <v>0.14619284450163</v>
      </c>
      <c r="D99" s="15">
        <f t="shared" si="14"/>
        <v>6964.4045063689919</v>
      </c>
      <c r="E99" s="14">
        <f>E98+(Mainsheet!$E$22-Mainsheet!$E$20)/100</f>
        <v>0.35229250000000012</v>
      </c>
      <c r="F99" s="14">
        <f>F98*(G98/G99)^Mainsheet!$I$5</f>
        <v>3664.3328590058704</v>
      </c>
      <c r="G99" s="14">
        <f>G98+(Mainsheet!$E$24-Mainsheet!$E$22)/100</f>
        <v>0.56754250000000017</v>
      </c>
      <c r="I99" s="14">
        <f>I98-(Mainsheet!$C$24-Mainsheet!$C$26)/100</f>
        <v>1078.2024929430454</v>
      </c>
      <c r="J99" s="15">
        <f t="shared" si="15"/>
        <v>0.57399999999999995</v>
      </c>
      <c r="L99" s="14">
        <f t="shared" si="12"/>
        <v>3456.4024642150612</v>
      </c>
      <c r="M99" s="15">
        <f t="shared" si="16"/>
        <v>1</v>
      </c>
      <c r="N99" s="14">
        <f>N98+(Mainsheet!$D$22-Mainsheet!$D$20)/100</f>
        <v>8548.8065315679305</v>
      </c>
      <c r="O99" s="14">
        <f t="shared" si="17"/>
        <v>1.9021683316720925</v>
      </c>
      <c r="P99" s="14">
        <f t="shared" si="13"/>
        <v>7246.2182286841144</v>
      </c>
      <c r="Q99" s="15">
        <f t="shared" si="18"/>
        <v>1.9204140401675889</v>
      </c>
      <c r="R99" s="14">
        <f>R98-(Mainsheet!$D$24-Mainsheet!$D$26)/100</f>
        <v>2156.4049858860917</v>
      </c>
      <c r="S99" s="14">
        <f>S98+Mainsheet!$I$6*LN(Data!R99/Data!R98)</f>
        <v>1.0540243749997591</v>
      </c>
    </row>
    <row r="100" spans="1:19" x14ac:dyDescent="0.3">
      <c r="A100" s="14">
        <f>A99+(Mainsheet!$C$20-Mainsheet!$C$18)/100</f>
        <v>6845.1164162416253</v>
      </c>
      <c r="B100" s="14">
        <f t="shared" si="19"/>
        <v>0.14528182721584093</v>
      </c>
      <c r="D100" s="15">
        <f t="shared" si="14"/>
        <v>6964.4045063689919</v>
      </c>
      <c r="E100" s="14">
        <f>E99+(Mainsheet!$E$22-Mainsheet!$E$20)/100</f>
        <v>0.35444500000000012</v>
      </c>
      <c r="F100" s="14">
        <f>F99*(G99/G100)^Mainsheet!$I$5</f>
        <v>3644.9643963690319</v>
      </c>
      <c r="G100" s="14">
        <f>G99+(Mainsheet!$E$24-Mainsheet!$E$22)/100</f>
        <v>0.56969500000000017</v>
      </c>
      <c r="I100" s="14">
        <f>I99-(Mainsheet!$C$24-Mainsheet!$C$26)/100</f>
        <v>1052.1349952953651</v>
      </c>
      <c r="J100" s="15">
        <f t="shared" si="15"/>
        <v>0.57399999999999995</v>
      </c>
      <c r="L100" s="14">
        <f t="shared" si="12"/>
        <v>3465.055820406732</v>
      </c>
      <c r="M100" s="15">
        <f t="shared" si="16"/>
        <v>1</v>
      </c>
      <c r="N100" s="14">
        <f>N99+(Mainsheet!$D$22-Mainsheet!$D$20)/100</f>
        <v>8601.0395653656979</v>
      </c>
      <c r="O100" s="14">
        <f t="shared" si="17"/>
        <v>1.9082871323177648</v>
      </c>
      <c r="P100" s="14">
        <f t="shared" si="13"/>
        <v>7235.2543267925348</v>
      </c>
      <c r="Q100" s="15">
        <f t="shared" si="18"/>
        <v>1.9204140401675889</v>
      </c>
      <c r="R100" s="14">
        <f>R99-(Mainsheet!$D$24-Mainsheet!$D$26)/100</f>
        <v>2104.2699905907311</v>
      </c>
      <c r="S100" s="14">
        <f>S99+Mainsheet!$I$6*LN(Data!R100/Data!R99)</f>
        <v>1.0364643750255207</v>
      </c>
    </row>
    <row r="101" spans="1:19" x14ac:dyDescent="0.3">
      <c r="A101" s="14">
        <f>A100+(Mainsheet!$C$20-Mainsheet!$C$18)/100</f>
        <v>6904.7604613053154</v>
      </c>
      <c r="B101" s="14">
        <f t="shared" si="19"/>
        <v>0.14438431717166378</v>
      </c>
      <c r="D101" s="15">
        <f t="shared" si="14"/>
        <v>6964.4045063689919</v>
      </c>
      <c r="E101" s="14">
        <f>E100+(Mainsheet!$E$22-Mainsheet!$E$20)/100</f>
        <v>0.35659750000000012</v>
      </c>
      <c r="F101" s="14">
        <f>F100*(G100/G101)^Mainsheet!$I$5</f>
        <v>3625.7707741363788</v>
      </c>
      <c r="G101" s="14">
        <f>G100+(Mainsheet!$E$24-Mainsheet!$E$22)/100</f>
        <v>0.57184750000000018</v>
      </c>
      <c r="I101" s="14">
        <f>I100-(Mainsheet!$C$24-Mainsheet!$C$26)/100</f>
        <v>1026.0674976476848</v>
      </c>
      <c r="J101" s="15">
        <f t="shared" si="15"/>
        <v>0.57399999999999995</v>
      </c>
      <c r="L101" s="14">
        <f t="shared" si="12"/>
        <v>3473.655485851813</v>
      </c>
      <c r="M101" s="15">
        <f t="shared" si="16"/>
        <v>1</v>
      </c>
      <c r="N101" s="14">
        <f>N100+(Mainsheet!$D$22-Mainsheet!$D$20)/100</f>
        <v>8653.2725991634652</v>
      </c>
      <c r="O101" s="14">
        <f t="shared" si="17"/>
        <v>1.9143688865165602</v>
      </c>
      <c r="P101" s="14">
        <f t="shared" si="13"/>
        <v>7224.3482674667412</v>
      </c>
      <c r="Q101" s="15">
        <f t="shared" si="18"/>
        <v>1.9204140401675889</v>
      </c>
      <c r="R101" s="14">
        <f>R100-(Mainsheet!$D$24-Mainsheet!$D$26)/100</f>
        <v>2052.1349952953706</v>
      </c>
      <c r="S101" s="14">
        <f>S100+Mainsheet!$I$6*LN(Data!R101/Data!R100)</f>
        <v>1.0184638090418714</v>
      </c>
    </row>
    <row r="102" spans="1:19" x14ac:dyDescent="0.3">
      <c r="A102" s="14">
        <f>A101+(Mainsheet!$C$20-Mainsheet!$C$18)/100</f>
        <v>6964.4045063690055</v>
      </c>
      <c r="B102" s="14">
        <f t="shared" si="19"/>
        <v>0.14349999999999999</v>
      </c>
      <c r="D102" s="15">
        <f t="shared" si="14"/>
        <v>6964.4045063689919</v>
      </c>
      <c r="E102" s="14">
        <f>E101+(Mainsheet!$E$22-Mainsheet!$E$20)/100</f>
        <v>0.35875000000000012</v>
      </c>
      <c r="F102" s="14">
        <f>F101*(G101/G102)^Mainsheet!$I$5</f>
        <v>3606.7497647680325</v>
      </c>
      <c r="G102" s="14">
        <f>G101+(Mainsheet!$E$24-Mainsheet!$E$22)/100</f>
        <v>0.57400000000000018</v>
      </c>
      <c r="I102" s="14">
        <f>I101-(Mainsheet!$C$24-Mainsheet!$C$26)/100</f>
        <v>1000.0000000000045</v>
      </c>
      <c r="J102" s="15">
        <f t="shared" si="15"/>
        <v>0.57399999999999995</v>
      </c>
      <c r="L102" s="14">
        <f t="shared" si="12"/>
        <v>3482.2022531845028</v>
      </c>
      <c r="M102" s="15">
        <f t="shared" si="16"/>
        <v>1</v>
      </c>
      <c r="N102" s="14">
        <f>N101+(Mainsheet!$D$22-Mainsheet!$D$20)/100</f>
        <v>8705.5056329612325</v>
      </c>
      <c r="O102" s="14">
        <f t="shared" si="17"/>
        <v>1.9204140401675882</v>
      </c>
      <c r="P102" s="14">
        <f t="shared" si="13"/>
        <v>7213.4995295360723</v>
      </c>
      <c r="Q102" s="15">
        <f t="shared" si="18"/>
        <v>1.9204140401675889</v>
      </c>
      <c r="R102" s="14">
        <f>R101-(Mainsheet!$D$24-Mainsheet!$D$26)/100</f>
        <v>2000.00000000001</v>
      </c>
      <c r="S102" s="14">
        <f>S101+Mainsheet!$I$6*LN(Data!R102/Data!R101)</f>
        <v>1.0000000000000024</v>
      </c>
    </row>
    <row r="103" spans="1:19" x14ac:dyDescent="0.3">
      <c r="F103" s="14">
        <f>F102*(G102/G103)^Mainsheet!$I$5</f>
        <v>3587.8991773137768</v>
      </c>
      <c r="G103" s="14">
        <f>G102+(Mainsheet!$E$24-Mainsheet!$E$22)/100</f>
        <v>0.57615250000000018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Mainsheet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Alpish</dc:creator>
  <cp:lastModifiedBy>Alpish</cp:lastModifiedBy>
  <dcterms:created xsi:type="dcterms:W3CDTF">2019-07-22T09:51:22Z</dcterms:created>
  <dcterms:modified xsi:type="dcterms:W3CDTF">2020-01-16T15:18:42Z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e02a6856-e200-4743-9972-c74f764bd0a3</vt:lpwstr>
  </property>
</Properties>
</file>