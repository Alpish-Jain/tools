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pish\Documents\excel applications\tools\"/>
    </mc:Choice>
  </mc:AlternateContent>
  <xr:revisionPtr revIDLastSave="0" documentId="13_ncr:1_{2F480724-D8EE-42AC-8209-CCFDE8FF01DE}" xr6:coauthVersionLast="45" xr6:coauthVersionMax="45" xr10:uidLastSave="{00000000-0000-0000-0000-000000000000}"/>
  <bookViews>
    <workbookView xWindow="-108" yWindow="-108" windowWidth="23256" windowHeight="12576" xr2:uid="{2A643504-C7DB-43D2-A9DF-1B42E5910CE7}"/>
  </bookViews>
  <sheets>
    <sheet name="Mainsheet" sheetId="1" r:id="rId1"/>
    <sheet name="Data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2" l="1"/>
  <c r="L3" i="2" s="1"/>
  <c r="L4" i="2" s="1"/>
  <c r="L5" i="2" s="1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F26" i="1" l="1"/>
  <c r="D18" i="1" l="1"/>
  <c r="C18" i="1"/>
  <c r="K2" i="2" l="1"/>
  <c r="D26" i="1"/>
  <c r="A2" i="2"/>
  <c r="C26" i="1"/>
  <c r="I7" i="1"/>
  <c r="I5" i="1"/>
  <c r="C20" i="1" s="1"/>
  <c r="C2" i="2" s="1"/>
  <c r="I6" i="1" l="1"/>
  <c r="G18" i="1" s="1"/>
  <c r="E18" i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D20" i="1"/>
  <c r="M2" i="2" s="1"/>
  <c r="F20" i="1"/>
  <c r="N2" i="2" s="1"/>
  <c r="D22" i="1"/>
  <c r="M3" i="2" s="1"/>
  <c r="M4" i="2" s="1"/>
  <c r="M5" i="2" s="1"/>
  <c r="M6" i="2" s="1"/>
  <c r="M7" i="2" s="1"/>
  <c r="M8" i="2" s="1"/>
  <c r="M9" i="2" s="1"/>
  <c r="M10" i="2" s="1"/>
  <c r="M11" i="2" s="1"/>
  <c r="M12" i="2" s="1"/>
  <c r="M13" i="2" s="1"/>
  <c r="M14" i="2" s="1"/>
  <c r="M15" i="2" s="1"/>
  <c r="M16" i="2" s="1"/>
  <c r="M17" i="2" s="1"/>
  <c r="M18" i="2" s="1"/>
  <c r="M19" i="2" s="1"/>
  <c r="M20" i="2" s="1"/>
  <c r="M21" i="2" s="1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M49" i="2" s="1"/>
  <c r="M50" i="2" s="1"/>
  <c r="M51" i="2" s="1"/>
  <c r="M52" i="2" s="1"/>
  <c r="M53" i="2" s="1"/>
  <c r="M54" i="2" s="1"/>
  <c r="M55" i="2" s="1"/>
  <c r="M56" i="2" s="1"/>
  <c r="M57" i="2" s="1"/>
  <c r="M58" i="2" s="1"/>
  <c r="M59" i="2" s="1"/>
  <c r="M60" i="2" s="1"/>
  <c r="M61" i="2" s="1"/>
  <c r="M62" i="2" s="1"/>
  <c r="M63" i="2" s="1"/>
  <c r="M64" i="2" s="1"/>
  <c r="M65" i="2" s="1"/>
  <c r="M66" i="2" s="1"/>
  <c r="M67" i="2" s="1"/>
  <c r="M68" i="2" s="1"/>
  <c r="M69" i="2" s="1"/>
  <c r="M70" i="2" s="1"/>
  <c r="M71" i="2" s="1"/>
  <c r="M72" i="2" s="1"/>
  <c r="M73" i="2" s="1"/>
  <c r="M74" i="2" s="1"/>
  <c r="M75" i="2" s="1"/>
  <c r="M76" i="2" s="1"/>
  <c r="M77" i="2" s="1"/>
  <c r="M78" i="2" s="1"/>
  <c r="M79" i="2" s="1"/>
  <c r="M80" i="2" s="1"/>
  <c r="M81" i="2" s="1"/>
  <c r="M82" i="2" s="1"/>
  <c r="M83" i="2" s="1"/>
  <c r="M84" i="2" s="1"/>
  <c r="M85" i="2" s="1"/>
  <c r="M86" i="2" s="1"/>
  <c r="M87" i="2" s="1"/>
  <c r="M88" i="2" s="1"/>
  <c r="M89" i="2" s="1"/>
  <c r="M90" i="2" s="1"/>
  <c r="M91" i="2" s="1"/>
  <c r="M92" i="2" s="1"/>
  <c r="M93" i="2" s="1"/>
  <c r="M94" i="2" s="1"/>
  <c r="M95" i="2" s="1"/>
  <c r="M96" i="2" s="1"/>
  <c r="M97" i="2" s="1"/>
  <c r="M98" i="2" s="1"/>
  <c r="M99" i="2" s="1"/>
  <c r="M100" i="2" s="1"/>
  <c r="M101" i="2" s="1"/>
  <c r="M102" i="2" s="1"/>
  <c r="G20" i="1"/>
  <c r="K3" i="2"/>
  <c r="B2" i="2" l="1"/>
  <c r="E26" i="1"/>
  <c r="E20" i="1"/>
  <c r="E24" i="1"/>
  <c r="H2" i="2" s="1"/>
  <c r="H3" i="2" s="1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J19" i="1"/>
  <c r="G26" i="1"/>
  <c r="K25" i="1" s="1"/>
  <c r="N3" i="2"/>
  <c r="N4" i="2" s="1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K19" i="1"/>
  <c r="M19" i="1" s="1"/>
  <c r="J21" i="1"/>
  <c r="O2" i="2"/>
  <c r="D24" i="1"/>
  <c r="Q2" i="2" s="1"/>
  <c r="Q3" i="2" s="1"/>
  <c r="Q4" i="2" s="1"/>
  <c r="Q5" i="2" s="1"/>
  <c r="Q6" i="2" s="1"/>
  <c r="Q7" i="2" s="1"/>
  <c r="Q8" i="2" s="1"/>
  <c r="Q9" i="2" s="1"/>
  <c r="Q10" i="2" s="1"/>
  <c r="Q11" i="2" s="1"/>
  <c r="Q12" i="2" s="1"/>
  <c r="Q13" i="2" s="1"/>
  <c r="Q14" i="2" s="1"/>
  <c r="Q15" i="2" s="1"/>
  <c r="Q16" i="2" s="1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  <c r="Q59" i="2" s="1"/>
  <c r="Q60" i="2" s="1"/>
  <c r="Q61" i="2" s="1"/>
  <c r="Q62" i="2" s="1"/>
  <c r="Q63" i="2" s="1"/>
  <c r="Q64" i="2" s="1"/>
  <c r="Q65" i="2" s="1"/>
  <c r="Q66" i="2" s="1"/>
  <c r="Q67" i="2" s="1"/>
  <c r="Q68" i="2" s="1"/>
  <c r="Q69" i="2" s="1"/>
  <c r="Q70" i="2" s="1"/>
  <c r="Q71" i="2" s="1"/>
  <c r="Q72" i="2" s="1"/>
  <c r="Q73" i="2" s="1"/>
  <c r="Q74" i="2" s="1"/>
  <c r="Q75" i="2" s="1"/>
  <c r="Q76" i="2" s="1"/>
  <c r="Q77" i="2" s="1"/>
  <c r="Q78" i="2" s="1"/>
  <c r="Q79" i="2" s="1"/>
  <c r="Q80" i="2" s="1"/>
  <c r="Q81" i="2" s="1"/>
  <c r="Q82" i="2" s="1"/>
  <c r="Q83" i="2" s="1"/>
  <c r="Q84" i="2" s="1"/>
  <c r="Q85" i="2" s="1"/>
  <c r="Q86" i="2" s="1"/>
  <c r="Q87" i="2" s="1"/>
  <c r="Q88" i="2" s="1"/>
  <c r="Q89" i="2" s="1"/>
  <c r="Q90" i="2" s="1"/>
  <c r="Q91" i="2" s="1"/>
  <c r="Q92" i="2" s="1"/>
  <c r="Q93" i="2" s="1"/>
  <c r="Q94" i="2" s="1"/>
  <c r="Q95" i="2" s="1"/>
  <c r="Q96" i="2" s="1"/>
  <c r="Q97" i="2" s="1"/>
  <c r="Q98" i="2" s="1"/>
  <c r="Q99" i="2" s="1"/>
  <c r="Q100" i="2" s="1"/>
  <c r="Q101" i="2" s="1"/>
  <c r="Q102" i="2" s="1"/>
  <c r="C22" i="1"/>
  <c r="G22" i="1"/>
  <c r="K4" i="2"/>
  <c r="B3" i="2"/>
  <c r="D56" i="2" l="1"/>
  <c r="D20" i="2"/>
  <c r="D81" i="2"/>
  <c r="D43" i="2"/>
  <c r="D7" i="2"/>
  <c r="D68" i="2"/>
  <c r="E22" i="1"/>
  <c r="F2" i="2" s="1"/>
  <c r="D70" i="2"/>
  <c r="D29" i="2"/>
  <c r="D46" i="2"/>
  <c r="D79" i="2"/>
  <c r="D66" i="2"/>
  <c r="D85" i="2"/>
  <c r="D64" i="2"/>
  <c r="D25" i="2"/>
  <c r="D89" i="2"/>
  <c r="D51" i="2"/>
  <c r="D15" i="2"/>
  <c r="D76" i="2"/>
  <c r="D39" i="2"/>
  <c r="D26" i="2"/>
  <c r="D45" i="2"/>
  <c r="D62" i="2"/>
  <c r="D95" i="2"/>
  <c r="D82" i="2"/>
  <c r="D101" i="2"/>
  <c r="D72" i="2"/>
  <c r="D33" i="2"/>
  <c r="D97" i="2"/>
  <c r="D59" i="2"/>
  <c r="D23" i="2"/>
  <c r="D84" i="2"/>
  <c r="D55" i="2"/>
  <c r="D42" i="2"/>
  <c r="D61" i="2"/>
  <c r="D78" i="2"/>
  <c r="D11" i="2"/>
  <c r="D98" i="2"/>
  <c r="D17" i="2"/>
  <c r="D80" i="2"/>
  <c r="D41" i="2"/>
  <c r="D5" i="2"/>
  <c r="D67" i="2"/>
  <c r="D28" i="2"/>
  <c r="D92" i="2"/>
  <c r="D71" i="2"/>
  <c r="D58" i="2"/>
  <c r="D77" i="2"/>
  <c r="D94" i="2"/>
  <c r="D38" i="2"/>
  <c r="D14" i="2"/>
  <c r="D88" i="2"/>
  <c r="D49" i="2"/>
  <c r="D13" i="2"/>
  <c r="D75" i="2"/>
  <c r="D36" i="2"/>
  <c r="D100" i="2"/>
  <c r="D87" i="2"/>
  <c r="D74" i="2"/>
  <c r="D93" i="2"/>
  <c r="D10" i="2"/>
  <c r="D86" i="2"/>
  <c r="D102" i="2"/>
  <c r="D32" i="2"/>
  <c r="D96" i="2"/>
  <c r="D57" i="2"/>
  <c r="D21" i="2"/>
  <c r="D83" i="2"/>
  <c r="D44" i="2"/>
  <c r="D8" i="2"/>
  <c r="D3" i="2"/>
  <c r="D90" i="2"/>
  <c r="D9" i="2"/>
  <c r="D31" i="2"/>
  <c r="D18" i="2"/>
  <c r="D37" i="2"/>
  <c r="D40" i="2"/>
  <c r="D4" i="2"/>
  <c r="D65" i="2"/>
  <c r="D27" i="2"/>
  <c r="D91" i="2"/>
  <c r="D52" i="2"/>
  <c r="D16" i="2"/>
  <c r="D19" i="2"/>
  <c r="D6" i="2"/>
  <c r="D2" i="2"/>
  <c r="D47" i="2"/>
  <c r="D34" i="2"/>
  <c r="D53" i="2"/>
  <c r="D48" i="2"/>
  <c r="D12" i="2"/>
  <c r="D73" i="2"/>
  <c r="D35" i="2"/>
  <c r="D99" i="2"/>
  <c r="D60" i="2"/>
  <c r="D24" i="2"/>
  <c r="D54" i="2"/>
  <c r="D22" i="2"/>
  <c r="D30" i="2"/>
  <c r="D63" i="2"/>
  <c r="D50" i="2"/>
  <c r="D69" i="2"/>
  <c r="E2" i="2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J23" i="1"/>
  <c r="K21" i="1"/>
  <c r="L21" i="1" s="1"/>
  <c r="C24" i="1"/>
  <c r="G2" i="2" s="1"/>
  <c r="G3" i="2" s="1"/>
  <c r="G4" i="2" s="1"/>
  <c r="G5" i="2" s="1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24" i="1"/>
  <c r="F22" i="1"/>
  <c r="K5" i="2"/>
  <c r="B4" i="2"/>
  <c r="F24" i="1" l="1"/>
  <c r="R2" i="2" s="1"/>
  <c r="R3" i="2" s="1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R59" i="2" s="1"/>
  <c r="R60" i="2" s="1"/>
  <c r="R61" i="2" s="1"/>
  <c r="R62" i="2" s="1"/>
  <c r="R63" i="2" s="1"/>
  <c r="R64" i="2" s="1"/>
  <c r="R65" i="2" s="1"/>
  <c r="R66" i="2" s="1"/>
  <c r="R67" i="2" s="1"/>
  <c r="R68" i="2" s="1"/>
  <c r="R69" i="2" s="1"/>
  <c r="R70" i="2" s="1"/>
  <c r="R71" i="2" s="1"/>
  <c r="R72" i="2" s="1"/>
  <c r="R73" i="2" s="1"/>
  <c r="R74" i="2" s="1"/>
  <c r="R75" i="2" s="1"/>
  <c r="R76" i="2" s="1"/>
  <c r="R77" i="2" s="1"/>
  <c r="R78" i="2" s="1"/>
  <c r="R79" i="2" s="1"/>
  <c r="R80" i="2" s="1"/>
  <c r="R81" i="2" s="1"/>
  <c r="R82" i="2" s="1"/>
  <c r="R83" i="2" s="1"/>
  <c r="R84" i="2" s="1"/>
  <c r="R85" i="2" s="1"/>
  <c r="R86" i="2" s="1"/>
  <c r="R87" i="2" s="1"/>
  <c r="R88" i="2" s="1"/>
  <c r="R89" i="2" s="1"/>
  <c r="R90" i="2" s="1"/>
  <c r="R91" i="2" s="1"/>
  <c r="R92" i="2" s="1"/>
  <c r="R93" i="2" s="1"/>
  <c r="R94" i="2" s="1"/>
  <c r="R95" i="2" s="1"/>
  <c r="R96" i="2" s="1"/>
  <c r="R97" i="2" s="1"/>
  <c r="R98" i="2" s="1"/>
  <c r="R99" i="2" s="1"/>
  <c r="R100" i="2" s="1"/>
  <c r="R101" i="2" s="1"/>
  <c r="R102" i="2" s="1"/>
  <c r="P2" i="2"/>
  <c r="P3" i="2" s="1"/>
  <c r="P4" i="2" s="1"/>
  <c r="P5" i="2" s="1"/>
  <c r="P6" i="2" s="1"/>
  <c r="P7" i="2" s="1"/>
  <c r="P8" i="2" s="1"/>
  <c r="P9" i="2" s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P60" i="2" s="1"/>
  <c r="P61" i="2" s="1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  <c r="P101" i="2" s="1"/>
  <c r="P102" i="2" s="1"/>
  <c r="J25" i="1"/>
  <c r="L25" i="1" s="1"/>
  <c r="L26" i="1" s="1"/>
  <c r="K23" i="1"/>
  <c r="M23" i="1" s="1"/>
  <c r="M26" i="1" s="1"/>
  <c r="E3" i="2"/>
  <c r="K6" i="2"/>
  <c r="B5" i="2"/>
  <c r="E4" i="2" l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O3" i="2"/>
  <c r="K7" i="2"/>
  <c r="B6" i="2"/>
  <c r="F3" i="2" l="1"/>
  <c r="O4" i="2"/>
  <c r="K8" i="2"/>
  <c r="B7" i="2"/>
  <c r="F4" i="2" l="1"/>
  <c r="O5" i="2"/>
  <c r="K9" i="2"/>
  <c r="B8" i="2"/>
  <c r="O6" i="2" l="1"/>
  <c r="F5" i="2"/>
  <c r="K10" i="2"/>
  <c r="B9" i="2"/>
  <c r="F6" i="2" l="1"/>
  <c r="O7" i="2"/>
  <c r="K11" i="2"/>
  <c r="B10" i="2"/>
  <c r="F7" i="2" l="1"/>
  <c r="O8" i="2"/>
  <c r="K12" i="2"/>
  <c r="B11" i="2"/>
  <c r="O9" i="2" l="1"/>
  <c r="F8" i="2"/>
  <c r="K13" i="2"/>
  <c r="B12" i="2"/>
  <c r="F9" i="2" l="1"/>
  <c r="O10" i="2"/>
  <c r="K14" i="2"/>
  <c r="B13" i="2"/>
  <c r="O11" i="2" l="1"/>
  <c r="F10" i="2"/>
  <c r="K15" i="2"/>
  <c r="B14" i="2"/>
  <c r="O12" i="2" l="1"/>
  <c r="F11" i="2"/>
  <c r="K16" i="2"/>
  <c r="B15" i="2"/>
  <c r="F12" i="2" l="1"/>
  <c r="O13" i="2"/>
  <c r="K17" i="2"/>
  <c r="B16" i="2"/>
  <c r="F13" i="2" l="1"/>
  <c r="O14" i="2"/>
  <c r="K18" i="2"/>
  <c r="B17" i="2"/>
  <c r="F14" i="2" l="1"/>
  <c r="O15" i="2"/>
  <c r="K19" i="2"/>
  <c r="B18" i="2"/>
  <c r="F15" i="2" l="1"/>
  <c r="O16" i="2"/>
  <c r="K20" i="2"/>
  <c r="B19" i="2"/>
  <c r="F16" i="2" l="1"/>
  <c r="O17" i="2"/>
  <c r="K21" i="2"/>
  <c r="B20" i="2"/>
  <c r="F17" i="2" l="1"/>
  <c r="O18" i="2"/>
  <c r="K22" i="2"/>
  <c r="B21" i="2"/>
  <c r="O19" i="2" l="1"/>
  <c r="F18" i="2"/>
  <c r="K23" i="2"/>
  <c r="B22" i="2"/>
  <c r="O20" i="2" l="1"/>
  <c r="F19" i="2"/>
  <c r="K24" i="2"/>
  <c r="B23" i="2"/>
  <c r="O21" i="2" l="1"/>
  <c r="F20" i="2"/>
  <c r="K25" i="2"/>
  <c r="B24" i="2"/>
  <c r="O22" i="2" l="1"/>
  <c r="F21" i="2"/>
  <c r="K26" i="2"/>
  <c r="B25" i="2"/>
  <c r="F22" i="2" l="1"/>
  <c r="O23" i="2"/>
  <c r="K27" i="2"/>
  <c r="B26" i="2"/>
  <c r="F23" i="2" l="1"/>
  <c r="O24" i="2"/>
  <c r="K28" i="2"/>
  <c r="B27" i="2"/>
  <c r="F24" i="2" l="1"/>
  <c r="O25" i="2"/>
  <c r="K29" i="2"/>
  <c r="B28" i="2"/>
  <c r="O26" i="2" l="1"/>
  <c r="F25" i="2"/>
  <c r="K30" i="2"/>
  <c r="B29" i="2"/>
  <c r="O27" i="2" l="1"/>
  <c r="F26" i="2"/>
  <c r="K31" i="2"/>
  <c r="B30" i="2"/>
  <c r="O28" i="2" l="1"/>
  <c r="F27" i="2"/>
  <c r="K32" i="2"/>
  <c r="B31" i="2"/>
  <c r="O29" i="2" l="1"/>
  <c r="F28" i="2"/>
  <c r="K33" i="2"/>
  <c r="B32" i="2"/>
  <c r="O30" i="2" l="1"/>
  <c r="F29" i="2"/>
  <c r="K34" i="2"/>
  <c r="B33" i="2"/>
  <c r="O31" i="2" l="1"/>
  <c r="F30" i="2"/>
  <c r="K35" i="2"/>
  <c r="B34" i="2"/>
  <c r="O32" i="2" l="1"/>
  <c r="F31" i="2"/>
  <c r="K36" i="2"/>
  <c r="B35" i="2"/>
  <c r="O33" i="2" l="1"/>
  <c r="F32" i="2"/>
  <c r="K37" i="2"/>
  <c r="B36" i="2"/>
  <c r="O34" i="2" l="1"/>
  <c r="F33" i="2"/>
  <c r="K38" i="2"/>
  <c r="B37" i="2"/>
  <c r="O35" i="2" l="1"/>
  <c r="F34" i="2"/>
  <c r="K39" i="2"/>
  <c r="B38" i="2"/>
  <c r="F35" i="2" l="1"/>
  <c r="O36" i="2"/>
  <c r="K40" i="2"/>
  <c r="B39" i="2"/>
  <c r="F36" i="2" l="1"/>
  <c r="O37" i="2"/>
  <c r="K41" i="2"/>
  <c r="B40" i="2"/>
  <c r="O38" i="2" l="1"/>
  <c r="F37" i="2"/>
  <c r="K42" i="2"/>
  <c r="B41" i="2"/>
  <c r="F38" i="2" l="1"/>
  <c r="O39" i="2"/>
  <c r="K43" i="2"/>
  <c r="B42" i="2"/>
  <c r="O40" i="2" l="1"/>
  <c r="F39" i="2"/>
  <c r="K44" i="2"/>
  <c r="B43" i="2"/>
  <c r="O41" i="2" l="1"/>
  <c r="F40" i="2"/>
  <c r="K45" i="2"/>
  <c r="B44" i="2"/>
  <c r="O42" i="2" l="1"/>
  <c r="F41" i="2"/>
  <c r="K46" i="2"/>
  <c r="B45" i="2"/>
  <c r="O43" i="2" l="1"/>
  <c r="F42" i="2"/>
  <c r="K47" i="2"/>
  <c r="B46" i="2"/>
  <c r="F43" i="2" l="1"/>
  <c r="O44" i="2"/>
  <c r="K48" i="2"/>
  <c r="B47" i="2"/>
  <c r="O45" i="2" l="1"/>
  <c r="F44" i="2"/>
  <c r="K49" i="2"/>
  <c r="B48" i="2"/>
  <c r="F45" i="2" l="1"/>
  <c r="O46" i="2"/>
  <c r="K50" i="2"/>
  <c r="B49" i="2"/>
  <c r="F46" i="2" l="1"/>
  <c r="O47" i="2"/>
  <c r="K51" i="2"/>
  <c r="B50" i="2"/>
  <c r="F47" i="2" l="1"/>
  <c r="O48" i="2"/>
  <c r="K52" i="2"/>
  <c r="B51" i="2"/>
  <c r="F48" i="2" l="1"/>
  <c r="O49" i="2"/>
  <c r="K53" i="2"/>
  <c r="B52" i="2"/>
  <c r="F49" i="2" l="1"/>
  <c r="O50" i="2"/>
  <c r="K54" i="2"/>
  <c r="B53" i="2"/>
  <c r="F50" i="2" l="1"/>
  <c r="O51" i="2"/>
  <c r="K55" i="2"/>
  <c r="B54" i="2"/>
  <c r="O52" i="2" l="1"/>
  <c r="F51" i="2"/>
  <c r="K56" i="2"/>
  <c r="B55" i="2"/>
  <c r="F52" i="2" l="1"/>
  <c r="O53" i="2"/>
  <c r="K57" i="2"/>
  <c r="B56" i="2"/>
  <c r="F53" i="2" l="1"/>
  <c r="O54" i="2"/>
  <c r="K58" i="2"/>
  <c r="B57" i="2"/>
  <c r="O55" i="2" l="1"/>
  <c r="F54" i="2"/>
  <c r="K59" i="2"/>
  <c r="B58" i="2"/>
  <c r="O56" i="2" l="1"/>
  <c r="F55" i="2"/>
  <c r="K60" i="2"/>
  <c r="B59" i="2"/>
  <c r="F56" i="2" l="1"/>
  <c r="O57" i="2"/>
  <c r="K61" i="2"/>
  <c r="B60" i="2"/>
  <c r="F57" i="2" l="1"/>
  <c r="O58" i="2"/>
  <c r="K62" i="2"/>
  <c r="B61" i="2"/>
  <c r="O59" i="2" l="1"/>
  <c r="F58" i="2"/>
  <c r="K63" i="2"/>
  <c r="B62" i="2"/>
  <c r="F59" i="2" l="1"/>
  <c r="O60" i="2"/>
  <c r="K64" i="2"/>
  <c r="B63" i="2"/>
  <c r="O61" i="2" l="1"/>
  <c r="F60" i="2"/>
  <c r="K65" i="2"/>
  <c r="B64" i="2"/>
  <c r="O62" i="2" l="1"/>
  <c r="F61" i="2"/>
  <c r="K66" i="2"/>
  <c r="B65" i="2"/>
  <c r="O63" i="2" l="1"/>
  <c r="F62" i="2"/>
  <c r="K67" i="2"/>
  <c r="B66" i="2"/>
  <c r="O64" i="2" l="1"/>
  <c r="F63" i="2"/>
  <c r="K68" i="2"/>
  <c r="B67" i="2"/>
  <c r="F64" i="2" l="1"/>
  <c r="O65" i="2"/>
  <c r="K69" i="2"/>
  <c r="B68" i="2"/>
  <c r="O66" i="2" l="1"/>
  <c r="F65" i="2"/>
  <c r="K70" i="2"/>
  <c r="B69" i="2"/>
  <c r="O67" i="2" l="1"/>
  <c r="F66" i="2"/>
  <c r="K71" i="2"/>
  <c r="B70" i="2"/>
  <c r="O68" i="2" l="1"/>
  <c r="F67" i="2"/>
  <c r="K72" i="2"/>
  <c r="B71" i="2"/>
  <c r="O69" i="2" l="1"/>
  <c r="F68" i="2"/>
  <c r="K73" i="2"/>
  <c r="B72" i="2"/>
  <c r="O70" i="2" l="1"/>
  <c r="F69" i="2"/>
  <c r="K74" i="2"/>
  <c r="B73" i="2"/>
  <c r="O71" i="2" l="1"/>
  <c r="F70" i="2"/>
  <c r="K75" i="2"/>
  <c r="B74" i="2"/>
  <c r="O72" i="2" l="1"/>
  <c r="F71" i="2"/>
  <c r="K76" i="2"/>
  <c r="B75" i="2"/>
  <c r="O73" i="2" l="1"/>
  <c r="F72" i="2"/>
  <c r="K77" i="2"/>
  <c r="B76" i="2"/>
  <c r="F73" i="2" l="1"/>
  <c r="O74" i="2"/>
  <c r="K78" i="2"/>
  <c r="B77" i="2"/>
  <c r="O75" i="2" l="1"/>
  <c r="F74" i="2"/>
  <c r="K79" i="2"/>
  <c r="B78" i="2"/>
  <c r="F75" i="2" l="1"/>
  <c r="O76" i="2"/>
  <c r="K80" i="2"/>
  <c r="B79" i="2"/>
  <c r="O77" i="2" l="1"/>
  <c r="F76" i="2"/>
  <c r="K81" i="2"/>
  <c r="B80" i="2"/>
  <c r="O78" i="2" l="1"/>
  <c r="F77" i="2"/>
  <c r="K82" i="2"/>
  <c r="B81" i="2"/>
  <c r="O79" i="2" l="1"/>
  <c r="F78" i="2"/>
  <c r="K83" i="2"/>
  <c r="B82" i="2"/>
  <c r="O80" i="2" l="1"/>
  <c r="F79" i="2"/>
  <c r="K84" i="2"/>
  <c r="B83" i="2"/>
  <c r="F80" i="2" l="1"/>
  <c r="O81" i="2"/>
  <c r="K85" i="2"/>
  <c r="B84" i="2"/>
  <c r="O82" i="2" l="1"/>
  <c r="F81" i="2"/>
  <c r="K86" i="2"/>
  <c r="B85" i="2"/>
  <c r="O83" i="2" l="1"/>
  <c r="F82" i="2"/>
  <c r="K87" i="2"/>
  <c r="B86" i="2"/>
  <c r="O84" i="2" l="1"/>
  <c r="F83" i="2"/>
  <c r="K88" i="2"/>
  <c r="B87" i="2"/>
  <c r="O85" i="2" l="1"/>
  <c r="F84" i="2"/>
  <c r="K89" i="2"/>
  <c r="B88" i="2"/>
  <c r="F85" i="2" l="1"/>
  <c r="O86" i="2"/>
  <c r="K90" i="2"/>
  <c r="B89" i="2"/>
  <c r="O87" i="2" l="1"/>
  <c r="F86" i="2"/>
  <c r="K91" i="2"/>
  <c r="B90" i="2"/>
  <c r="O88" i="2" l="1"/>
  <c r="F87" i="2"/>
  <c r="K92" i="2"/>
  <c r="B91" i="2"/>
  <c r="O89" i="2" l="1"/>
  <c r="F88" i="2"/>
  <c r="K93" i="2"/>
  <c r="B92" i="2"/>
  <c r="O90" i="2" l="1"/>
  <c r="F89" i="2"/>
  <c r="K94" i="2"/>
  <c r="B93" i="2"/>
  <c r="O91" i="2" l="1"/>
  <c r="F90" i="2"/>
  <c r="K95" i="2"/>
  <c r="B94" i="2"/>
  <c r="O92" i="2" l="1"/>
  <c r="F91" i="2"/>
  <c r="K96" i="2"/>
  <c r="B95" i="2"/>
  <c r="O93" i="2" l="1"/>
  <c r="F92" i="2"/>
  <c r="K97" i="2"/>
  <c r="B96" i="2"/>
  <c r="O94" i="2" l="1"/>
  <c r="F93" i="2"/>
  <c r="K98" i="2"/>
  <c r="B97" i="2"/>
  <c r="O95" i="2" l="1"/>
  <c r="F94" i="2"/>
  <c r="K99" i="2"/>
  <c r="B98" i="2"/>
  <c r="O96" i="2" l="1"/>
  <c r="F95" i="2"/>
  <c r="K100" i="2"/>
  <c r="B99" i="2"/>
  <c r="O97" i="2" l="1"/>
  <c r="F96" i="2"/>
  <c r="K101" i="2"/>
  <c r="B100" i="2"/>
  <c r="O98" i="2" l="1"/>
  <c r="F97" i="2"/>
  <c r="K102" i="2"/>
  <c r="B102" i="2" s="1"/>
  <c r="B101" i="2"/>
  <c r="F98" i="2" l="1"/>
  <c r="O99" i="2"/>
  <c r="F99" i="2" l="1"/>
  <c r="O100" i="2"/>
  <c r="F100" i="2" l="1"/>
  <c r="O101" i="2"/>
  <c r="O102" i="2" l="1"/>
  <c r="F102" i="2" s="1"/>
  <c r="F10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J. Ribando</author>
    <author>rjr</author>
  </authors>
  <commentList>
    <comment ref="G17" authorId="0" shapeId="0" xr:uid="{2AB0B3B2-49EB-4498-B8FC-C00E20B1C8F3}">
      <text>
        <r>
          <rPr>
            <b/>
            <sz val="8"/>
            <color indexed="81"/>
            <rFont val="Tahoma"/>
            <family val="2"/>
          </rPr>
          <t>Computed based on constant value of c</t>
        </r>
        <r>
          <rPr>
            <b/>
            <vertAlign val="subscript"/>
            <sz val="8"/>
            <color indexed="81"/>
            <rFont val="Tahoma"/>
            <family val="2"/>
          </rPr>
          <t>p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6" authorId="1" shapeId="0" xr:uid="{77F07588-AFEE-4C8E-BD7A-34EFED8C14D0}">
      <text>
        <r>
          <rPr>
            <b/>
            <sz val="9"/>
            <color indexed="81"/>
            <rFont val="Tahoma"/>
            <family val="2"/>
          </rPr>
          <t>These two values better match!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<sst xmlns="http://schemas.openxmlformats.org/spreadsheetml/2006/main" count="45" uniqueCount="45">
  <si>
    <t>STATE POINTS</t>
  </si>
  <si>
    <t>P [kPa]</t>
  </si>
  <si>
    <t>T [K]</t>
  </si>
  <si>
    <t>v(m3/kg)</t>
  </si>
  <si>
    <r>
      <t>s[kJ/kg</t>
    </r>
    <r>
      <rPr>
        <b/>
        <sz val="10"/>
        <rFont val="Arial"/>
        <family val="2"/>
      </rPr>
      <t>·</t>
    </r>
    <r>
      <rPr>
        <b/>
        <sz val="10"/>
        <rFont val="Arial"/>
        <family val="2"/>
      </rPr>
      <t>K]</t>
    </r>
  </si>
  <si>
    <t>1 - Compressor In</t>
  </si>
  <si>
    <t>PROCESSES</t>
  </si>
  <si>
    <t>Q [kW]</t>
  </si>
  <si>
    <t>W [kW]</t>
  </si>
  <si>
    <t xml:space="preserve">Sums = </t>
  </si>
  <si>
    <t>2 - Combustion Begins</t>
  </si>
  <si>
    <t>3 - Expansion Begins</t>
  </si>
  <si>
    <t>4 - Expansion Ends</t>
  </si>
  <si>
    <t>5 - Compression In</t>
  </si>
  <si>
    <t>Compression</t>
  </si>
  <si>
    <t>Combustion</t>
  </si>
  <si>
    <t>Power Stroke</t>
  </si>
  <si>
    <t>Heat Rejection</t>
  </si>
  <si>
    <r>
      <t>u</t>
    </r>
    <r>
      <rPr>
        <b/>
        <vertAlign val="subscript"/>
        <sz val="10"/>
        <rFont val="Arial"/>
        <family val="2"/>
      </rPr>
      <t xml:space="preserve">in </t>
    </r>
    <r>
      <rPr>
        <b/>
        <sz val="10"/>
        <rFont val="Arial"/>
        <family val="2"/>
      </rPr>
      <t>[kJ/kg]</t>
    </r>
  </si>
  <si>
    <r>
      <t>u</t>
    </r>
    <r>
      <rPr>
        <b/>
        <vertAlign val="subscript"/>
        <sz val="10"/>
        <rFont val="Arial"/>
        <family val="2"/>
      </rPr>
      <t xml:space="preserve">out </t>
    </r>
    <r>
      <rPr>
        <b/>
        <sz val="10"/>
        <rFont val="Arial"/>
        <family val="2"/>
      </rPr>
      <t>[kJ/kg]</t>
    </r>
  </si>
  <si>
    <t>OTTO Cycle</t>
  </si>
  <si>
    <r>
      <t>u</t>
    </r>
    <r>
      <rPr>
        <b/>
        <vertAlign val="subscript"/>
        <sz val="10"/>
        <rFont val="Arial"/>
        <family val="2"/>
      </rPr>
      <t xml:space="preserve"> </t>
    </r>
    <r>
      <rPr>
        <b/>
        <sz val="10"/>
        <rFont val="Arial"/>
        <family val="2"/>
      </rPr>
      <t>[kJ/kg]</t>
    </r>
  </si>
  <si>
    <t>Compression Ratio,r</t>
  </si>
  <si>
    <t>gamma</t>
  </si>
  <si>
    <t>R</t>
  </si>
  <si>
    <t>Enter p1</t>
  </si>
  <si>
    <t>Enter  T1</t>
  </si>
  <si>
    <t>Enter m_dot</t>
  </si>
  <si>
    <t>s1-s2</t>
  </si>
  <si>
    <t>t1-t2</t>
  </si>
  <si>
    <t>t2-t3</t>
  </si>
  <si>
    <t>s2-s3</t>
  </si>
  <si>
    <t>t3-t4</t>
  </si>
  <si>
    <t>s3-s4</t>
  </si>
  <si>
    <t>t4-t1</t>
  </si>
  <si>
    <t>s4-s1</t>
  </si>
  <si>
    <t>p1-p2</t>
  </si>
  <si>
    <t>v1-v2</t>
  </si>
  <si>
    <t>p2-p3</t>
  </si>
  <si>
    <t>v2-v3</t>
  </si>
  <si>
    <t>p3-p4</t>
  </si>
  <si>
    <t>v3-v4</t>
  </si>
  <si>
    <t>p4-p1</t>
  </si>
  <si>
    <t>v4-v1</t>
  </si>
  <si>
    <r>
      <t>C</t>
    </r>
    <r>
      <rPr>
        <vertAlign val="subscript"/>
        <sz val="11"/>
        <color theme="0"/>
        <rFont val="Calibri"/>
        <family val="2"/>
        <scheme val="minor"/>
      </rPr>
      <t>v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</si>
</sst>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sz val="10"/>
      <color theme="1"/>
      <name val="Arial"/>
      <family val="2"/>
    </font>
    <font>
      <b/>
      <sz val="8"/>
      <color indexed="81"/>
      <name val="Tahoma"/>
      <family val="2"/>
    </font>
    <font>
      <b/>
      <vertAlign val="subscript"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0"/>
      <color theme="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2" borderId="1" xfId="0" applyFont="1" applyFill="1" applyBorder="1" applyAlignment="1">
      <alignment horizontal="center"/>
    </xf>
    <xf numFmtId="2" fontId="4" fillId="2" borderId="1" xfId="0" applyNumberFormat="1" applyFont="1" applyFill="1" applyBorder="1" applyAlignment="1" applyProtection="1">
      <alignment horizontal="center"/>
      <protection locked="0"/>
    </xf>
    <xf numFmtId="2" fontId="1" fillId="2" borderId="1" xfId="0" applyNumberFormat="1" applyFont="1" applyFill="1" applyBorder="1"/>
    <xf numFmtId="2" fontId="4" fillId="2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2" fontId="2" fillId="3" borderId="1" xfId="0" applyNumberFormat="1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2" fontId="2" fillId="3" borderId="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13" fillId="0" borderId="0" xfId="0" applyFont="1"/>
    <xf numFmtId="0" fontId="0" fillId="0" borderId="0" xfId="0" applyAlignment="1">
      <alignment horizontal="center"/>
    </xf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2" fontId="15" fillId="0" borderId="0" xfId="0" applyNumberFormat="1" applyFont="1" applyAlignment="1">
      <alignment horizontal="center"/>
    </xf>
    <xf numFmtId="2" fontId="17" fillId="7" borderId="2" xfId="0" applyNumberFormat="1" applyFont="1" applyFill="1" applyBorder="1" applyAlignment="1" applyProtection="1">
      <alignment horizontal="center"/>
      <protection locked="0"/>
    </xf>
    <xf numFmtId="164" fontId="17" fillId="7" borderId="2" xfId="0" applyNumberFormat="1" applyFont="1" applyFill="1" applyBorder="1" applyAlignment="1" applyProtection="1">
      <alignment horizontal="center"/>
      <protection locked="0"/>
    </xf>
    <xf numFmtId="164" fontId="15" fillId="0" borderId="0" xfId="0" applyNumberFormat="1" applyFont="1" applyAlignment="1">
      <alignment horizontal="center"/>
    </xf>
    <xf numFmtId="0" fontId="0" fillId="6" borderId="0" xfId="0" applyFill="1" applyProtection="1">
      <protection locked="0"/>
    </xf>
    <xf numFmtId="0" fontId="2" fillId="3" borderId="1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left"/>
    </xf>
    <xf numFmtId="0" fontId="2" fillId="4" borderId="8" xfId="0" applyFont="1" applyFill="1" applyBorder="1" applyAlignment="1">
      <alignment horizontal="left"/>
    </xf>
    <xf numFmtId="0" fontId="10" fillId="5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4172964853538"/>
          <c:y val="0.1190416681092728"/>
          <c:w val="0.7222258836112283"/>
          <c:h val="0.70377749403465395"/>
        </c:manualLayout>
      </c:layout>
      <c:scatterChart>
        <c:scatterStyle val="lineMarker"/>
        <c:varyColors val="0"/>
        <c:ser>
          <c:idx val="0"/>
          <c:order val="0"/>
          <c:tx>
            <c:v>Compressor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Data!$B$2:$B$102</c:f>
              <c:numCache>
                <c:formatCode>0.000</c:formatCode>
                <c:ptCount val="101"/>
                <c:pt idx="0" formatCode="0.00">
                  <c:v>2.87E-2</c:v>
                </c:pt>
                <c:pt idx="1">
                  <c:v>2.7536609563907469E-2</c:v>
                </c:pt>
                <c:pt idx="2">
                  <c:v>2.6480330982854076E-2</c:v>
                </c:pt>
                <c:pt idx="3">
                  <c:v>2.5516344912536033E-2</c:v>
                </c:pt>
                <c:pt idx="4">
                  <c:v>2.4632501773878056E-2</c:v>
                </c:pt>
                <c:pt idx="5">
                  <c:v>2.3818739502245376E-2</c:v>
                </c:pt>
                <c:pt idx="6">
                  <c:v>2.3066648417067698E-2</c:v>
                </c:pt>
                <c:pt idx="7">
                  <c:v>2.2369141380630113E-2</c:v>
                </c:pt>
                <c:pt idx="8">
                  <c:v>2.1720200525577302E-2</c:v>
                </c:pt>
                <c:pt idx="9">
                  <c:v>2.1114680480667815E-2</c:v>
                </c:pt>
                <c:pt idx="10">
                  <c:v>2.0548153841885936E-2</c:v>
                </c:pt>
                <c:pt idx="11">
                  <c:v>2.0016788617658987E-2</c:v>
                </c:pt>
                <c:pt idx="12">
                  <c:v>1.9517250145959307E-2</c:v>
                </c:pt>
                <c:pt idx="13">
                  <c:v>1.9046621935280866E-2</c:v>
                </c:pt>
                <c:pt idx="14">
                  <c:v>1.8602341279431851E-2</c:v>
                </c:pt>
                <c:pt idx="15">
                  <c:v>1.8182146508703922E-2</c:v>
                </c:pt>
                <c:pt idx="16">
                  <c:v>1.7784033482040967E-2</c:v>
                </c:pt>
                <c:pt idx="17">
                  <c:v>1.7406219474522772E-2</c:v>
                </c:pt>
                <c:pt idx="18">
                  <c:v>1.7047113025790091E-2</c:v>
                </c:pt>
                <c:pt idx="19">
                  <c:v>1.6705288625710774E-2</c:v>
                </c:pt>
                <c:pt idx="20">
                  <c:v>1.6379465350322871E-2</c:v>
                </c:pt>
                <c:pt idx="21">
                  <c:v>1.6068488742983767E-2</c:v>
                </c:pt>
                <c:pt idx="22">
                  <c:v>1.5771315376501113E-2</c:v>
                </c:pt>
                <c:pt idx="23">
                  <c:v>1.5486999641886663E-2</c:v>
                </c:pt>
                <c:pt idx="24">
                  <c:v>1.5214682395668264E-2</c:v>
                </c:pt>
                <c:pt idx="25">
                  <c:v>1.4953581165919607E-2</c:v>
                </c:pt>
                <c:pt idx="26">
                  <c:v>1.4702981671441847E-2</c:v>
                </c:pt>
                <c:pt idx="27">
                  <c:v>1.4462230451961785E-2</c:v>
                </c:pt>
                <c:pt idx="28">
                  <c:v>1.4230728442159739E-2</c:v>
                </c:pt>
                <c:pt idx="29">
                  <c:v>1.4007925350612266E-2</c:v>
                </c:pt>
                <c:pt idx="30">
                  <c:v>1.3793314727722267E-2</c:v>
                </c:pt>
                <c:pt idx="31">
                  <c:v>1.358642962548938E-2</c:v>
                </c:pt>
                <c:pt idx="32">
                  <c:v>1.3386838767387802E-2</c:v>
                </c:pt>
                <c:pt idx="33">
                  <c:v>1.3194143159325915E-2</c:v>
                </c:pt>
                <c:pt idx="34">
                  <c:v>1.3007973083181417E-2</c:v>
                </c:pt>
                <c:pt idx="35">
                  <c:v>1.2827985423149375E-2</c:v>
                </c:pt>
                <c:pt idx="36">
                  <c:v>1.2653861282435988E-2</c:v>
                </c:pt>
                <c:pt idx="37">
                  <c:v>1.2485303853940855E-2</c:v>
                </c:pt>
                <c:pt idx="38">
                  <c:v>1.2322036513705406E-2</c:v>
                </c:pt>
                <c:pt idx="39">
                  <c:v>1.2163801110235696E-2</c:v>
                </c:pt>
                <c:pt idx="40">
                  <c:v>1.201035642647176E-2</c:v>
                </c:pt>
                <c:pt idx="41">
                  <c:v>1.1861476794285439E-2</c:v>
                </c:pt>
                <c:pt idx="42">
                  <c:v>1.1716950844036234E-2</c:v>
                </c:pt>
                <c:pt idx="43">
                  <c:v>1.1576580373975206E-2</c:v>
                </c:pt>
                <c:pt idx="44">
                  <c:v>1.1440179326222521E-2</c:v>
                </c:pt>
                <c:pt idx="45">
                  <c:v>1.1307572857706109E-2</c:v>
                </c:pt>
                <c:pt idx="46">
                  <c:v>1.1178596495879524E-2</c:v>
                </c:pt>
                <c:pt idx="47">
                  <c:v>1.1053095370271583E-2</c:v>
                </c:pt>
                <c:pt idx="48">
                  <c:v>1.0930923511988648E-2</c:v>
                </c:pt>
                <c:pt idx="49">
                  <c:v>1.0811943214216595E-2</c:v>
                </c:pt>
                <c:pt idx="50">
                  <c:v>1.0696024447574677E-2</c:v>
                </c:pt>
                <c:pt idx="51">
                  <c:v>1.058304432487479E-2</c:v>
                </c:pt>
                <c:pt idx="52">
                  <c:v>1.047288661045203E-2</c:v>
                </c:pt>
                <c:pt idx="53">
                  <c:v>1.0365441269768034E-2</c:v>
                </c:pt>
                <c:pt idx="54">
                  <c:v>1.0260604055458093E-2</c:v>
                </c:pt>
                <c:pt idx="55">
                  <c:v>1.0158276126405569E-2</c:v>
                </c:pt>
                <c:pt idx="56">
                  <c:v>1.0058363696789986E-2</c:v>
                </c:pt>
                <c:pt idx="57">
                  <c:v>9.9607777123751438E-3</c:v>
                </c:pt>
                <c:pt idx="58">
                  <c:v>9.8654335515862678E-3</c:v>
                </c:pt>
                <c:pt idx="59">
                  <c:v>9.7722507491751539E-3</c:v>
                </c:pt>
                <c:pt idx="60">
                  <c:v>9.6811527404939875E-3</c:v>
                </c:pt>
                <c:pt idx="61">
                  <c:v>9.5920666245950768E-3</c:v>
                </c:pt>
                <c:pt idx="62">
                  <c:v>9.5049229445488322E-3</c:v>
                </c:pt>
                <c:pt idx="63">
                  <c:v>9.4196554835279528E-3</c:v>
                </c:pt>
                <c:pt idx="64">
                  <c:v>9.3362010753448039E-3</c:v>
                </c:pt>
                <c:pt idx="65">
                  <c:v>9.2544994282530348E-3</c:v>
                </c:pt>
                <c:pt idx="66">
                  <c:v>9.174492960935492E-3</c:v>
                </c:pt>
                <c:pt idx="67">
                  <c:v>9.0961266496999531E-3</c:v>
                </c:pt>
                <c:pt idx="68">
                  <c:v>9.0193478859933781E-3</c:v>
                </c:pt>
                <c:pt idx="69">
                  <c:v>8.9441063434255348E-3</c:v>
                </c:pt>
                <c:pt idx="70">
                  <c:v>8.8703538535648708E-3</c:v>
                </c:pt>
                <c:pt idx="71">
                  <c:v>8.7980442898344374E-3</c:v>
                </c:pt>
                <c:pt idx="72">
                  <c:v>8.7271334588941915E-3</c:v>
                </c:pt>
                <c:pt idx="73">
                  <c:v>8.6575789989487648E-3</c:v>
                </c:pt>
                <c:pt idx="74">
                  <c:v>8.5893402844676257E-3</c:v>
                </c:pt>
                <c:pt idx="75">
                  <c:v>8.5223783368476805E-3</c:v>
                </c:pt>
                <c:pt idx="76">
                  <c:v>8.4566557405875552E-3</c:v>
                </c:pt>
                <c:pt idx="77">
                  <c:v>8.3921365645782623E-3</c:v>
                </c:pt>
                <c:pt idx="78">
                  <c:v>8.3287862881472052E-3</c:v>
                </c:pt>
                <c:pt idx="79">
                  <c:v>8.2665717315217411E-3</c:v>
                </c:pt>
                <c:pt idx="80">
                  <c:v>8.2054609904051931E-3</c:v>
                </c:pt>
                <c:pt idx="81">
                  <c:v>8.1454233743824666E-3</c:v>
                </c:pt>
                <c:pt idx="82">
                  <c:v>8.0864293488945235E-3</c:v>
                </c:pt>
                <c:pt idx="83">
                  <c:v>8.0284504805412105E-3</c:v>
                </c:pt>
                <c:pt idx="84">
                  <c:v>7.9714593854903169E-3</c:v>
                </c:pt>
                <c:pt idx="85">
                  <c:v>7.9154296807876466E-3</c:v>
                </c:pt>
                <c:pt idx="86">
                  <c:v>7.8603359383783052E-3</c:v>
                </c:pt>
                <c:pt idx="87">
                  <c:v>7.8061536416634842E-3</c:v>
                </c:pt>
                <c:pt idx="88">
                  <c:v>7.7528591444300798E-3</c:v>
                </c:pt>
                <c:pt idx="89">
                  <c:v>7.700429632002263E-3</c:v>
                </c:pt>
                <c:pt idx="90">
                  <c:v>7.6488430844751003E-3</c:v>
                </c:pt>
                <c:pt idx="91">
                  <c:v>7.5980782419003082E-3</c:v>
                </c:pt>
                <c:pt idx="92">
                  <c:v>7.5481145713035087E-3</c:v>
                </c:pt>
                <c:pt idx="93">
                  <c:v>7.4989322354207634E-3</c:v>
                </c:pt>
                <c:pt idx="94">
                  <c:v>7.4505120630500741E-3</c:v>
                </c:pt>
                <c:pt idx="95">
                  <c:v>7.4028355209206772E-3</c:v>
                </c:pt>
                <c:pt idx="96">
                  <c:v>7.3558846869896492E-3</c:v>
                </c:pt>
                <c:pt idx="97">
                  <c:v>7.3096422250814976E-3</c:v>
                </c:pt>
                <c:pt idx="98">
                  <c:v>7.2640913607920441E-3</c:v>
                </c:pt>
                <c:pt idx="99">
                  <c:v>7.2192158585831874E-3</c:v>
                </c:pt>
                <c:pt idx="100">
                  <c:v>7.1749999999999965E-3</c:v>
                </c:pt>
              </c:numCache>
            </c:numRef>
          </c:xVal>
          <c:yVal>
            <c:numRef>
              <c:f>Data!$A$2:$A$102</c:f>
              <c:numCache>
                <c:formatCode>General</c:formatCode>
                <c:ptCount val="101"/>
                <c:pt idx="0" formatCode="0.00">
                  <c:v>1000</c:v>
                </c:pt>
                <c:pt idx="1">
                  <c:v>1059.6440450636899</c:v>
                </c:pt>
                <c:pt idx="2">
                  <c:v>1119.2880901273797</c:v>
                </c:pt>
                <c:pt idx="3">
                  <c:v>1178.9321351910696</c:v>
                </c:pt>
                <c:pt idx="4">
                  <c:v>1238.5761802547595</c:v>
                </c:pt>
                <c:pt idx="5">
                  <c:v>1298.2202253184494</c:v>
                </c:pt>
                <c:pt idx="6">
                  <c:v>1357.8642703821392</c:v>
                </c:pt>
                <c:pt idx="7">
                  <c:v>1417.5083154458291</c:v>
                </c:pt>
                <c:pt idx="8">
                  <c:v>1477.152360509519</c:v>
                </c:pt>
                <c:pt idx="9">
                  <c:v>1536.7964055732089</c:v>
                </c:pt>
                <c:pt idx="10">
                  <c:v>1596.4404506368987</c:v>
                </c:pt>
                <c:pt idx="11">
                  <c:v>1656.0844957005886</c:v>
                </c:pt>
                <c:pt idx="12">
                  <c:v>1715.7285407642785</c:v>
                </c:pt>
                <c:pt idx="13">
                  <c:v>1775.3725858279684</c:v>
                </c:pt>
                <c:pt idx="14">
                  <c:v>1835.0166308916582</c:v>
                </c:pt>
                <c:pt idx="15">
                  <c:v>1894.6606759553481</c:v>
                </c:pt>
                <c:pt idx="16">
                  <c:v>1954.304721019038</c:v>
                </c:pt>
                <c:pt idx="17">
                  <c:v>2013.9487660827278</c:v>
                </c:pt>
                <c:pt idx="18">
                  <c:v>2073.5928111464177</c:v>
                </c:pt>
                <c:pt idx="19">
                  <c:v>2133.2368562101078</c:v>
                </c:pt>
                <c:pt idx="20">
                  <c:v>2192.8809012737979</c:v>
                </c:pt>
                <c:pt idx="21">
                  <c:v>2252.524946337488</c:v>
                </c:pt>
                <c:pt idx="22">
                  <c:v>2312.1689914011781</c:v>
                </c:pt>
                <c:pt idx="23">
                  <c:v>2371.8130364648682</c:v>
                </c:pt>
                <c:pt idx="24">
                  <c:v>2431.4570815285583</c:v>
                </c:pt>
                <c:pt idx="25">
                  <c:v>2491.1011265922484</c:v>
                </c:pt>
                <c:pt idx="26">
                  <c:v>2550.7451716559385</c:v>
                </c:pt>
                <c:pt idx="27">
                  <c:v>2610.3892167196286</c:v>
                </c:pt>
                <c:pt idx="28">
                  <c:v>2670.0332617833187</c:v>
                </c:pt>
                <c:pt idx="29">
                  <c:v>2729.6773068470088</c:v>
                </c:pt>
                <c:pt idx="30">
                  <c:v>2789.3213519106989</c:v>
                </c:pt>
                <c:pt idx="31">
                  <c:v>2848.965396974389</c:v>
                </c:pt>
                <c:pt idx="32">
                  <c:v>2908.6094420380791</c:v>
                </c:pt>
                <c:pt idx="33">
                  <c:v>2968.2534871017692</c:v>
                </c:pt>
                <c:pt idx="34">
                  <c:v>3027.8975321654593</c:v>
                </c:pt>
                <c:pt idx="35">
                  <c:v>3087.5415772291494</c:v>
                </c:pt>
                <c:pt idx="36">
                  <c:v>3147.1856222928395</c:v>
                </c:pt>
                <c:pt idx="37">
                  <c:v>3206.8296673565296</c:v>
                </c:pt>
                <c:pt idx="38">
                  <c:v>3266.4737124202197</c:v>
                </c:pt>
                <c:pt idx="39">
                  <c:v>3326.1177574839098</c:v>
                </c:pt>
                <c:pt idx="40">
                  <c:v>3385.7618025475999</c:v>
                </c:pt>
                <c:pt idx="41">
                  <c:v>3445.40584761129</c:v>
                </c:pt>
                <c:pt idx="42">
                  <c:v>3505.0498926749801</c:v>
                </c:pt>
                <c:pt idx="43">
                  <c:v>3564.6939377386702</c:v>
                </c:pt>
                <c:pt idx="44">
                  <c:v>3624.3379828023603</c:v>
                </c:pt>
                <c:pt idx="45">
                  <c:v>3683.9820278660504</c:v>
                </c:pt>
                <c:pt idx="46">
                  <c:v>3743.6260729297405</c:v>
                </c:pt>
                <c:pt idx="47">
                  <c:v>3803.2701179934306</c:v>
                </c:pt>
                <c:pt idx="48">
                  <c:v>3862.9141630571207</c:v>
                </c:pt>
                <c:pt idx="49">
                  <c:v>3922.5582081208108</c:v>
                </c:pt>
                <c:pt idx="50">
                  <c:v>3982.2022531845009</c:v>
                </c:pt>
                <c:pt idx="51">
                  <c:v>4041.846298248191</c:v>
                </c:pt>
                <c:pt idx="52">
                  <c:v>4101.4903433118807</c:v>
                </c:pt>
                <c:pt idx="53">
                  <c:v>4161.1343883755708</c:v>
                </c:pt>
                <c:pt idx="54">
                  <c:v>4220.7784334392609</c:v>
                </c:pt>
                <c:pt idx="55">
                  <c:v>4280.422478502951</c:v>
                </c:pt>
                <c:pt idx="56">
                  <c:v>4340.0665235666411</c:v>
                </c:pt>
                <c:pt idx="57">
                  <c:v>4399.7105686303312</c:v>
                </c:pt>
                <c:pt idx="58">
                  <c:v>4459.3546136940213</c:v>
                </c:pt>
                <c:pt idx="59">
                  <c:v>4518.9986587577114</c:v>
                </c:pt>
                <c:pt idx="60">
                  <c:v>4578.6427038214015</c:v>
                </c:pt>
                <c:pt idx="61">
                  <c:v>4638.2867488850916</c:v>
                </c:pt>
                <c:pt idx="62">
                  <c:v>4697.9307939487817</c:v>
                </c:pt>
                <c:pt idx="63">
                  <c:v>4757.5748390124718</c:v>
                </c:pt>
                <c:pt idx="64">
                  <c:v>4817.2188840761619</c:v>
                </c:pt>
                <c:pt idx="65">
                  <c:v>4876.862929139852</c:v>
                </c:pt>
                <c:pt idx="66">
                  <c:v>4936.5069742035421</c:v>
                </c:pt>
                <c:pt idx="67">
                  <c:v>4996.1510192672322</c:v>
                </c:pt>
                <c:pt idx="68">
                  <c:v>5055.7950643309223</c:v>
                </c:pt>
                <c:pt idx="69">
                  <c:v>5115.4391093946124</c:v>
                </c:pt>
                <c:pt idx="70">
                  <c:v>5175.0831544583025</c:v>
                </c:pt>
                <c:pt idx="71">
                  <c:v>5234.7271995219926</c:v>
                </c:pt>
                <c:pt idx="72">
                  <c:v>5294.3712445856827</c:v>
                </c:pt>
                <c:pt idx="73">
                  <c:v>5354.0152896493728</c:v>
                </c:pt>
                <c:pt idx="74">
                  <c:v>5413.6593347130629</c:v>
                </c:pt>
                <c:pt idx="75">
                  <c:v>5473.303379776753</c:v>
                </c:pt>
                <c:pt idx="76">
                  <c:v>5532.9474248404431</c:v>
                </c:pt>
                <c:pt idx="77">
                  <c:v>5592.5914699041332</c:v>
                </c:pt>
                <c:pt idx="78">
                  <c:v>5652.2355149678233</c:v>
                </c:pt>
                <c:pt idx="79">
                  <c:v>5711.8795600315134</c:v>
                </c:pt>
                <c:pt idx="80">
                  <c:v>5771.5236050952035</c:v>
                </c:pt>
                <c:pt idx="81">
                  <c:v>5831.1676501588936</c:v>
                </c:pt>
                <c:pt idx="82">
                  <c:v>5890.8116952225837</c:v>
                </c:pt>
                <c:pt idx="83">
                  <c:v>5950.4557402862738</c:v>
                </c:pt>
                <c:pt idx="84">
                  <c:v>6010.0997853499639</c:v>
                </c:pt>
                <c:pt idx="85">
                  <c:v>6069.743830413654</c:v>
                </c:pt>
                <c:pt idx="86">
                  <c:v>6129.3878754773441</c:v>
                </c:pt>
                <c:pt idx="87">
                  <c:v>6189.0319205410342</c:v>
                </c:pt>
                <c:pt idx="88">
                  <c:v>6248.6759656047243</c:v>
                </c:pt>
                <c:pt idx="89">
                  <c:v>6308.3200106684144</c:v>
                </c:pt>
                <c:pt idx="90">
                  <c:v>6367.9640557321045</c:v>
                </c:pt>
                <c:pt idx="91">
                  <c:v>6427.6081007957946</c:v>
                </c:pt>
                <c:pt idx="92">
                  <c:v>6487.2521458594847</c:v>
                </c:pt>
                <c:pt idx="93">
                  <c:v>6546.8961909231748</c:v>
                </c:pt>
                <c:pt idx="94">
                  <c:v>6606.5402359868649</c:v>
                </c:pt>
                <c:pt idx="95">
                  <c:v>6666.184281050555</c:v>
                </c:pt>
                <c:pt idx="96">
                  <c:v>6725.8283261142451</c:v>
                </c:pt>
                <c:pt idx="97">
                  <c:v>6785.4723711779352</c:v>
                </c:pt>
                <c:pt idx="98">
                  <c:v>6845.1164162416253</c:v>
                </c:pt>
                <c:pt idx="99">
                  <c:v>6904.7604613053154</c:v>
                </c:pt>
                <c:pt idx="100">
                  <c:v>6964.4045063690055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4-458F-99E5-C2538FE67ED9}"/>
            </c:ext>
          </c:extLst>
        </c:ser>
        <c:ser>
          <c:idx val="1"/>
          <c:order val="1"/>
          <c:tx>
            <c:v>Combustion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Data!$D$2:$D$102</c:f>
              <c:numCache>
                <c:formatCode>0.00</c:formatCode>
                <c:ptCount val="101"/>
                <c:pt idx="0">
                  <c:v>7.175E-3</c:v>
                </c:pt>
                <c:pt idx="1">
                  <c:v>7.175E-3</c:v>
                </c:pt>
                <c:pt idx="2">
                  <c:v>7.175E-3</c:v>
                </c:pt>
                <c:pt idx="3">
                  <c:v>7.175E-3</c:v>
                </c:pt>
                <c:pt idx="4">
                  <c:v>7.175E-3</c:v>
                </c:pt>
                <c:pt idx="5">
                  <c:v>7.175E-3</c:v>
                </c:pt>
                <c:pt idx="6">
                  <c:v>7.175E-3</c:v>
                </c:pt>
                <c:pt idx="7">
                  <c:v>7.175E-3</c:v>
                </c:pt>
                <c:pt idx="8">
                  <c:v>7.175E-3</c:v>
                </c:pt>
                <c:pt idx="9">
                  <c:v>7.175E-3</c:v>
                </c:pt>
                <c:pt idx="10">
                  <c:v>7.175E-3</c:v>
                </c:pt>
                <c:pt idx="11">
                  <c:v>7.175E-3</c:v>
                </c:pt>
                <c:pt idx="12">
                  <c:v>7.175E-3</c:v>
                </c:pt>
                <c:pt idx="13">
                  <c:v>7.175E-3</c:v>
                </c:pt>
                <c:pt idx="14">
                  <c:v>7.175E-3</c:v>
                </c:pt>
                <c:pt idx="15">
                  <c:v>7.175E-3</c:v>
                </c:pt>
                <c:pt idx="16">
                  <c:v>7.175E-3</c:v>
                </c:pt>
                <c:pt idx="17">
                  <c:v>7.175E-3</c:v>
                </c:pt>
                <c:pt idx="18">
                  <c:v>7.175E-3</c:v>
                </c:pt>
                <c:pt idx="19">
                  <c:v>7.175E-3</c:v>
                </c:pt>
                <c:pt idx="20">
                  <c:v>7.175E-3</c:v>
                </c:pt>
                <c:pt idx="21">
                  <c:v>7.175E-3</c:v>
                </c:pt>
                <c:pt idx="22">
                  <c:v>7.175E-3</c:v>
                </c:pt>
                <c:pt idx="23">
                  <c:v>7.175E-3</c:v>
                </c:pt>
                <c:pt idx="24">
                  <c:v>7.175E-3</c:v>
                </c:pt>
                <c:pt idx="25">
                  <c:v>7.175E-3</c:v>
                </c:pt>
                <c:pt idx="26">
                  <c:v>7.175E-3</c:v>
                </c:pt>
                <c:pt idx="27">
                  <c:v>7.175E-3</c:v>
                </c:pt>
                <c:pt idx="28">
                  <c:v>7.175E-3</c:v>
                </c:pt>
                <c:pt idx="29">
                  <c:v>7.175E-3</c:v>
                </c:pt>
                <c:pt idx="30">
                  <c:v>7.175E-3</c:v>
                </c:pt>
                <c:pt idx="31">
                  <c:v>7.175E-3</c:v>
                </c:pt>
                <c:pt idx="32">
                  <c:v>7.175E-3</c:v>
                </c:pt>
                <c:pt idx="33">
                  <c:v>7.175E-3</c:v>
                </c:pt>
                <c:pt idx="34">
                  <c:v>7.175E-3</c:v>
                </c:pt>
                <c:pt idx="35">
                  <c:v>7.175E-3</c:v>
                </c:pt>
                <c:pt idx="36">
                  <c:v>7.175E-3</c:v>
                </c:pt>
                <c:pt idx="37">
                  <c:v>7.175E-3</c:v>
                </c:pt>
                <c:pt idx="38">
                  <c:v>7.175E-3</c:v>
                </c:pt>
                <c:pt idx="39">
                  <c:v>7.175E-3</c:v>
                </c:pt>
                <c:pt idx="40">
                  <c:v>7.175E-3</c:v>
                </c:pt>
                <c:pt idx="41">
                  <c:v>7.175E-3</c:v>
                </c:pt>
                <c:pt idx="42">
                  <c:v>7.175E-3</c:v>
                </c:pt>
                <c:pt idx="43">
                  <c:v>7.175E-3</c:v>
                </c:pt>
                <c:pt idx="44">
                  <c:v>7.175E-3</c:v>
                </c:pt>
                <c:pt idx="45">
                  <c:v>7.175E-3</c:v>
                </c:pt>
                <c:pt idx="46">
                  <c:v>7.175E-3</c:v>
                </c:pt>
                <c:pt idx="47">
                  <c:v>7.175E-3</c:v>
                </c:pt>
                <c:pt idx="48">
                  <c:v>7.175E-3</c:v>
                </c:pt>
                <c:pt idx="49">
                  <c:v>7.175E-3</c:v>
                </c:pt>
                <c:pt idx="50">
                  <c:v>7.175E-3</c:v>
                </c:pt>
                <c:pt idx="51">
                  <c:v>7.175E-3</c:v>
                </c:pt>
                <c:pt idx="52">
                  <c:v>7.175E-3</c:v>
                </c:pt>
                <c:pt idx="53">
                  <c:v>7.175E-3</c:v>
                </c:pt>
                <c:pt idx="54">
                  <c:v>7.175E-3</c:v>
                </c:pt>
                <c:pt idx="55">
                  <c:v>7.175E-3</c:v>
                </c:pt>
                <c:pt idx="56">
                  <c:v>7.175E-3</c:v>
                </c:pt>
                <c:pt idx="57">
                  <c:v>7.175E-3</c:v>
                </c:pt>
                <c:pt idx="58">
                  <c:v>7.175E-3</c:v>
                </c:pt>
                <c:pt idx="59">
                  <c:v>7.175E-3</c:v>
                </c:pt>
                <c:pt idx="60">
                  <c:v>7.175E-3</c:v>
                </c:pt>
                <c:pt idx="61">
                  <c:v>7.175E-3</c:v>
                </c:pt>
                <c:pt idx="62">
                  <c:v>7.175E-3</c:v>
                </c:pt>
                <c:pt idx="63">
                  <c:v>7.175E-3</c:v>
                </c:pt>
                <c:pt idx="64">
                  <c:v>7.175E-3</c:v>
                </c:pt>
                <c:pt idx="65">
                  <c:v>7.175E-3</c:v>
                </c:pt>
                <c:pt idx="66">
                  <c:v>7.175E-3</c:v>
                </c:pt>
                <c:pt idx="67">
                  <c:v>7.175E-3</c:v>
                </c:pt>
                <c:pt idx="68">
                  <c:v>7.175E-3</c:v>
                </c:pt>
                <c:pt idx="69">
                  <c:v>7.175E-3</c:v>
                </c:pt>
                <c:pt idx="70">
                  <c:v>7.175E-3</c:v>
                </c:pt>
                <c:pt idx="71">
                  <c:v>7.175E-3</c:v>
                </c:pt>
                <c:pt idx="72">
                  <c:v>7.175E-3</c:v>
                </c:pt>
                <c:pt idx="73">
                  <c:v>7.175E-3</c:v>
                </c:pt>
                <c:pt idx="74">
                  <c:v>7.175E-3</c:v>
                </c:pt>
                <c:pt idx="75">
                  <c:v>7.175E-3</c:v>
                </c:pt>
                <c:pt idx="76">
                  <c:v>7.175E-3</c:v>
                </c:pt>
                <c:pt idx="77">
                  <c:v>7.175E-3</c:v>
                </c:pt>
                <c:pt idx="78">
                  <c:v>7.175E-3</c:v>
                </c:pt>
                <c:pt idx="79">
                  <c:v>7.175E-3</c:v>
                </c:pt>
                <c:pt idx="80">
                  <c:v>7.175E-3</c:v>
                </c:pt>
                <c:pt idx="81">
                  <c:v>7.175E-3</c:v>
                </c:pt>
                <c:pt idx="82">
                  <c:v>7.175E-3</c:v>
                </c:pt>
                <c:pt idx="83">
                  <c:v>7.175E-3</c:v>
                </c:pt>
                <c:pt idx="84">
                  <c:v>7.175E-3</c:v>
                </c:pt>
                <c:pt idx="85">
                  <c:v>7.175E-3</c:v>
                </c:pt>
                <c:pt idx="86">
                  <c:v>7.175E-3</c:v>
                </c:pt>
                <c:pt idx="87">
                  <c:v>7.175E-3</c:v>
                </c:pt>
                <c:pt idx="88">
                  <c:v>7.175E-3</c:v>
                </c:pt>
                <c:pt idx="89">
                  <c:v>7.175E-3</c:v>
                </c:pt>
                <c:pt idx="90">
                  <c:v>7.175E-3</c:v>
                </c:pt>
                <c:pt idx="91">
                  <c:v>7.175E-3</c:v>
                </c:pt>
                <c:pt idx="92">
                  <c:v>7.175E-3</c:v>
                </c:pt>
                <c:pt idx="93">
                  <c:v>7.175E-3</c:v>
                </c:pt>
                <c:pt idx="94">
                  <c:v>7.175E-3</c:v>
                </c:pt>
                <c:pt idx="95">
                  <c:v>7.175E-3</c:v>
                </c:pt>
                <c:pt idx="96">
                  <c:v>7.175E-3</c:v>
                </c:pt>
                <c:pt idx="97">
                  <c:v>7.175E-3</c:v>
                </c:pt>
                <c:pt idx="98">
                  <c:v>7.175E-3</c:v>
                </c:pt>
                <c:pt idx="99">
                  <c:v>7.175E-3</c:v>
                </c:pt>
                <c:pt idx="100">
                  <c:v>7.175E-3</c:v>
                </c:pt>
              </c:numCache>
            </c:numRef>
          </c:xVal>
          <c:yVal>
            <c:numRef>
              <c:f>Data!$C$2:$C$102</c:f>
              <c:numCache>
                <c:formatCode>0.00</c:formatCode>
                <c:ptCount val="101"/>
                <c:pt idx="0">
                  <c:v>6964.4045063689919</c:v>
                </c:pt>
                <c:pt idx="1">
                  <c:v>7016.0177866261338</c:v>
                </c:pt>
                <c:pt idx="2">
                  <c:v>7067.6310668832757</c:v>
                </c:pt>
                <c:pt idx="3">
                  <c:v>7119.2443471404176</c:v>
                </c:pt>
                <c:pt idx="4">
                  <c:v>7170.8576273975596</c:v>
                </c:pt>
                <c:pt idx="5">
                  <c:v>7222.4709076547015</c:v>
                </c:pt>
                <c:pt idx="6">
                  <c:v>7274.0841879118434</c:v>
                </c:pt>
                <c:pt idx="7">
                  <c:v>7325.6974681689853</c:v>
                </c:pt>
                <c:pt idx="8">
                  <c:v>7377.3107484261272</c:v>
                </c:pt>
                <c:pt idx="9">
                  <c:v>7428.9240286832692</c:v>
                </c:pt>
                <c:pt idx="10">
                  <c:v>7480.5373089404111</c:v>
                </c:pt>
                <c:pt idx="11">
                  <c:v>7532.150589197553</c:v>
                </c:pt>
                <c:pt idx="12">
                  <c:v>7583.7638694546949</c:v>
                </c:pt>
                <c:pt idx="13">
                  <c:v>7635.3771497118369</c:v>
                </c:pt>
                <c:pt idx="14">
                  <c:v>7686.9904299689788</c:v>
                </c:pt>
                <c:pt idx="15">
                  <c:v>7738.6037102261207</c:v>
                </c:pt>
                <c:pt idx="16">
                  <c:v>7790.2169904832626</c:v>
                </c:pt>
                <c:pt idx="17">
                  <c:v>7841.8302707404046</c:v>
                </c:pt>
                <c:pt idx="18">
                  <c:v>7893.4435509975465</c:v>
                </c:pt>
                <c:pt idx="19">
                  <c:v>7945.0568312546884</c:v>
                </c:pt>
                <c:pt idx="20">
                  <c:v>7996.6701115118303</c:v>
                </c:pt>
                <c:pt idx="21">
                  <c:v>8048.2833917689723</c:v>
                </c:pt>
                <c:pt idx="22">
                  <c:v>8099.8966720261142</c:v>
                </c:pt>
                <c:pt idx="23">
                  <c:v>8151.5099522832561</c:v>
                </c:pt>
                <c:pt idx="24">
                  <c:v>8203.123232540398</c:v>
                </c:pt>
                <c:pt idx="25">
                  <c:v>8254.736512797539</c:v>
                </c:pt>
                <c:pt idx="26">
                  <c:v>8306.34979305468</c:v>
                </c:pt>
                <c:pt idx="27">
                  <c:v>8357.9630733118211</c:v>
                </c:pt>
                <c:pt idx="28">
                  <c:v>8409.5763535689621</c:v>
                </c:pt>
                <c:pt idx="29">
                  <c:v>8461.1896338261031</c:v>
                </c:pt>
                <c:pt idx="30">
                  <c:v>8512.8029140832441</c:v>
                </c:pt>
                <c:pt idx="31">
                  <c:v>8564.4161943403851</c:v>
                </c:pt>
                <c:pt idx="32">
                  <c:v>8616.0294745975261</c:v>
                </c:pt>
                <c:pt idx="33">
                  <c:v>8667.6427548546671</c:v>
                </c:pt>
                <c:pt idx="34">
                  <c:v>8719.2560351118082</c:v>
                </c:pt>
                <c:pt idx="35">
                  <c:v>8770.8693153689492</c:v>
                </c:pt>
                <c:pt idx="36">
                  <c:v>8822.4825956260902</c:v>
                </c:pt>
                <c:pt idx="37">
                  <c:v>8874.0958758832312</c:v>
                </c:pt>
                <c:pt idx="38">
                  <c:v>8925.7091561403722</c:v>
                </c:pt>
                <c:pt idx="39">
                  <c:v>8977.3224363975132</c:v>
                </c:pt>
                <c:pt idx="40">
                  <c:v>9028.9357166546542</c:v>
                </c:pt>
                <c:pt idx="41">
                  <c:v>9080.5489969117953</c:v>
                </c:pt>
                <c:pt idx="42">
                  <c:v>9132.1622771689363</c:v>
                </c:pt>
                <c:pt idx="43">
                  <c:v>9183.7755574260773</c:v>
                </c:pt>
                <c:pt idx="44">
                  <c:v>9235.3888376832183</c:v>
                </c:pt>
                <c:pt idx="45">
                  <c:v>9287.0021179403593</c:v>
                </c:pt>
                <c:pt idx="46">
                  <c:v>9338.6153981975003</c:v>
                </c:pt>
                <c:pt idx="47">
                  <c:v>9390.2286784546413</c:v>
                </c:pt>
                <c:pt idx="48">
                  <c:v>9441.8419587117824</c:v>
                </c:pt>
                <c:pt idx="49">
                  <c:v>9493.4552389689234</c:v>
                </c:pt>
                <c:pt idx="50">
                  <c:v>9545.0685192260644</c:v>
                </c:pt>
                <c:pt idx="51">
                  <c:v>9596.6817994832054</c:v>
                </c:pt>
                <c:pt idx="52">
                  <c:v>9648.2950797403464</c:v>
                </c:pt>
                <c:pt idx="53">
                  <c:v>9699.9083599974874</c:v>
                </c:pt>
                <c:pt idx="54">
                  <c:v>9751.5216402546284</c:v>
                </c:pt>
                <c:pt idx="55">
                  <c:v>9803.1349205117695</c:v>
                </c:pt>
                <c:pt idx="56">
                  <c:v>9854.7482007689105</c:v>
                </c:pt>
                <c:pt idx="57">
                  <c:v>9906.3614810260515</c:v>
                </c:pt>
                <c:pt idx="58">
                  <c:v>9957.9747612831925</c:v>
                </c:pt>
                <c:pt idx="59">
                  <c:v>10009.588041540334</c:v>
                </c:pt>
                <c:pt idx="60">
                  <c:v>10061.201321797475</c:v>
                </c:pt>
                <c:pt idx="61">
                  <c:v>10112.814602054616</c:v>
                </c:pt>
                <c:pt idx="62">
                  <c:v>10164.427882311757</c:v>
                </c:pt>
                <c:pt idx="63">
                  <c:v>10216.041162568898</c:v>
                </c:pt>
                <c:pt idx="64">
                  <c:v>10267.654442826039</c:v>
                </c:pt>
                <c:pt idx="65">
                  <c:v>10319.26772308318</c:v>
                </c:pt>
                <c:pt idx="66">
                  <c:v>10370.881003340321</c:v>
                </c:pt>
                <c:pt idx="67">
                  <c:v>10422.494283597462</c:v>
                </c:pt>
                <c:pt idx="68">
                  <c:v>10474.107563854603</c:v>
                </c:pt>
                <c:pt idx="69">
                  <c:v>10525.720844111744</c:v>
                </c:pt>
                <c:pt idx="70">
                  <c:v>10577.334124368885</c:v>
                </c:pt>
                <c:pt idx="71">
                  <c:v>10628.947404626026</c:v>
                </c:pt>
                <c:pt idx="72">
                  <c:v>10680.560684883167</c:v>
                </c:pt>
                <c:pt idx="73">
                  <c:v>10732.173965140308</c:v>
                </c:pt>
                <c:pt idx="74">
                  <c:v>10783.787245397449</c:v>
                </c:pt>
                <c:pt idx="75">
                  <c:v>10835.40052565459</c:v>
                </c:pt>
                <c:pt idx="76">
                  <c:v>10887.013805911731</c:v>
                </c:pt>
                <c:pt idx="77">
                  <c:v>10938.627086168872</c:v>
                </c:pt>
                <c:pt idx="78">
                  <c:v>10990.240366426013</c:v>
                </c:pt>
                <c:pt idx="79">
                  <c:v>11041.853646683154</c:v>
                </c:pt>
                <c:pt idx="80">
                  <c:v>11093.466926940295</c:v>
                </c:pt>
                <c:pt idx="81">
                  <c:v>11145.080207197436</c:v>
                </c:pt>
                <c:pt idx="82">
                  <c:v>11196.693487454577</c:v>
                </c:pt>
                <c:pt idx="83">
                  <c:v>11248.306767711718</c:v>
                </c:pt>
                <c:pt idx="84">
                  <c:v>11299.920047968859</c:v>
                </c:pt>
                <c:pt idx="85">
                  <c:v>11351.533328226</c:v>
                </c:pt>
                <c:pt idx="86">
                  <c:v>11403.146608483141</c:v>
                </c:pt>
                <c:pt idx="87">
                  <c:v>11454.759888740282</c:v>
                </c:pt>
                <c:pt idx="88">
                  <c:v>11506.373168997423</c:v>
                </c:pt>
                <c:pt idx="89">
                  <c:v>11557.986449254564</c:v>
                </c:pt>
                <c:pt idx="90">
                  <c:v>11609.599729511705</c:v>
                </c:pt>
                <c:pt idx="91">
                  <c:v>11661.213009768846</c:v>
                </c:pt>
                <c:pt idx="92">
                  <c:v>11712.826290025987</c:v>
                </c:pt>
                <c:pt idx="93">
                  <c:v>11764.439570283128</c:v>
                </c:pt>
                <c:pt idx="94">
                  <c:v>11816.052850540269</c:v>
                </c:pt>
                <c:pt idx="95">
                  <c:v>11867.66613079741</c:v>
                </c:pt>
                <c:pt idx="96">
                  <c:v>11919.279411054551</c:v>
                </c:pt>
                <c:pt idx="97">
                  <c:v>11970.892691311692</c:v>
                </c:pt>
                <c:pt idx="98">
                  <c:v>12022.505971568833</c:v>
                </c:pt>
                <c:pt idx="99">
                  <c:v>12074.119251825974</c:v>
                </c:pt>
                <c:pt idx="100">
                  <c:v>12125.732532083115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A4-458F-99E5-C2538FE67ED9}"/>
            </c:ext>
          </c:extLst>
        </c:ser>
        <c:ser>
          <c:idx val="2"/>
          <c:order val="2"/>
          <c:tx>
            <c:v>Power Stroke</c:v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Data!$F$2:$F$102</c:f>
              <c:numCache>
                <c:formatCode>General</c:formatCode>
                <c:ptCount val="101"/>
                <c:pt idx="0" formatCode="0.00">
                  <c:v>7.175E-3</c:v>
                </c:pt>
                <c:pt idx="1">
                  <c:v>7.21921585858319E-3</c:v>
                </c:pt>
                <c:pt idx="2">
                  <c:v>7.2640913607920476E-3</c:v>
                </c:pt>
                <c:pt idx="3">
                  <c:v>7.3096422250815002E-3</c:v>
                </c:pt>
                <c:pt idx="4">
                  <c:v>7.355884686989651E-3</c:v>
                </c:pt>
                <c:pt idx="5">
                  <c:v>7.4028355209206807E-3</c:v>
                </c:pt>
                <c:pt idx="6">
                  <c:v>7.4505120630500793E-3</c:v>
                </c:pt>
                <c:pt idx="7">
                  <c:v>7.4989322354207678E-3</c:v>
                </c:pt>
                <c:pt idx="8">
                  <c:v>7.548114571303513E-3</c:v>
                </c:pt>
                <c:pt idx="9">
                  <c:v>7.5980782419003134E-3</c:v>
                </c:pt>
                <c:pt idx="10">
                  <c:v>7.6488430844751064E-3</c:v>
                </c:pt>
                <c:pt idx="11">
                  <c:v>7.7004296320022699E-3</c:v>
                </c:pt>
                <c:pt idx="12">
                  <c:v>7.7528591444300842E-3</c:v>
                </c:pt>
                <c:pt idx="13">
                  <c:v>7.8061536416634885E-3</c:v>
                </c:pt>
                <c:pt idx="14">
                  <c:v>7.8603359383783104E-3</c:v>
                </c:pt>
                <c:pt idx="15">
                  <c:v>7.9154296807876535E-3</c:v>
                </c:pt>
                <c:pt idx="16">
                  <c:v>7.9714593854903221E-3</c:v>
                </c:pt>
                <c:pt idx="17">
                  <c:v>8.0284504805412174E-3</c:v>
                </c:pt>
                <c:pt idx="18">
                  <c:v>8.0864293488945305E-3</c:v>
                </c:pt>
                <c:pt idx="19">
                  <c:v>8.1454233743824735E-3</c:v>
                </c:pt>
                <c:pt idx="20">
                  <c:v>8.2054609904052018E-3</c:v>
                </c:pt>
                <c:pt idx="21">
                  <c:v>8.2665717315217498E-3</c:v>
                </c:pt>
                <c:pt idx="22">
                  <c:v>8.3287862881472156E-3</c:v>
                </c:pt>
                <c:pt idx="23">
                  <c:v>8.3921365645782744E-3</c:v>
                </c:pt>
                <c:pt idx="24">
                  <c:v>8.4566557405875691E-3</c:v>
                </c:pt>
                <c:pt idx="25">
                  <c:v>8.5223783368476962E-3</c:v>
                </c:pt>
                <c:pt idx="26">
                  <c:v>8.5893402844676413E-3</c:v>
                </c:pt>
                <c:pt idx="27">
                  <c:v>8.6575789989487822E-3</c:v>
                </c:pt>
                <c:pt idx="28">
                  <c:v>8.7271334588942071E-3</c:v>
                </c:pt>
                <c:pt idx="29">
                  <c:v>8.7980442898344547E-3</c:v>
                </c:pt>
                <c:pt idx="30">
                  <c:v>8.8703538535648881E-3</c:v>
                </c:pt>
                <c:pt idx="31">
                  <c:v>8.9441063434255522E-3</c:v>
                </c:pt>
                <c:pt idx="32">
                  <c:v>9.0193478859933989E-3</c:v>
                </c:pt>
                <c:pt idx="33">
                  <c:v>9.0961266496999739E-3</c:v>
                </c:pt>
                <c:pt idx="34">
                  <c:v>9.1744929609355146E-3</c:v>
                </c:pt>
                <c:pt idx="35">
                  <c:v>9.2544994282530574E-3</c:v>
                </c:pt>
                <c:pt idx="36">
                  <c:v>9.3362010753448282E-3</c:v>
                </c:pt>
                <c:pt idx="37">
                  <c:v>9.4196554835279788E-3</c:v>
                </c:pt>
                <c:pt idx="38">
                  <c:v>9.50492294454886E-3</c:v>
                </c:pt>
                <c:pt idx="39">
                  <c:v>9.5920666245951046E-3</c:v>
                </c:pt>
                <c:pt idx="40">
                  <c:v>9.6811527404940152E-3</c:v>
                </c:pt>
                <c:pt idx="41">
                  <c:v>9.7722507491751816E-3</c:v>
                </c:pt>
                <c:pt idx="42">
                  <c:v>9.8654335515862938E-3</c:v>
                </c:pt>
                <c:pt idx="43">
                  <c:v>9.9607777123751733E-3</c:v>
                </c:pt>
                <c:pt idx="44">
                  <c:v>1.0058363696790015E-2</c:v>
                </c:pt>
                <c:pt idx="45">
                  <c:v>1.0158276126405599E-2</c:v>
                </c:pt>
                <c:pt idx="46">
                  <c:v>1.0260604055458122E-2</c:v>
                </c:pt>
                <c:pt idx="47">
                  <c:v>1.0365441269768065E-2</c:v>
                </c:pt>
                <c:pt idx="48">
                  <c:v>1.0472886610452063E-2</c:v>
                </c:pt>
                <c:pt idx="49">
                  <c:v>1.0583044324874818E-2</c:v>
                </c:pt>
                <c:pt idx="50">
                  <c:v>1.069602444757471E-2</c:v>
                </c:pt>
                <c:pt idx="51">
                  <c:v>1.0811943214216628E-2</c:v>
                </c:pt>
                <c:pt idx="52">
                  <c:v>1.0930923511988679E-2</c:v>
                </c:pt>
                <c:pt idx="53">
                  <c:v>1.1053095370271616E-2</c:v>
                </c:pt>
                <c:pt idx="54">
                  <c:v>1.117859649587956E-2</c:v>
                </c:pt>
                <c:pt idx="55">
                  <c:v>1.1307572857706146E-2</c:v>
                </c:pt>
                <c:pt idx="56">
                  <c:v>1.1440179326222561E-2</c:v>
                </c:pt>
                <c:pt idx="57">
                  <c:v>1.157658037397525E-2</c:v>
                </c:pt>
                <c:pt idx="58">
                  <c:v>1.1716950844036277E-2</c:v>
                </c:pt>
                <c:pt idx="59">
                  <c:v>1.1861476794285482E-2</c:v>
                </c:pt>
                <c:pt idx="60">
                  <c:v>1.2010356426471806E-2</c:v>
                </c:pt>
                <c:pt idx="61">
                  <c:v>1.2163801110235744E-2</c:v>
                </c:pt>
                <c:pt idx="62">
                  <c:v>1.2322036513705453E-2</c:v>
                </c:pt>
                <c:pt idx="63">
                  <c:v>1.2485303853940906E-2</c:v>
                </c:pt>
                <c:pt idx="64">
                  <c:v>1.2653861282436035E-2</c:v>
                </c:pt>
                <c:pt idx="65">
                  <c:v>1.2827985423149425E-2</c:v>
                </c:pt>
                <c:pt idx="66">
                  <c:v>1.3007973083181466E-2</c:v>
                </c:pt>
                <c:pt idx="67">
                  <c:v>1.3194143159325964E-2</c:v>
                </c:pt>
                <c:pt idx="68">
                  <c:v>1.3386838767387851E-2</c:v>
                </c:pt>
                <c:pt idx="69">
                  <c:v>1.3586429625489428E-2</c:v>
                </c:pt>
                <c:pt idx="70">
                  <c:v>1.3793314727722317E-2</c:v>
                </c:pt>
                <c:pt idx="71">
                  <c:v>1.4007925350612316E-2</c:v>
                </c:pt>
                <c:pt idx="72">
                  <c:v>1.4230728442159793E-2</c:v>
                </c:pt>
                <c:pt idx="73">
                  <c:v>1.4462230451961844E-2</c:v>
                </c:pt>
                <c:pt idx="74">
                  <c:v>1.4702981671441902E-2</c:v>
                </c:pt>
                <c:pt idx="75">
                  <c:v>1.4953581165919666E-2</c:v>
                </c:pt>
                <c:pt idx="76">
                  <c:v>1.5214682395668325E-2</c:v>
                </c:pt>
                <c:pt idx="77">
                  <c:v>1.5486999641886729E-2</c:v>
                </c:pt>
                <c:pt idx="78">
                  <c:v>1.5771315376501182E-2</c:v>
                </c:pt>
                <c:pt idx="79">
                  <c:v>1.606848874298384E-2</c:v>
                </c:pt>
                <c:pt idx="80">
                  <c:v>1.637946535032294E-2</c:v>
                </c:pt>
                <c:pt idx="81">
                  <c:v>1.6705288625710846E-2</c:v>
                </c:pt>
                <c:pt idx="82">
                  <c:v>1.7047113025790168E-2</c:v>
                </c:pt>
                <c:pt idx="83">
                  <c:v>1.7406219474522852E-2</c:v>
                </c:pt>
                <c:pt idx="84">
                  <c:v>1.7784033482041051E-2</c:v>
                </c:pt>
                <c:pt idx="85">
                  <c:v>1.8182146508704013E-2</c:v>
                </c:pt>
                <c:pt idx="86">
                  <c:v>1.8602341279431944E-2</c:v>
                </c:pt>
                <c:pt idx="87">
                  <c:v>1.9046621935280967E-2</c:v>
                </c:pt>
                <c:pt idx="88">
                  <c:v>1.9517250145959415E-2</c:v>
                </c:pt>
                <c:pt idx="89">
                  <c:v>2.0016788617659105E-2</c:v>
                </c:pt>
                <c:pt idx="90">
                  <c:v>2.0548153841886057E-2</c:v>
                </c:pt>
                <c:pt idx="91">
                  <c:v>2.1114680480667947E-2</c:v>
                </c:pt>
                <c:pt idx="92">
                  <c:v>2.1720200525577452E-2</c:v>
                </c:pt>
                <c:pt idx="93">
                  <c:v>2.2369141380630272E-2</c:v>
                </c:pt>
                <c:pt idx="94">
                  <c:v>2.3066648417067879E-2</c:v>
                </c:pt>
                <c:pt idx="95">
                  <c:v>2.3818739502245567E-2</c:v>
                </c:pt>
                <c:pt idx="96">
                  <c:v>2.4632501773878268E-2</c:v>
                </c:pt>
                <c:pt idx="97">
                  <c:v>2.5516344912536258E-2</c:v>
                </c:pt>
                <c:pt idx="98">
                  <c:v>2.6480330982854329E-2</c:v>
                </c:pt>
                <c:pt idx="99">
                  <c:v>2.753660956390775E-2</c:v>
                </c:pt>
                <c:pt idx="100">
                  <c:v>2.8700000000000309E-2</c:v>
                </c:pt>
              </c:numCache>
            </c:numRef>
          </c:xVal>
          <c:yVal>
            <c:numRef>
              <c:f>Data!$E$2:$E$102</c:f>
              <c:numCache>
                <c:formatCode>General</c:formatCode>
                <c:ptCount val="101"/>
                <c:pt idx="0" formatCode="0.00">
                  <c:v>12125.732532083181</c:v>
                </c:pt>
                <c:pt idx="1">
                  <c:v>12021.88621802827</c:v>
                </c:pt>
                <c:pt idx="2">
                  <c:v>11918.03990397336</c:v>
                </c:pt>
                <c:pt idx="3">
                  <c:v>11814.19358991845</c:v>
                </c:pt>
                <c:pt idx="4">
                  <c:v>11710.34727586354</c:v>
                </c:pt>
                <c:pt idx="5">
                  <c:v>11606.50096180863</c:v>
                </c:pt>
                <c:pt idx="6">
                  <c:v>11502.654647753719</c:v>
                </c:pt>
                <c:pt idx="7">
                  <c:v>11398.808333698809</c:v>
                </c:pt>
                <c:pt idx="8">
                  <c:v>11294.962019643899</c:v>
                </c:pt>
                <c:pt idx="9">
                  <c:v>11191.115705588989</c:v>
                </c:pt>
                <c:pt idx="10">
                  <c:v>11087.269391534079</c:v>
                </c:pt>
                <c:pt idx="11">
                  <c:v>10983.423077479169</c:v>
                </c:pt>
                <c:pt idx="12">
                  <c:v>10879.576763424258</c:v>
                </c:pt>
                <c:pt idx="13">
                  <c:v>10775.730449369348</c:v>
                </c:pt>
                <c:pt idx="14">
                  <c:v>10671.884135314438</c:v>
                </c:pt>
                <c:pt idx="15">
                  <c:v>10568.037821259528</c:v>
                </c:pt>
                <c:pt idx="16">
                  <c:v>10464.191507204618</c:v>
                </c:pt>
                <c:pt idx="17">
                  <c:v>10360.345193149707</c:v>
                </c:pt>
                <c:pt idx="18">
                  <c:v>10256.498879094797</c:v>
                </c:pt>
                <c:pt idx="19">
                  <c:v>10152.652565039887</c:v>
                </c:pt>
                <c:pt idx="20">
                  <c:v>10048.806250984977</c:v>
                </c:pt>
                <c:pt idx="21">
                  <c:v>9944.9599369300668</c:v>
                </c:pt>
                <c:pt idx="22">
                  <c:v>9841.1136228751566</c:v>
                </c:pt>
                <c:pt idx="23">
                  <c:v>9737.2673088202464</c:v>
                </c:pt>
                <c:pt idx="24">
                  <c:v>9633.4209947653362</c:v>
                </c:pt>
                <c:pt idx="25">
                  <c:v>9529.574680710426</c:v>
                </c:pt>
                <c:pt idx="26">
                  <c:v>9425.7283666555159</c:v>
                </c:pt>
                <c:pt idx="27">
                  <c:v>9321.8820526006057</c:v>
                </c:pt>
                <c:pt idx="28">
                  <c:v>9218.0357385456955</c:v>
                </c:pt>
                <c:pt idx="29">
                  <c:v>9114.1894244907853</c:v>
                </c:pt>
                <c:pt idx="30">
                  <c:v>9010.3431104358751</c:v>
                </c:pt>
                <c:pt idx="31">
                  <c:v>8906.496796380965</c:v>
                </c:pt>
                <c:pt idx="32">
                  <c:v>8802.6504823260548</c:v>
                </c:pt>
                <c:pt idx="33">
                  <c:v>8698.8041682711446</c:v>
                </c:pt>
                <c:pt idx="34">
                  <c:v>8594.9578542162344</c:v>
                </c:pt>
                <c:pt idx="35">
                  <c:v>8491.1115401613242</c:v>
                </c:pt>
                <c:pt idx="36">
                  <c:v>8387.265226106414</c:v>
                </c:pt>
                <c:pt idx="37">
                  <c:v>8283.4189120515039</c:v>
                </c:pt>
                <c:pt idx="38">
                  <c:v>8179.5725979965946</c:v>
                </c:pt>
                <c:pt idx="39">
                  <c:v>8075.7262839416853</c:v>
                </c:pt>
                <c:pt idx="40">
                  <c:v>7971.8799698867761</c:v>
                </c:pt>
                <c:pt idx="41">
                  <c:v>7868.0336558318668</c:v>
                </c:pt>
                <c:pt idx="42">
                  <c:v>7764.1873417769575</c:v>
                </c:pt>
                <c:pt idx="43">
                  <c:v>7660.3410277220482</c:v>
                </c:pt>
                <c:pt idx="44">
                  <c:v>7556.494713667139</c:v>
                </c:pt>
                <c:pt idx="45">
                  <c:v>7452.6483996122297</c:v>
                </c:pt>
                <c:pt idx="46">
                  <c:v>7348.8020855573204</c:v>
                </c:pt>
                <c:pt idx="47">
                  <c:v>7244.9557715024112</c:v>
                </c:pt>
                <c:pt idx="48">
                  <c:v>7141.1094574475019</c:v>
                </c:pt>
                <c:pt idx="49">
                  <c:v>7037.2631433925926</c:v>
                </c:pt>
                <c:pt idx="50">
                  <c:v>6933.4168293376833</c:v>
                </c:pt>
                <c:pt idx="51">
                  <c:v>6829.5705152827741</c:v>
                </c:pt>
                <c:pt idx="52">
                  <c:v>6725.7242012278648</c:v>
                </c:pt>
                <c:pt idx="53">
                  <c:v>6621.8778871729555</c:v>
                </c:pt>
                <c:pt idx="54">
                  <c:v>6518.0315731180463</c:v>
                </c:pt>
                <c:pt idx="55">
                  <c:v>6414.185259063137</c:v>
                </c:pt>
                <c:pt idx="56">
                  <c:v>6310.3389450082277</c:v>
                </c:pt>
                <c:pt idx="57">
                  <c:v>6206.4926309533184</c:v>
                </c:pt>
                <c:pt idx="58">
                  <c:v>6102.6463168984092</c:v>
                </c:pt>
                <c:pt idx="59">
                  <c:v>5998.8000028434999</c:v>
                </c:pt>
                <c:pt idx="60">
                  <c:v>5894.9536887885906</c:v>
                </c:pt>
                <c:pt idx="61">
                  <c:v>5791.1073747336814</c:v>
                </c:pt>
                <c:pt idx="62">
                  <c:v>5687.2610606787721</c:v>
                </c:pt>
                <c:pt idx="63">
                  <c:v>5583.4147466238628</c:v>
                </c:pt>
                <c:pt idx="64">
                  <c:v>5479.5684325689535</c:v>
                </c:pt>
                <c:pt idx="65">
                  <c:v>5375.7221185140443</c:v>
                </c:pt>
                <c:pt idx="66">
                  <c:v>5271.875804459135</c:v>
                </c:pt>
                <c:pt idx="67">
                  <c:v>5168.0294904042257</c:v>
                </c:pt>
                <c:pt idx="68">
                  <c:v>5064.1831763493165</c:v>
                </c:pt>
                <c:pt idx="69">
                  <c:v>4960.3368622944072</c:v>
                </c:pt>
                <c:pt idx="70">
                  <c:v>4856.4905482394979</c:v>
                </c:pt>
                <c:pt idx="71">
                  <c:v>4752.6442341845886</c:v>
                </c:pt>
                <c:pt idx="72">
                  <c:v>4648.7979201296794</c:v>
                </c:pt>
                <c:pt idx="73">
                  <c:v>4544.9516060747701</c:v>
                </c:pt>
                <c:pt idx="74">
                  <c:v>4441.1052920198608</c:v>
                </c:pt>
                <c:pt idx="75">
                  <c:v>4337.2589779649516</c:v>
                </c:pt>
                <c:pt idx="76">
                  <c:v>4233.4126639100423</c:v>
                </c:pt>
                <c:pt idx="77">
                  <c:v>4129.566349855133</c:v>
                </c:pt>
                <c:pt idx="78">
                  <c:v>4025.7200358002237</c:v>
                </c:pt>
                <c:pt idx="79">
                  <c:v>3921.8737217453145</c:v>
                </c:pt>
                <c:pt idx="80">
                  <c:v>3818.0274076904052</c:v>
                </c:pt>
                <c:pt idx="81">
                  <c:v>3714.1810936354959</c:v>
                </c:pt>
                <c:pt idx="82">
                  <c:v>3610.3347795805867</c:v>
                </c:pt>
                <c:pt idx="83">
                  <c:v>3506.4884655256774</c:v>
                </c:pt>
                <c:pt idx="84">
                  <c:v>3402.6421514707681</c:v>
                </c:pt>
                <c:pt idx="85">
                  <c:v>3298.7958374158588</c:v>
                </c:pt>
                <c:pt idx="86">
                  <c:v>3194.9495233609496</c:v>
                </c:pt>
                <c:pt idx="87">
                  <c:v>3091.1032093060403</c:v>
                </c:pt>
                <c:pt idx="88">
                  <c:v>2987.256895251131</c:v>
                </c:pt>
                <c:pt idx="89">
                  <c:v>2883.4105811962218</c:v>
                </c:pt>
                <c:pt idx="90">
                  <c:v>2779.5642671413125</c:v>
                </c:pt>
                <c:pt idx="91">
                  <c:v>2675.7179530864032</c:v>
                </c:pt>
                <c:pt idx="92">
                  <c:v>2571.8716390314939</c:v>
                </c:pt>
                <c:pt idx="93">
                  <c:v>2468.0253249765847</c:v>
                </c:pt>
                <c:pt idx="94">
                  <c:v>2364.1790109216754</c:v>
                </c:pt>
                <c:pt idx="95">
                  <c:v>2260.3326968667661</c:v>
                </c:pt>
                <c:pt idx="96">
                  <c:v>2156.4863828118569</c:v>
                </c:pt>
                <c:pt idx="97">
                  <c:v>2052.6400687569476</c:v>
                </c:pt>
                <c:pt idx="98">
                  <c:v>1948.7937547020383</c:v>
                </c:pt>
                <c:pt idx="99">
                  <c:v>1844.947440647129</c:v>
                </c:pt>
                <c:pt idx="100">
                  <c:v>1741.1011265922198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A4-458F-99E5-C2538FE67ED9}"/>
            </c:ext>
          </c:extLst>
        </c:ser>
        <c:ser>
          <c:idx val="3"/>
          <c:order val="3"/>
          <c:tx>
            <c:v>Heat Rejection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Data!$H$2:$H$102</c:f>
              <c:numCache>
                <c:formatCode>0.00</c:formatCode>
                <c:ptCount val="101"/>
                <c:pt idx="0">
                  <c:v>2.87E-2</c:v>
                </c:pt>
                <c:pt idx="1">
                  <c:v>2.87E-2</c:v>
                </c:pt>
                <c:pt idx="2">
                  <c:v>2.87E-2</c:v>
                </c:pt>
                <c:pt idx="3">
                  <c:v>2.87E-2</c:v>
                </c:pt>
                <c:pt idx="4">
                  <c:v>2.87E-2</c:v>
                </c:pt>
                <c:pt idx="5">
                  <c:v>2.87E-2</c:v>
                </c:pt>
                <c:pt idx="6">
                  <c:v>2.87E-2</c:v>
                </c:pt>
                <c:pt idx="7">
                  <c:v>2.87E-2</c:v>
                </c:pt>
                <c:pt idx="8">
                  <c:v>2.87E-2</c:v>
                </c:pt>
                <c:pt idx="9">
                  <c:v>2.87E-2</c:v>
                </c:pt>
                <c:pt idx="10">
                  <c:v>2.87E-2</c:v>
                </c:pt>
                <c:pt idx="11">
                  <c:v>2.87E-2</c:v>
                </c:pt>
                <c:pt idx="12">
                  <c:v>2.87E-2</c:v>
                </c:pt>
                <c:pt idx="13">
                  <c:v>2.87E-2</c:v>
                </c:pt>
                <c:pt idx="14">
                  <c:v>2.87E-2</c:v>
                </c:pt>
                <c:pt idx="15">
                  <c:v>2.87E-2</c:v>
                </c:pt>
                <c:pt idx="16">
                  <c:v>2.87E-2</c:v>
                </c:pt>
                <c:pt idx="17">
                  <c:v>2.87E-2</c:v>
                </c:pt>
                <c:pt idx="18">
                  <c:v>2.87E-2</c:v>
                </c:pt>
                <c:pt idx="19">
                  <c:v>2.87E-2</c:v>
                </c:pt>
                <c:pt idx="20">
                  <c:v>2.87E-2</c:v>
                </c:pt>
                <c:pt idx="21">
                  <c:v>2.87E-2</c:v>
                </c:pt>
                <c:pt idx="22">
                  <c:v>2.87E-2</c:v>
                </c:pt>
                <c:pt idx="23">
                  <c:v>2.87E-2</c:v>
                </c:pt>
                <c:pt idx="24">
                  <c:v>2.87E-2</c:v>
                </c:pt>
                <c:pt idx="25">
                  <c:v>2.87E-2</c:v>
                </c:pt>
                <c:pt idx="26">
                  <c:v>2.87E-2</c:v>
                </c:pt>
                <c:pt idx="27">
                  <c:v>2.87E-2</c:v>
                </c:pt>
                <c:pt idx="28">
                  <c:v>2.87E-2</c:v>
                </c:pt>
                <c:pt idx="29">
                  <c:v>2.87E-2</c:v>
                </c:pt>
                <c:pt idx="30">
                  <c:v>2.87E-2</c:v>
                </c:pt>
                <c:pt idx="31">
                  <c:v>2.87E-2</c:v>
                </c:pt>
                <c:pt idx="32">
                  <c:v>2.87E-2</c:v>
                </c:pt>
                <c:pt idx="33">
                  <c:v>2.87E-2</c:v>
                </c:pt>
                <c:pt idx="34">
                  <c:v>2.87E-2</c:v>
                </c:pt>
                <c:pt idx="35">
                  <c:v>2.87E-2</c:v>
                </c:pt>
                <c:pt idx="36">
                  <c:v>2.87E-2</c:v>
                </c:pt>
                <c:pt idx="37">
                  <c:v>2.87E-2</c:v>
                </c:pt>
                <c:pt idx="38">
                  <c:v>2.87E-2</c:v>
                </c:pt>
                <c:pt idx="39">
                  <c:v>2.87E-2</c:v>
                </c:pt>
                <c:pt idx="40">
                  <c:v>2.87E-2</c:v>
                </c:pt>
                <c:pt idx="41">
                  <c:v>2.87E-2</c:v>
                </c:pt>
                <c:pt idx="42">
                  <c:v>2.87E-2</c:v>
                </c:pt>
                <c:pt idx="43">
                  <c:v>2.87E-2</c:v>
                </c:pt>
                <c:pt idx="44">
                  <c:v>2.87E-2</c:v>
                </c:pt>
                <c:pt idx="45">
                  <c:v>2.87E-2</c:v>
                </c:pt>
                <c:pt idx="46">
                  <c:v>2.87E-2</c:v>
                </c:pt>
                <c:pt idx="47">
                  <c:v>2.87E-2</c:v>
                </c:pt>
                <c:pt idx="48">
                  <c:v>2.87E-2</c:v>
                </c:pt>
                <c:pt idx="49">
                  <c:v>2.87E-2</c:v>
                </c:pt>
                <c:pt idx="50">
                  <c:v>2.87E-2</c:v>
                </c:pt>
                <c:pt idx="51">
                  <c:v>2.87E-2</c:v>
                </c:pt>
                <c:pt idx="52">
                  <c:v>2.87E-2</c:v>
                </c:pt>
                <c:pt idx="53">
                  <c:v>2.87E-2</c:v>
                </c:pt>
                <c:pt idx="54">
                  <c:v>2.87E-2</c:v>
                </c:pt>
                <c:pt idx="55">
                  <c:v>2.87E-2</c:v>
                </c:pt>
                <c:pt idx="56">
                  <c:v>2.87E-2</c:v>
                </c:pt>
                <c:pt idx="57">
                  <c:v>2.87E-2</c:v>
                </c:pt>
                <c:pt idx="58">
                  <c:v>2.87E-2</c:v>
                </c:pt>
                <c:pt idx="59">
                  <c:v>2.87E-2</c:v>
                </c:pt>
                <c:pt idx="60">
                  <c:v>2.87E-2</c:v>
                </c:pt>
                <c:pt idx="61">
                  <c:v>2.87E-2</c:v>
                </c:pt>
                <c:pt idx="62">
                  <c:v>2.87E-2</c:v>
                </c:pt>
                <c:pt idx="63">
                  <c:v>2.87E-2</c:v>
                </c:pt>
                <c:pt idx="64">
                  <c:v>2.87E-2</c:v>
                </c:pt>
                <c:pt idx="65">
                  <c:v>2.87E-2</c:v>
                </c:pt>
                <c:pt idx="66">
                  <c:v>2.87E-2</c:v>
                </c:pt>
                <c:pt idx="67">
                  <c:v>2.87E-2</c:v>
                </c:pt>
                <c:pt idx="68">
                  <c:v>2.87E-2</c:v>
                </c:pt>
                <c:pt idx="69">
                  <c:v>2.87E-2</c:v>
                </c:pt>
                <c:pt idx="70">
                  <c:v>2.87E-2</c:v>
                </c:pt>
                <c:pt idx="71">
                  <c:v>2.87E-2</c:v>
                </c:pt>
                <c:pt idx="72">
                  <c:v>2.87E-2</c:v>
                </c:pt>
                <c:pt idx="73">
                  <c:v>2.87E-2</c:v>
                </c:pt>
                <c:pt idx="74">
                  <c:v>2.87E-2</c:v>
                </c:pt>
                <c:pt idx="75">
                  <c:v>2.87E-2</c:v>
                </c:pt>
                <c:pt idx="76">
                  <c:v>2.87E-2</c:v>
                </c:pt>
                <c:pt idx="77">
                  <c:v>2.87E-2</c:v>
                </c:pt>
                <c:pt idx="78">
                  <c:v>2.87E-2</c:v>
                </c:pt>
                <c:pt idx="79">
                  <c:v>2.87E-2</c:v>
                </c:pt>
                <c:pt idx="80">
                  <c:v>2.87E-2</c:v>
                </c:pt>
                <c:pt idx="81">
                  <c:v>2.87E-2</c:v>
                </c:pt>
                <c:pt idx="82">
                  <c:v>2.87E-2</c:v>
                </c:pt>
                <c:pt idx="83">
                  <c:v>2.87E-2</c:v>
                </c:pt>
                <c:pt idx="84">
                  <c:v>2.87E-2</c:v>
                </c:pt>
                <c:pt idx="85">
                  <c:v>2.87E-2</c:v>
                </c:pt>
                <c:pt idx="86">
                  <c:v>2.87E-2</c:v>
                </c:pt>
                <c:pt idx="87">
                  <c:v>2.87E-2</c:v>
                </c:pt>
                <c:pt idx="88">
                  <c:v>2.87E-2</c:v>
                </c:pt>
                <c:pt idx="89">
                  <c:v>2.87E-2</c:v>
                </c:pt>
                <c:pt idx="90">
                  <c:v>2.87E-2</c:v>
                </c:pt>
                <c:pt idx="91">
                  <c:v>2.87E-2</c:v>
                </c:pt>
                <c:pt idx="92">
                  <c:v>2.87E-2</c:v>
                </c:pt>
                <c:pt idx="93">
                  <c:v>2.87E-2</c:v>
                </c:pt>
                <c:pt idx="94">
                  <c:v>2.87E-2</c:v>
                </c:pt>
                <c:pt idx="95">
                  <c:v>2.87E-2</c:v>
                </c:pt>
                <c:pt idx="96">
                  <c:v>2.87E-2</c:v>
                </c:pt>
                <c:pt idx="97">
                  <c:v>2.87E-2</c:v>
                </c:pt>
                <c:pt idx="98">
                  <c:v>2.87E-2</c:v>
                </c:pt>
                <c:pt idx="99">
                  <c:v>2.87E-2</c:v>
                </c:pt>
                <c:pt idx="100">
                  <c:v>2.87E-2</c:v>
                </c:pt>
              </c:numCache>
            </c:numRef>
          </c:xVal>
          <c:yVal>
            <c:numRef>
              <c:f>Data!$G$2:$G$102</c:f>
              <c:numCache>
                <c:formatCode>General</c:formatCode>
                <c:ptCount val="101"/>
                <c:pt idx="0" formatCode="0.00">
                  <c:v>1741.1011265922477</c:v>
                </c:pt>
                <c:pt idx="1">
                  <c:v>1733.6901153263252</c:v>
                </c:pt>
                <c:pt idx="2">
                  <c:v>1726.2791040604027</c:v>
                </c:pt>
                <c:pt idx="3">
                  <c:v>1718.8680927944802</c:v>
                </c:pt>
                <c:pt idx="4">
                  <c:v>1711.4570815285576</c:v>
                </c:pt>
                <c:pt idx="5">
                  <c:v>1704.0460702626351</c:v>
                </c:pt>
                <c:pt idx="6">
                  <c:v>1696.6350589967126</c:v>
                </c:pt>
                <c:pt idx="7">
                  <c:v>1689.2240477307901</c:v>
                </c:pt>
                <c:pt idx="8">
                  <c:v>1681.8130364648675</c:v>
                </c:pt>
                <c:pt idx="9">
                  <c:v>1674.402025198945</c:v>
                </c:pt>
                <c:pt idx="10">
                  <c:v>1666.9910139330225</c:v>
                </c:pt>
                <c:pt idx="11">
                  <c:v>1659.5800026671</c:v>
                </c:pt>
                <c:pt idx="12">
                  <c:v>1652.1689914011774</c:v>
                </c:pt>
                <c:pt idx="13">
                  <c:v>1644.7579801352549</c:v>
                </c:pt>
                <c:pt idx="14">
                  <c:v>1637.3469688693324</c:v>
                </c:pt>
                <c:pt idx="15">
                  <c:v>1629.9359576034099</c:v>
                </c:pt>
                <c:pt idx="16">
                  <c:v>1622.5249463374873</c:v>
                </c:pt>
                <c:pt idx="17">
                  <c:v>1615.1139350715648</c:v>
                </c:pt>
                <c:pt idx="18">
                  <c:v>1607.7029238056423</c:v>
                </c:pt>
                <c:pt idx="19">
                  <c:v>1600.2919125397198</c:v>
                </c:pt>
                <c:pt idx="20">
                  <c:v>1592.8809012737972</c:v>
                </c:pt>
                <c:pt idx="21">
                  <c:v>1585.4698900078747</c:v>
                </c:pt>
                <c:pt idx="22">
                  <c:v>1578.0588787419522</c:v>
                </c:pt>
                <c:pt idx="23">
                  <c:v>1570.6478674760297</c:v>
                </c:pt>
                <c:pt idx="24">
                  <c:v>1563.2368562101071</c:v>
                </c:pt>
                <c:pt idx="25">
                  <c:v>1555.8258449441846</c:v>
                </c:pt>
                <c:pt idx="26">
                  <c:v>1548.4148336782621</c:v>
                </c:pt>
                <c:pt idx="27">
                  <c:v>1541.0038224123396</c:v>
                </c:pt>
                <c:pt idx="28">
                  <c:v>1533.592811146417</c:v>
                </c:pt>
                <c:pt idx="29">
                  <c:v>1526.1817998804945</c:v>
                </c:pt>
                <c:pt idx="30">
                  <c:v>1518.770788614572</c:v>
                </c:pt>
                <c:pt idx="31">
                  <c:v>1511.3597773486495</c:v>
                </c:pt>
                <c:pt idx="32">
                  <c:v>1503.9487660827269</c:v>
                </c:pt>
                <c:pt idx="33">
                  <c:v>1496.5377548168044</c:v>
                </c:pt>
                <c:pt idx="34">
                  <c:v>1489.1267435508819</c:v>
                </c:pt>
                <c:pt idx="35">
                  <c:v>1481.7157322849594</c:v>
                </c:pt>
                <c:pt idx="36">
                  <c:v>1474.3047210190368</c:v>
                </c:pt>
                <c:pt idx="37">
                  <c:v>1466.8937097531143</c:v>
                </c:pt>
                <c:pt idx="38">
                  <c:v>1459.4826984871918</c:v>
                </c:pt>
                <c:pt idx="39">
                  <c:v>1452.0716872212693</c:v>
                </c:pt>
                <c:pt idx="40">
                  <c:v>1444.6606759553467</c:v>
                </c:pt>
                <c:pt idx="41">
                  <c:v>1437.2496646894242</c:v>
                </c:pt>
                <c:pt idx="42">
                  <c:v>1429.8386534235017</c:v>
                </c:pt>
                <c:pt idx="43">
                  <c:v>1422.4276421575792</c:v>
                </c:pt>
                <c:pt idx="44">
                  <c:v>1415.0166308916566</c:v>
                </c:pt>
                <c:pt idx="45">
                  <c:v>1407.6056196257341</c:v>
                </c:pt>
                <c:pt idx="46">
                  <c:v>1400.1946083598116</c:v>
                </c:pt>
                <c:pt idx="47">
                  <c:v>1392.7835970938891</c:v>
                </c:pt>
                <c:pt idx="48">
                  <c:v>1385.3725858279665</c:v>
                </c:pt>
                <c:pt idx="49">
                  <c:v>1377.961574562044</c:v>
                </c:pt>
                <c:pt idx="50">
                  <c:v>1370.5505632961215</c:v>
                </c:pt>
                <c:pt idx="51">
                  <c:v>1363.139552030199</c:v>
                </c:pt>
                <c:pt idx="52">
                  <c:v>1355.7285407642764</c:v>
                </c:pt>
                <c:pt idx="53">
                  <c:v>1348.3175294983539</c:v>
                </c:pt>
                <c:pt idx="54">
                  <c:v>1340.9065182324314</c:v>
                </c:pt>
                <c:pt idx="55">
                  <c:v>1333.4955069665089</c:v>
                </c:pt>
                <c:pt idx="56">
                  <c:v>1326.0844957005863</c:v>
                </c:pt>
                <c:pt idx="57">
                  <c:v>1318.6734844346638</c:v>
                </c:pt>
                <c:pt idx="58">
                  <c:v>1311.2624731687413</c:v>
                </c:pt>
                <c:pt idx="59">
                  <c:v>1303.8514619028188</c:v>
                </c:pt>
                <c:pt idx="60">
                  <c:v>1296.4404506368962</c:v>
                </c:pt>
                <c:pt idx="61">
                  <c:v>1289.0294393709737</c:v>
                </c:pt>
                <c:pt idx="62">
                  <c:v>1281.6184281050512</c:v>
                </c:pt>
                <c:pt idx="63">
                  <c:v>1274.2074168391287</c:v>
                </c:pt>
                <c:pt idx="64">
                  <c:v>1266.7964055732061</c:v>
                </c:pt>
                <c:pt idx="65">
                  <c:v>1259.3853943072836</c:v>
                </c:pt>
                <c:pt idx="66">
                  <c:v>1251.9743830413611</c:v>
                </c:pt>
                <c:pt idx="67">
                  <c:v>1244.5633717754386</c:v>
                </c:pt>
                <c:pt idx="68">
                  <c:v>1237.152360509516</c:v>
                </c:pt>
                <c:pt idx="69">
                  <c:v>1229.7413492435935</c:v>
                </c:pt>
                <c:pt idx="70">
                  <c:v>1222.330337977671</c:v>
                </c:pt>
                <c:pt idx="71">
                  <c:v>1214.9193267117485</c:v>
                </c:pt>
                <c:pt idx="72">
                  <c:v>1207.5083154458259</c:v>
                </c:pt>
                <c:pt idx="73">
                  <c:v>1200.0973041799034</c:v>
                </c:pt>
                <c:pt idx="74">
                  <c:v>1192.6862929139809</c:v>
                </c:pt>
                <c:pt idx="75">
                  <c:v>1185.2752816480584</c:v>
                </c:pt>
                <c:pt idx="76">
                  <c:v>1177.8642703821358</c:v>
                </c:pt>
                <c:pt idx="77">
                  <c:v>1170.4532591162133</c:v>
                </c:pt>
                <c:pt idx="78">
                  <c:v>1163.0422478502908</c:v>
                </c:pt>
                <c:pt idx="79">
                  <c:v>1155.6312365843683</c:v>
                </c:pt>
                <c:pt idx="80">
                  <c:v>1148.2202253184457</c:v>
                </c:pt>
                <c:pt idx="81">
                  <c:v>1140.8092140525232</c:v>
                </c:pt>
                <c:pt idx="82">
                  <c:v>1133.3982027866007</c:v>
                </c:pt>
                <c:pt idx="83">
                  <c:v>1125.9871915206782</c:v>
                </c:pt>
                <c:pt idx="84">
                  <c:v>1118.5761802547556</c:v>
                </c:pt>
                <c:pt idx="85">
                  <c:v>1111.1651689888331</c:v>
                </c:pt>
                <c:pt idx="86">
                  <c:v>1103.7541577229106</c:v>
                </c:pt>
                <c:pt idx="87">
                  <c:v>1096.3431464569881</c:v>
                </c:pt>
                <c:pt idx="88">
                  <c:v>1088.9321351910655</c:v>
                </c:pt>
                <c:pt idx="89">
                  <c:v>1081.521123925143</c:v>
                </c:pt>
                <c:pt idx="90">
                  <c:v>1074.1101126592205</c:v>
                </c:pt>
                <c:pt idx="91">
                  <c:v>1066.699101393298</c:v>
                </c:pt>
                <c:pt idx="92">
                  <c:v>1059.2880901273754</c:v>
                </c:pt>
                <c:pt idx="93">
                  <c:v>1051.8770788614529</c:v>
                </c:pt>
                <c:pt idx="94">
                  <c:v>1044.4660675955304</c:v>
                </c:pt>
                <c:pt idx="95">
                  <c:v>1037.0550563296079</c:v>
                </c:pt>
                <c:pt idx="96">
                  <c:v>1029.6440450636853</c:v>
                </c:pt>
                <c:pt idx="97">
                  <c:v>1022.2330337977628</c:v>
                </c:pt>
                <c:pt idx="98">
                  <c:v>1014.8220225318403</c:v>
                </c:pt>
                <c:pt idx="99">
                  <c:v>1007.4110112659178</c:v>
                </c:pt>
                <c:pt idx="100">
                  <c:v>999.99999999999523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A4-458F-99E5-C2538FE67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297056"/>
        <c:axId val="818297712"/>
      </c:scatterChart>
      <c:valAx>
        <c:axId val="818297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Specific</a:t>
                </a:r>
                <a:r>
                  <a:rPr lang="en-IN" sz="20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Volume,v(m3/kg)</a:t>
                </a:r>
                <a:endParaRPr lang="en-IN" sz="20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34695405910252991"/>
              <c:y val="0.893841220686029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297712"/>
        <c:crosses val="autoZero"/>
        <c:crossBetween val="midCat"/>
      </c:valAx>
      <c:valAx>
        <c:axId val="81829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Pressure,P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297056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404719195236378"/>
          <c:y val="3.4445208368239513E-2"/>
          <c:w val="0.14295830607466578"/>
          <c:h val="0.40943501094850443"/>
        </c:manualLayout>
      </c:layout>
      <c:overlay val="0"/>
      <c:spPr>
        <a:solidFill>
          <a:srgbClr val="FFFF99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99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Compressor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Data!$L$2:$L$102</c:f>
              <c:numCache>
                <c:formatCode>0.00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</c:numCache>
            </c:numRef>
          </c:xVal>
          <c:yVal>
            <c:numRef>
              <c:f>Data!$K$2:$K$102</c:f>
              <c:numCache>
                <c:formatCode>General</c:formatCode>
                <c:ptCount val="101"/>
                <c:pt idx="0" formatCode="0.00">
                  <c:v>100</c:v>
                </c:pt>
                <c:pt idx="1">
                  <c:v>101.66900468863555</c:v>
                </c:pt>
                <c:pt idx="2">
                  <c:v>103.27219195728091</c:v>
                </c:pt>
                <c:pt idx="3">
                  <c:v>104.815466864139</c:v>
                </c:pt>
                <c:pt idx="4">
                  <c:v>106.30393713313057</c:v>
                </c:pt>
                <c:pt idx="5">
                  <c:v>107.74205353103291</c:v>
                </c:pt>
                <c:pt idx="6">
                  <c:v>109.13372028920892</c:v>
                </c:pt>
                <c:pt idx="7">
                  <c:v>110.48238298406474</c:v>
                </c:pt>
                <c:pt idx="8">
                  <c:v>111.79109922333315</c:v>
                </c:pt>
                <c:pt idx="9">
                  <c:v>113.06259605406653</c:v>
                </c:pt>
                <c:pt idx="10">
                  <c:v>114.29931700033696</c:v>
                </c:pt>
                <c:pt idx="11">
                  <c:v>115.50346091784346</c:v>
                </c:pt>
                <c:pt idx="12">
                  <c:v>116.67701432981939</c:v>
                </c:pt>
                <c:pt idx="13">
                  <c:v>117.82177852448535</c:v>
                </c:pt>
                <c:pt idx="14">
                  <c:v>118.9393924086406</c:v>
                </c:pt>
                <c:pt idx="15">
                  <c:v>120.03135189721306</c:v>
                </c:pt>
                <c:pt idx="16">
                  <c:v>121.09902645544705</c:v>
                </c:pt>
                <c:pt idx="17">
                  <c:v>122.14367328529717</c:v>
                </c:pt>
                <c:pt idx="18">
                  <c:v>123.1664495507972</c:v>
                </c:pt>
                <c:pt idx="19">
                  <c:v>124.16842296165061</c:v>
                </c:pt>
                <c:pt idx="20">
                  <c:v>125.15058097490927</c:v>
                </c:pt>
                <c:pt idx="21">
                  <c:v>126.11383882757508</c:v>
                </c:pt>
                <c:pt idx="22">
                  <c:v>127.05904657545113</c:v>
                </c:pt>
                <c:pt idx="23">
                  <c:v>127.98699528346181</c:v>
                </c:pt>
                <c:pt idx="24">
                  <c:v>128.89842248834665</c:v>
                </c:pt>
                <c:pt idx="25">
                  <c:v>129.79401703488139</c:v>
                </c:pt>
                <c:pt idx="26">
                  <c:v>130.67442337064827</c:v>
                </c:pt>
                <c:pt idx="27">
                  <c:v>131.54024537113341</c:v>
                </c:pt>
                <c:pt idx="28">
                  <c:v>132.39204975600146</c:v>
                </c:pt>
                <c:pt idx="29">
                  <c:v>133.23036914833878</c:v>
                </c:pt>
                <c:pt idx="30">
                  <c:v>134.05570482111509</c:v>
                </c:pt>
                <c:pt idx="31">
                  <c:v>134.86852916880471</c:v>
                </c:pt>
                <c:pt idx="32">
                  <c:v>135.66928793681382</c:v>
                </c:pt>
                <c:pt idx="33">
                  <c:v>136.45840223689584</c:v>
                </c:pt>
                <c:pt idx="34">
                  <c:v>137.23627037296077</c:v>
                </c:pt>
                <c:pt idx="35">
                  <c:v>138.00326949847792</c:v>
                </c:pt>
                <c:pt idx="36">
                  <c:v>138.75975712393929</c:v>
                </c:pt>
                <c:pt idx="37">
                  <c:v>139.50607249051691</c:v>
                </c:pt>
                <c:pt idx="38">
                  <c:v>140.2425378240446</c:v>
                </c:pt>
                <c:pt idx="39">
                  <c:v>140.96945948173328</c:v>
                </c:pt>
                <c:pt idx="40">
                  <c:v>141.6871290025442</c:v>
                </c:pt>
                <c:pt idx="41">
                  <c:v>142.39582407085948</c:v>
                </c:pt>
                <c:pt idx="42">
                  <c:v>143.0958094019764</c:v>
                </c:pt>
                <c:pt idx="43">
                  <c:v>143.78733755698221</c:v>
                </c:pt>
                <c:pt idx="44">
                  <c:v>144.47064969372335</c:v>
                </c:pt>
                <c:pt idx="45">
                  <c:v>145.14597625984413</c:v>
                </c:pt>
                <c:pt idx="46">
                  <c:v>145.81353763322517</c:v>
                </c:pt>
                <c:pt idx="47">
                  <c:v>146.47354471458343</c:v>
                </c:pt>
                <c:pt idx="48">
                  <c:v>147.12619947649836</c:v>
                </c:pt>
                <c:pt idx="49">
                  <c:v>147.77169547268784</c:v>
                </c:pt>
                <c:pt idx="50">
                  <c:v>148.41021831097001</c:v>
                </c:pt>
                <c:pt idx="51">
                  <c:v>149.04194609300242</c:v>
                </c:pt>
                <c:pt idx="52">
                  <c:v>149.66704982358641</c:v>
                </c:pt>
                <c:pt idx="53">
                  <c:v>150.28569379205265</c:v>
                </c:pt>
                <c:pt idx="54">
                  <c:v>150.89803592800325</c:v>
                </c:pt>
                <c:pt idx="55">
                  <c:v>151.50422813347137</c:v>
                </c:pt>
                <c:pt idx="56">
                  <c:v>152.10441659336664</c:v>
                </c:pt>
                <c:pt idx="57">
                  <c:v>152.69874206590376</c:v>
                </c:pt>
                <c:pt idx="58">
                  <c:v>153.28734015455754</c:v>
                </c:pt>
                <c:pt idx="59">
                  <c:v>153.8703415629497</c:v>
                </c:pt>
                <c:pt idx="60">
                  <c:v>154.44787233394899</c:v>
                </c:pt>
                <c:pt idx="61">
                  <c:v>155.02005407415436</c:v>
                </c:pt>
                <c:pt idx="62">
                  <c:v>155.58700416483029</c:v>
                </c:pt>
                <c:pt idx="63">
                  <c:v>156.14883596027335</c:v>
                </c:pt>
                <c:pt idx="64">
                  <c:v>156.70565897450581</c:v>
                </c:pt>
                <c:pt idx="65">
                  <c:v>157.25757905711913</c:v>
                </c:pt>
                <c:pt idx="66">
                  <c:v>157.8046985590222</c:v>
                </c:pt>
                <c:pt idx="67">
                  <c:v>158.34711648878837</c:v>
                </c:pt>
                <c:pt idx="68">
                  <c:v>158.88492866023995</c:v>
                </c:pt>
                <c:pt idx="69">
                  <c:v>159.41822783185862</c:v>
                </c:pt>
                <c:pt idx="70">
                  <c:v>159.94710383856395</c:v>
                </c:pt>
                <c:pt idx="71">
                  <c:v>160.47164371636057</c:v>
                </c:pt>
                <c:pt idx="72">
                  <c:v>160.99193182031706</c:v>
                </c:pt>
                <c:pt idx="73">
                  <c:v>161.50804993630314</c:v>
                </c:pt>
                <c:pt idx="74">
                  <c:v>162.02007738688195</c:v>
                </c:pt>
                <c:pt idx="75">
                  <c:v>162.52809113172333</c:v>
                </c:pt>
                <c:pt idx="76">
                  <c:v>163.03216586287829</c:v>
                </c:pt>
                <c:pt idx="77">
                  <c:v>163.53237409522987</c:v>
                </c:pt>
                <c:pt idx="78">
                  <c:v>164.02878625241348</c:v>
                </c:pt>
                <c:pt idx="79">
                  <c:v>164.52147074847858</c:v>
                </c:pt>
                <c:pt idx="80">
                  <c:v>165.01049406554509</c:v>
                </c:pt>
                <c:pt idx="81">
                  <c:v>165.49592082769036</c:v>
                </c:pt>
                <c:pt idx="82">
                  <c:v>165.97781387128575</c:v>
                </c:pt>
                <c:pt idx="83">
                  <c:v>166.45623431198794</c:v>
                </c:pt>
                <c:pt idx="84">
                  <c:v>166.93124160857599</c:v>
                </c:pt>
                <c:pt idx="85">
                  <c:v>167.40289362381165</c:v>
                </c:pt>
                <c:pt idx="86">
                  <c:v>167.87124668249066</c:v>
                </c:pt>
                <c:pt idx="87">
                  <c:v>168.33635562683952</c:v>
                </c:pt>
                <c:pt idx="88">
                  <c:v>168.79827386940434</c:v>
                </c:pt>
                <c:pt idx="89">
                  <c:v>169.25705344356757</c:v>
                </c:pt>
                <c:pt idx="90">
                  <c:v>169.71274505182063</c:v>
                </c:pt>
                <c:pt idx="91">
                  <c:v>170.16539811191183</c:v>
                </c:pt>
                <c:pt idx="92">
                  <c:v>170.61506080098235</c:v>
                </c:pt>
                <c:pt idx="93">
                  <c:v>171.06178009779515</c:v>
                </c:pt>
                <c:pt idx="94">
                  <c:v>171.50560182315618</c:v>
                </c:pt>
                <c:pt idx="95">
                  <c:v>171.94657067862062</c:v>
                </c:pt>
                <c:pt idx="96">
                  <c:v>172.38473028357143</c:v>
                </c:pt>
                <c:pt idx="97">
                  <c:v>172.82012321075302</c:v>
                </c:pt>
                <c:pt idx="98">
                  <c:v>173.25279102033656</c:v>
                </c:pt>
                <c:pt idx="99">
                  <c:v>173.68277429259061</c:v>
                </c:pt>
                <c:pt idx="100">
                  <c:v>174.11011265922508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6A-4CB3-8061-9209DAFEB37A}"/>
            </c:ext>
          </c:extLst>
        </c:ser>
        <c:ser>
          <c:idx val="1"/>
          <c:order val="1"/>
          <c:tx>
            <c:v>Combustion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Data!$N$2:$N$102</c:f>
              <c:numCache>
                <c:formatCode>0.00</c:formatCode>
                <c:ptCount val="101"/>
                <c:pt idx="0">
                  <c:v>0.99999999999999978</c:v>
                </c:pt>
                <c:pt idx="1">
                  <c:v>1.0052977937369338</c:v>
                </c:pt>
                <c:pt idx="2">
                  <c:v>1.0105567567740881</c:v>
                </c:pt>
                <c:pt idx="3">
                  <c:v>1.0157774541989688</c:v>
                </c:pt>
                <c:pt idx="4">
                  <c:v>1.0209604388529001</c:v>
                </c:pt>
                <c:pt idx="5">
                  <c:v>1.0261062516823416</c:v>
                </c:pt>
                <c:pt idx="6">
                  <c:v>1.0312154220776972</c:v>
                </c:pt>
                <c:pt idx="7">
                  <c:v>1.0362884682001481</c:v>
                </c:pt>
                <c:pt idx="8">
                  <c:v>1.041325897297009</c:v>
                </c:pt>
                <c:pt idx="9">
                  <c:v>1.0463282060060948</c:v>
                </c:pt>
                <c:pt idx="10">
                  <c:v>1.0512958806495469</c:v>
                </c:pt>
                <c:pt idx="11">
                  <c:v>1.0562293975175607</c:v>
                </c:pt>
                <c:pt idx="12">
                  <c:v>1.0611292231424223</c:v>
                </c:pt>
                <c:pt idx="13">
                  <c:v>1.0659958145632538</c:v>
                </c:pt>
                <c:pt idx="14">
                  <c:v>1.0708296195818388</c:v>
                </c:pt>
                <c:pt idx="15">
                  <c:v>1.0756310770098885</c:v>
                </c:pt>
                <c:pt idx="16">
                  <c:v>1.08040061690809</c:v>
                </c:pt>
                <c:pt idx="17">
                  <c:v>1.0851386608172597</c:v>
                </c:pt>
                <c:pt idx="18">
                  <c:v>1.0898456219819168</c:v>
                </c:pt>
                <c:pt idx="19">
                  <c:v>1.0945219055665691</c:v>
                </c:pt>
                <c:pt idx="20">
                  <c:v>1.0991679088649966</c:v>
                </c:pt>
                <c:pt idx="21">
                  <c:v>1.1037840215028036</c:v>
                </c:pt>
                <c:pt idx="22">
                  <c:v>1.1083706256334964</c:v>
                </c:pt>
                <c:pt idx="23">
                  <c:v>1.1129280961283321</c:v>
                </c:pt>
                <c:pt idx="24">
                  <c:v>1.1174568007601777</c:v>
                </c:pt>
                <c:pt idx="25">
                  <c:v>1.1219571003816027</c:v>
                </c:pt>
                <c:pt idx="26">
                  <c:v>1.12642934909742</c:v>
                </c:pt>
                <c:pt idx="27">
                  <c:v>1.1308738944318846</c:v>
                </c:pt>
                <c:pt idx="28">
                  <c:v>1.1352910774907441</c:v>
                </c:pt>
                <c:pt idx="29">
                  <c:v>1.1396812331183324</c:v>
                </c:pt>
                <c:pt idx="30">
                  <c:v>1.1440446900498855</c:v>
                </c:pt>
                <c:pt idx="31">
                  <c:v>1.148381771059255</c:v>
                </c:pt>
                <c:pt idx="32">
                  <c:v>1.1526927931021824</c:v>
                </c:pt>
                <c:pt idx="33">
                  <c:v>1.1569780674552961</c:v>
                </c:pt>
                <c:pt idx="34">
                  <c:v>1.1612378998509816</c:v>
                </c:pt>
                <c:pt idx="35">
                  <c:v>1.1654725906082719</c:v>
                </c:pt>
                <c:pt idx="36">
                  <c:v>1.1696824347598975</c:v>
                </c:pt>
                <c:pt idx="37">
                  <c:v>1.1738677221756311</c:v>
                </c:pt>
                <c:pt idx="38">
                  <c:v>1.1780287376820555</c:v>
                </c:pt>
                <c:pt idx="39">
                  <c:v>1.1821657611788792</c:v>
                </c:pt>
                <c:pt idx="40">
                  <c:v>1.1862790677519168</c:v>
                </c:pt>
                <c:pt idx="41">
                  <c:v>1.1903689277828506</c:v>
                </c:pt>
                <c:pt idx="42">
                  <c:v>1.1944356070558804</c:v>
                </c:pt>
                <c:pt idx="43">
                  <c:v>1.1984793668613685</c:v>
                </c:pt>
                <c:pt idx="44">
                  <c:v>1.2025004640965808</c:v>
                </c:pt>
                <c:pt idx="45">
                  <c:v>1.2064991513636198</c:v>
                </c:pt>
                <c:pt idx="46">
                  <c:v>1.2104756770646443</c:v>
                </c:pt>
                <c:pt idx="47">
                  <c:v>1.2144302854944644</c:v>
                </c:pt>
                <c:pt idx="48">
                  <c:v>1.2183632169306</c:v>
                </c:pt>
                <c:pt idx="49">
                  <c:v>1.2222747077208824</c:v>
                </c:pt>
                <c:pt idx="50">
                  <c:v>1.2261649903686835</c:v>
                </c:pt>
                <c:pt idx="51">
                  <c:v>1.2300342936158444</c:v>
                </c:pt>
                <c:pt idx="52">
                  <c:v>1.2338828425233817</c:v>
                </c:pt>
                <c:pt idx="53">
                  <c:v>1.2377108585500403</c:v>
                </c:pt>
                <c:pt idx="54">
                  <c:v>1.241518559628761</c:v>
                </c:pt>
                <c:pt idx="55">
                  <c:v>1.2453061602411313</c:v>
                </c:pt>
                <c:pt idx="56">
                  <c:v>1.2490738714898801</c:v>
                </c:pt>
                <c:pt idx="57">
                  <c:v>1.2528219011694794</c:v>
                </c:pt>
                <c:pt idx="58">
                  <c:v>1.2565504538349122</c:v>
                </c:pt>
                <c:pt idx="59">
                  <c:v>1.2602597308686605</c:v>
                </c:pt>
                <c:pt idx="60">
                  <c:v>1.2639499305459745</c:v>
                </c:pt>
                <c:pt idx="61">
                  <c:v>1.2676212480984681</c:v>
                </c:pt>
                <c:pt idx="62">
                  <c:v>1.271273875776098</c:v>
                </c:pt>
                <c:pt idx="63">
                  <c:v>1.2749080029075719</c:v>
                </c:pt>
                <c:pt idx="64">
                  <c:v>1.2785238159592356</c:v>
                </c:pt>
                <c:pt idx="65">
                  <c:v>1.2821214985924834</c:v>
                </c:pt>
                <c:pt idx="66">
                  <c:v>1.2857012317197349</c:v>
                </c:pt>
                <c:pt idx="67">
                  <c:v>1.2892631935590251</c:v>
                </c:pt>
                <c:pt idx="68">
                  <c:v>1.2928075596872437</c:v>
                </c:pt>
                <c:pt idx="69">
                  <c:v>1.2963345030920672</c:v>
                </c:pt>
                <c:pt idx="70">
                  <c:v>1.29984419422262</c:v>
                </c:pt>
                <c:pt idx="71">
                  <c:v>1.3033368010389033</c:v>
                </c:pt>
                <c:pt idx="72">
                  <c:v>1.3068124890600261</c:v>
                </c:pt>
                <c:pt idx="73">
                  <c:v>1.3102714214112743</c:v>
                </c:pt>
                <c:pt idx="74">
                  <c:v>1.3137137588700498</c:v>
                </c:pt>
                <c:pt idx="75">
                  <c:v>1.3171396599107135</c:v>
                </c:pt>
                <c:pt idx="76">
                  <c:v>1.3205492807483625</c:v>
                </c:pt>
                <c:pt idx="77">
                  <c:v>1.3239427753815725</c:v>
                </c:pt>
                <c:pt idx="78">
                  <c:v>1.3273202956341335</c:v>
                </c:pt>
                <c:pt idx="79">
                  <c:v>1.3306819911958081</c:v>
                </c:pt>
                <c:pt idx="80">
                  <c:v>1.3340280096621402</c:v>
                </c:pt>
                <c:pt idx="81">
                  <c:v>1.3373584965733376</c:v>
                </c:pt>
                <c:pt idx="82">
                  <c:v>1.3406735954522588</c:v>
                </c:pt>
                <c:pt idx="83">
                  <c:v>1.3439734478415251</c:v>
                </c:pt>
                <c:pt idx="84">
                  <c:v>1.3472581933397827</c:v>
                </c:pt>
                <c:pt idx="85">
                  <c:v>1.3505279696371397</c:v>
                </c:pt>
                <c:pt idx="86">
                  <c:v>1.3537829125497989</c:v>
                </c:pt>
                <c:pt idx="87">
                  <c:v>1.3570231560539077</c:v>
                </c:pt>
                <c:pt idx="88">
                  <c:v>1.3602488323186479</c:v>
                </c:pt>
                <c:pt idx="89">
                  <c:v>1.3634600717385856</c:v>
                </c:pt>
                <c:pt idx="90">
                  <c:v>1.3666570029652991</c:v>
                </c:pt>
                <c:pt idx="91">
                  <c:v>1.3698397529383062</c:v>
                </c:pt>
                <c:pt idx="92">
                  <c:v>1.3730084469153074</c:v>
                </c:pt>
                <c:pt idx="93">
                  <c:v>1.376163208501767</c:v>
                </c:pt>
                <c:pt idx="94">
                  <c:v>1.3793041596798425</c:v>
                </c:pt>
                <c:pt idx="95">
                  <c:v>1.3824314208366879</c:v>
                </c:pt>
                <c:pt idx="96">
                  <c:v>1.3855451107921393</c:v>
                </c:pt>
                <c:pt idx="97">
                  <c:v>1.3886453468258044</c:v>
                </c:pt>
                <c:pt idx="98">
                  <c:v>1.3917322447035694</c:v>
                </c:pt>
                <c:pt idx="99">
                  <c:v>1.3948059187035364</c:v>
                </c:pt>
                <c:pt idx="100">
                  <c:v>1.3978664816414097</c:v>
                </c:pt>
              </c:numCache>
            </c:numRef>
          </c:xVal>
          <c:yVal>
            <c:numRef>
              <c:f>Data!$M$2:$M$102</c:f>
              <c:numCache>
                <c:formatCode>General</c:formatCode>
                <c:ptCount val="101"/>
                <c:pt idx="0" formatCode="0.00">
                  <c:v>174.1101126592248</c:v>
                </c:pt>
                <c:pt idx="1">
                  <c:v>175.40044466565334</c:v>
                </c:pt>
                <c:pt idx="2">
                  <c:v>176.69077667208188</c:v>
                </c:pt>
                <c:pt idx="3">
                  <c:v>177.98110867851042</c:v>
                </c:pt>
                <c:pt idx="4">
                  <c:v>179.27144068493897</c:v>
                </c:pt>
                <c:pt idx="5">
                  <c:v>180.56177269136751</c:v>
                </c:pt>
                <c:pt idx="6">
                  <c:v>181.85210469779605</c:v>
                </c:pt>
                <c:pt idx="7">
                  <c:v>183.14243670422459</c:v>
                </c:pt>
                <c:pt idx="8">
                  <c:v>184.43276871065314</c:v>
                </c:pt>
                <c:pt idx="9">
                  <c:v>185.72310071708168</c:v>
                </c:pt>
                <c:pt idx="10">
                  <c:v>187.01343272351022</c:v>
                </c:pt>
                <c:pt idx="11">
                  <c:v>188.30376472993876</c:v>
                </c:pt>
                <c:pt idx="12">
                  <c:v>189.59409673636731</c:v>
                </c:pt>
                <c:pt idx="13">
                  <c:v>190.88442874279585</c:v>
                </c:pt>
                <c:pt idx="14">
                  <c:v>192.17476074922439</c:v>
                </c:pt>
                <c:pt idx="15">
                  <c:v>193.46509275565293</c:v>
                </c:pt>
                <c:pt idx="16">
                  <c:v>194.75542476208147</c:v>
                </c:pt>
                <c:pt idx="17">
                  <c:v>196.04575676851002</c:v>
                </c:pt>
                <c:pt idx="18">
                  <c:v>197.33608877493856</c:v>
                </c:pt>
                <c:pt idx="19">
                  <c:v>198.6264207813671</c:v>
                </c:pt>
                <c:pt idx="20">
                  <c:v>199.91675278779564</c:v>
                </c:pt>
                <c:pt idx="21">
                  <c:v>201.20708479422419</c:v>
                </c:pt>
                <c:pt idx="22">
                  <c:v>202.49741680065273</c:v>
                </c:pt>
                <c:pt idx="23">
                  <c:v>203.78774880708127</c:v>
                </c:pt>
                <c:pt idx="24">
                  <c:v>205.07808081350981</c:v>
                </c:pt>
                <c:pt idx="25">
                  <c:v>206.36841281993836</c:v>
                </c:pt>
                <c:pt idx="26">
                  <c:v>207.6587448263669</c:v>
                </c:pt>
                <c:pt idx="27">
                  <c:v>208.94907683279544</c:v>
                </c:pt>
                <c:pt idx="28">
                  <c:v>210.23940883922398</c:v>
                </c:pt>
                <c:pt idx="29">
                  <c:v>211.52974084565253</c:v>
                </c:pt>
                <c:pt idx="30">
                  <c:v>212.82007285208107</c:v>
                </c:pt>
                <c:pt idx="31">
                  <c:v>214.11040485850961</c:v>
                </c:pt>
                <c:pt idx="32">
                  <c:v>215.40073686493815</c:v>
                </c:pt>
                <c:pt idx="33">
                  <c:v>216.6910688713667</c:v>
                </c:pt>
                <c:pt idx="34">
                  <c:v>217.98140087779524</c:v>
                </c:pt>
                <c:pt idx="35">
                  <c:v>219.27173288422378</c:v>
                </c:pt>
                <c:pt idx="36">
                  <c:v>220.56206489065232</c:v>
                </c:pt>
                <c:pt idx="37">
                  <c:v>221.85239689708087</c:v>
                </c:pt>
                <c:pt idx="38">
                  <c:v>223.14272890350941</c:v>
                </c:pt>
                <c:pt idx="39">
                  <c:v>224.43306090993795</c:v>
                </c:pt>
                <c:pt idx="40">
                  <c:v>225.72339291636649</c:v>
                </c:pt>
                <c:pt idx="41">
                  <c:v>227.01372492279503</c:v>
                </c:pt>
                <c:pt idx="42">
                  <c:v>228.30405692922358</c:v>
                </c:pt>
                <c:pt idx="43">
                  <c:v>229.59438893565212</c:v>
                </c:pt>
                <c:pt idx="44">
                  <c:v>230.88472094208066</c:v>
                </c:pt>
                <c:pt idx="45">
                  <c:v>232.1750529485092</c:v>
                </c:pt>
                <c:pt idx="46">
                  <c:v>233.46538495493775</c:v>
                </c:pt>
                <c:pt idx="47">
                  <c:v>234.75571696136629</c:v>
                </c:pt>
                <c:pt idx="48">
                  <c:v>236.04604896779483</c:v>
                </c:pt>
                <c:pt idx="49">
                  <c:v>237.33638097422337</c:v>
                </c:pt>
                <c:pt idx="50">
                  <c:v>238.62671298065192</c:v>
                </c:pt>
                <c:pt idx="51">
                  <c:v>239.91704498708046</c:v>
                </c:pt>
                <c:pt idx="52">
                  <c:v>241.207376993509</c:v>
                </c:pt>
                <c:pt idx="53">
                  <c:v>242.49770899993754</c:v>
                </c:pt>
                <c:pt idx="54">
                  <c:v>243.78804100636609</c:v>
                </c:pt>
                <c:pt idx="55">
                  <c:v>245.07837301279463</c:v>
                </c:pt>
                <c:pt idx="56">
                  <c:v>246.36870501922317</c:v>
                </c:pt>
                <c:pt idx="57">
                  <c:v>247.65903702565171</c:v>
                </c:pt>
                <c:pt idx="58">
                  <c:v>248.94936903208026</c:v>
                </c:pt>
                <c:pt idx="59">
                  <c:v>250.2397010385088</c:v>
                </c:pt>
                <c:pt idx="60">
                  <c:v>251.53003304493734</c:v>
                </c:pt>
                <c:pt idx="61">
                  <c:v>252.82036505136588</c:v>
                </c:pt>
                <c:pt idx="62">
                  <c:v>254.11069705779443</c:v>
                </c:pt>
                <c:pt idx="63">
                  <c:v>255.40102906422297</c:v>
                </c:pt>
                <c:pt idx="64">
                  <c:v>256.69136107065151</c:v>
                </c:pt>
                <c:pt idx="65">
                  <c:v>257.98169307708008</c:v>
                </c:pt>
                <c:pt idx="66">
                  <c:v>259.27202508350865</c:v>
                </c:pt>
                <c:pt idx="67">
                  <c:v>260.56235708993722</c:v>
                </c:pt>
                <c:pt idx="68">
                  <c:v>261.85268909636579</c:v>
                </c:pt>
                <c:pt idx="69">
                  <c:v>263.14302110279436</c:v>
                </c:pt>
                <c:pt idx="70">
                  <c:v>264.43335310922294</c:v>
                </c:pt>
                <c:pt idx="71">
                  <c:v>265.72368511565151</c:v>
                </c:pt>
                <c:pt idx="72">
                  <c:v>267.01401712208008</c:v>
                </c:pt>
                <c:pt idx="73">
                  <c:v>268.30434912850865</c:v>
                </c:pt>
                <c:pt idx="74">
                  <c:v>269.59468113493722</c:v>
                </c:pt>
                <c:pt idx="75">
                  <c:v>270.88501314136579</c:v>
                </c:pt>
                <c:pt idx="76">
                  <c:v>272.17534514779436</c:v>
                </c:pt>
                <c:pt idx="77">
                  <c:v>273.46567715422293</c:v>
                </c:pt>
                <c:pt idx="78">
                  <c:v>274.7560091606515</c:v>
                </c:pt>
                <c:pt idx="79">
                  <c:v>276.04634116708007</c:v>
                </c:pt>
                <c:pt idx="80">
                  <c:v>277.33667317350864</c:v>
                </c:pt>
                <c:pt idx="81">
                  <c:v>278.62700517993721</c:v>
                </c:pt>
                <c:pt idx="82">
                  <c:v>279.91733718636578</c:v>
                </c:pt>
                <c:pt idx="83">
                  <c:v>281.20766919279436</c:v>
                </c:pt>
                <c:pt idx="84">
                  <c:v>282.49800119922293</c:v>
                </c:pt>
                <c:pt idx="85">
                  <c:v>283.7883332056515</c:v>
                </c:pt>
                <c:pt idx="86">
                  <c:v>285.07866521208007</c:v>
                </c:pt>
                <c:pt idx="87">
                  <c:v>286.36899721850864</c:v>
                </c:pt>
                <c:pt idx="88">
                  <c:v>287.65932922493721</c:v>
                </c:pt>
                <c:pt idx="89">
                  <c:v>288.94966123136578</c:v>
                </c:pt>
                <c:pt idx="90">
                  <c:v>290.23999323779435</c:v>
                </c:pt>
                <c:pt idx="91">
                  <c:v>291.53032524422292</c:v>
                </c:pt>
                <c:pt idx="92">
                  <c:v>292.82065725065149</c:v>
                </c:pt>
                <c:pt idx="93">
                  <c:v>294.11098925708006</c:v>
                </c:pt>
                <c:pt idx="94">
                  <c:v>295.40132126350863</c:v>
                </c:pt>
                <c:pt idx="95">
                  <c:v>296.69165326993721</c:v>
                </c:pt>
                <c:pt idx="96">
                  <c:v>297.98198527636578</c:v>
                </c:pt>
                <c:pt idx="97">
                  <c:v>299.27231728279435</c:v>
                </c:pt>
                <c:pt idx="98">
                  <c:v>300.56264928922292</c:v>
                </c:pt>
                <c:pt idx="99">
                  <c:v>301.85298129565149</c:v>
                </c:pt>
                <c:pt idx="100">
                  <c:v>303.14331330208006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6A-4CB3-8061-9209DAFEB37A}"/>
            </c:ext>
          </c:extLst>
        </c:ser>
        <c:ser>
          <c:idx val="2"/>
          <c:order val="2"/>
          <c:tx>
            <c:v>Power Stroke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Data!$P$2:$P$102</c:f>
              <c:numCache>
                <c:formatCode>0.00</c:formatCode>
                <c:ptCount val="101"/>
                <c:pt idx="0">
                  <c:v>1.3978664816414081</c:v>
                </c:pt>
                <c:pt idx="1">
                  <c:v>1.3978664816414081</c:v>
                </c:pt>
                <c:pt idx="2">
                  <c:v>1.3978664816414081</c:v>
                </c:pt>
                <c:pt idx="3">
                  <c:v>1.3978664816414081</c:v>
                </c:pt>
                <c:pt idx="4">
                  <c:v>1.3978664816414081</c:v>
                </c:pt>
                <c:pt idx="5">
                  <c:v>1.3978664816414081</c:v>
                </c:pt>
                <c:pt idx="6">
                  <c:v>1.3978664816414081</c:v>
                </c:pt>
                <c:pt idx="7">
                  <c:v>1.3978664816414081</c:v>
                </c:pt>
                <c:pt idx="8">
                  <c:v>1.3978664816414081</c:v>
                </c:pt>
                <c:pt idx="9">
                  <c:v>1.3978664816414081</c:v>
                </c:pt>
                <c:pt idx="10">
                  <c:v>1.3978664816414081</c:v>
                </c:pt>
                <c:pt idx="11">
                  <c:v>1.3978664816414081</c:v>
                </c:pt>
                <c:pt idx="12">
                  <c:v>1.3978664816414081</c:v>
                </c:pt>
                <c:pt idx="13">
                  <c:v>1.3978664816414081</c:v>
                </c:pt>
                <c:pt idx="14">
                  <c:v>1.3978664816414081</c:v>
                </c:pt>
                <c:pt idx="15">
                  <c:v>1.3978664816414081</c:v>
                </c:pt>
                <c:pt idx="16">
                  <c:v>1.3978664816414081</c:v>
                </c:pt>
                <c:pt idx="17">
                  <c:v>1.3978664816414081</c:v>
                </c:pt>
                <c:pt idx="18">
                  <c:v>1.3978664816414081</c:v>
                </c:pt>
                <c:pt idx="19">
                  <c:v>1.3978664816414081</c:v>
                </c:pt>
                <c:pt idx="20">
                  <c:v>1.3978664816414081</c:v>
                </c:pt>
                <c:pt idx="21">
                  <c:v>1.3978664816414081</c:v>
                </c:pt>
                <c:pt idx="22">
                  <c:v>1.3978664816414081</c:v>
                </c:pt>
                <c:pt idx="23">
                  <c:v>1.3978664816414081</c:v>
                </c:pt>
                <c:pt idx="24">
                  <c:v>1.3978664816414081</c:v>
                </c:pt>
                <c:pt idx="25">
                  <c:v>1.3978664816414081</c:v>
                </c:pt>
                <c:pt idx="26">
                  <c:v>1.3978664816414081</c:v>
                </c:pt>
                <c:pt idx="27">
                  <c:v>1.3978664816414081</c:v>
                </c:pt>
                <c:pt idx="28">
                  <c:v>1.3978664816414081</c:v>
                </c:pt>
                <c:pt idx="29">
                  <c:v>1.3978664816414081</c:v>
                </c:pt>
                <c:pt idx="30">
                  <c:v>1.3978664816414081</c:v>
                </c:pt>
                <c:pt idx="31">
                  <c:v>1.3978664816414081</c:v>
                </c:pt>
                <c:pt idx="32">
                  <c:v>1.3978664816414081</c:v>
                </c:pt>
                <c:pt idx="33">
                  <c:v>1.3978664816414081</c:v>
                </c:pt>
                <c:pt idx="34">
                  <c:v>1.3978664816414081</c:v>
                </c:pt>
                <c:pt idx="35">
                  <c:v>1.3978664816414081</c:v>
                </c:pt>
                <c:pt idx="36">
                  <c:v>1.3978664816414081</c:v>
                </c:pt>
                <c:pt idx="37">
                  <c:v>1.3978664816414081</c:v>
                </c:pt>
                <c:pt idx="38">
                  <c:v>1.3978664816414081</c:v>
                </c:pt>
                <c:pt idx="39">
                  <c:v>1.3978664816414081</c:v>
                </c:pt>
                <c:pt idx="40">
                  <c:v>1.3978664816414081</c:v>
                </c:pt>
                <c:pt idx="41">
                  <c:v>1.3978664816414081</c:v>
                </c:pt>
                <c:pt idx="42">
                  <c:v>1.3978664816414081</c:v>
                </c:pt>
                <c:pt idx="43">
                  <c:v>1.3978664816414081</c:v>
                </c:pt>
                <c:pt idx="44">
                  <c:v>1.3978664816414081</c:v>
                </c:pt>
                <c:pt idx="45">
                  <c:v>1.3978664816414081</c:v>
                </c:pt>
                <c:pt idx="46">
                  <c:v>1.3978664816414081</c:v>
                </c:pt>
                <c:pt idx="47">
                  <c:v>1.3978664816414081</c:v>
                </c:pt>
                <c:pt idx="48">
                  <c:v>1.3978664816414081</c:v>
                </c:pt>
                <c:pt idx="49">
                  <c:v>1.3978664816414081</c:v>
                </c:pt>
                <c:pt idx="50">
                  <c:v>1.3978664816414081</c:v>
                </c:pt>
                <c:pt idx="51">
                  <c:v>1.3978664816414081</c:v>
                </c:pt>
                <c:pt idx="52">
                  <c:v>1.3978664816414081</c:v>
                </c:pt>
                <c:pt idx="53">
                  <c:v>1.3978664816414081</c:v>
                </c:pt>
                <c:pt idx="54">
                  <c:v>1.3978664816414081</c:v>
                </c:pt>
                <c:pt idx="55">
                  <c:v>1.3978664816414081</c:v>
                </c:pt>
                <c:pt idx="56">
                  <c:v>1.3978664816414081</c:v>
                </c:pt>
                <c:pt idx="57">
                  <c:v>1.3978664816414081</c:v>
                </c:pt>
                <c:pt idx="58">
                  <c:v>1.3978664816414081</c:v>
                </c:pt>
                <c:pt idx="59">
                  <c:v>1.3978664816414081</c:v>
                </c:pt>
                <c:pt idx="60">
                  <c:v>1.3978664816414081</c:v>
                </c:pt>
                <c:pt idx="61">
                  <c:v>1.3978664816414081</c:v>
                </c:pt>
                <c:pt idx="62">
                  <c:v>1.3978664816414081</c:v>
                </c:pt>
                <c:pt idx="63">
                  <c:v>1.3978664816414081</c:v>
                </c:pt>
                <c:pt idx="64">
                  <c:v>1.3978664816414081</c:v>
                </c:pt>
                <c:pt idx="65">
                  <c:v>1.3978664816414081</c:v>
                </c:pt>
                <c:pt idx="66">
                  <c:v>1.3978664816414081</c:v>
                </c:pt>
                <c:pt idx="67">
                  <c:v>1.3978664816414081</c:v>
                </c:pt>
                <c:pt idx="68">
                  <c:v>1.3978664816414081</c:v>
                </c:pt>
                <c:pt idx="69">
                  <c:v>1.3978664816414081</c:v>
                </c:pt>
                <c:pt idx="70">
                  <c:v>1.3978664816414081</c:v>
                </c:pt>
                <c:pt idx="71">
                  <c:v>1.3978664816414081</c:v>
                </c:pt>
                <c:pt idx="72">
                  <c:v>1.3978664816414081</c:v>
                </c:pt>
                <c:pt idx="73">
                  <c:v>1.3978664816414081</c:v>
                </c:pt>
                <c:pt idx="74">
                  <c:v>1.3978664816414081</c:v>
                </c:pt>
                <c:pt idx="75">
                  <c:v>1.3978664816414081</c:v>
                </c:pt>
                <c:pt idx="76">
                  <c:v>1.3978664816414081</c:v>
                </c:pt>
                <c:pt idx="77">
                  <c:v>1.3978664816414081</c:v>
                </c:pt>
                <c:pt idx="78">
                  <c:v>1.3978664816414081</c:v>
                </c:pt>
                <c:pt idx="79">
                  <c:v>1.3978664816414081</c:v>
                </c:pt>
                <c:pt idx="80">
                  <c:v>1.3978664816414081</c:v>
                </c:pt>
                <c:pt idx="81">
                  <c:v>1.3978664816414081</c:v>
                </c:pt>
                <c:pt idx="82">
                  <c:v>1.3978664816414081</c:v>
                </c:pt>
                <c:pt idx="83">
                  <c:v>1.3978664816414081</c:v>
                </c:pt>
                <c:pt idx="84">
                  <c:v>1.3978664816414081</c:v>
                </c:pt>
                <c:pt idx="85">
                  <c:v>1.3978664816414081</c:v>
                </c:pt>
                <c:pt idx="86">
                  <c:v>1.3978664816414081</c:v>
                </c:pt>
                <c:pt idx="87">
                  <c:v>1.3978664816414081</c:v>
                </c:pt>
                <c:pt idx="88">
                  <c:v>1.3978664816414081</c:v>
                </c:pt>
                <c:pt idx="89">
                  <c:v>1.3978664816414081</c:v>
                </c:pt>
                <c:pt idx="90">
                  <c:v>1.3978664816414081</c:v>
                </c:pt>
                <c:pt idx="91">
                  <c:v>1.3978664816414081</c:v>
                </c:pt>
                <c:pt idx="92">
                  <c:v>1.3978664816414081</c:v>
                </c:pt>
                <c:pt idx="93">
                  <c:v>1.3978664816414081</c:v>
                </c:pt>
                <c:pt idx="94">
                  <c:v>1.3978664816414081</c:v>
                </c:pt>
                <c:pt idx="95">
                  <c:v>1.3978664816414081</c:v>
                </c:pt>
                <c:pt idx="96">
                  <c:v>1.3978664816414081</c:v>
                </c:pt>
                <c:pt idx="97">
                  <c:v>1.3978664816414081</c:v>
                </c:pt>
                <c:pt idx="98">
                  <c:v>1.3978664816414081</c:v>
                </c:pt>
                <c:pt idx="99">
                  <c:v>1.3978664816414081</c:v>
                </c:pt>
                <c:pt idx="100">
                  <c:v>1.3978664816414081</c:v>
                </c:pt>
              </c:numCache>
            </c:numRef>
          </c:xVal>
          <c:yVal>
            <c:numRef>
              <c:f>Data!$O$2:$O$102</c:f>
              <c:numCache>
                <c:formatCode>General</c:formatCode>
                <c:ptCount val="101"/>
                <c:pt idx="0" formatCode="0.00">
                  <c:v>303.14331330207949</c:v>
                </c:pt>
                <c:pt idx="1">
                  <c:v>302.39927399049611</c:v>
                </c:pt>
                <c:pt idx="2">
                  <c:v>301.65062963075877</c:v>
                </c:pt>
                <c:pt idx="3">
                  <c:v>300.89731122005264</c:v>
                </c:pt>
                <c:pt idx="4">
                  <c:v>300.13924810402648</c:v>
                </c:pt>
                <c:pt idx="5">
                  <c:v>299.3763679222194</c:v>
                </c:pt>
                <c:pt idx="6">
                  <c:v>298.60859655117821</c:v>
                </c:pt>
                <c:pt idx="7">
                  <c:v>297.83585804514598</c:v>
                </c:pt>
                <c:pt idx="8">
                  <c:v>297.05807457419473</c:v>
                </c:pt>
                <c:pt idx="9">
                  <c:v>296.27516635966754</c:v>
                </c:pt>
                <c:pt idx="10">
                  <c:v>295.4870516067873</c:v>
                </c:pt>
                <c:pt idx="11">
                  <c:v>294.69364643427929</c:v>
                </c:pt>
                <c:pt idx="12">
                  <c:v>293.89486480084611</c:v>
                </c:pt>
                <c:pt idx="13">
                  <c:v>293.09061842832295</c:v>
                </c:pt>
                <c:pt idx="14">
                  <c:v>292.28081672132902</c:v>
                </c:pt>
                <c:pt idx="15">
                  <c:v>291.46536668322005</c:v>
                </c:pt>
                <c:pt idx="16">
                  <c:v>290.64417282813372</c:v>
                </c:pt>
                <c:pt idx="17">
                  <c:v>289.81713708890476</c:v>
                </c:pt>
                <c:pt idx="18">
                  <c:v>288.98415872061338</c:v>
                </c:pt>
                <c:pt idx="19">
                  <c:v>288.14513419951248</c:v>
                </c:pt>
                <c:pt idx="20">
                  <c:v>287.29995711706334</c:v>
                </c:pt>
                <c:pt idx="21">
                  <c:v>286.44851806878893</c:v>
                </c:pt>
                <c:pt idx="22">
                  <c:v>285.59070453763547</c:v>
                </c:pt>
                <c:pt idx="23">
                  <c:v>284.72640077150902</c:v>
                </c:pt>
                <c:pt idx="24">
                  <c:v>283.85548765463096</c:v>
                </c:pt>
                <c:pt idx="25">
                  <c:v>282.97784257233042</c:v>
                </c:pt>
                <c:pt idx="26">
                  <c:v>282.09333926886274</c:v>
                </c:pt>
                <c:pt idx="27">
                  <c:v>281.20184769781383</c:v>
                </c:pt>
                <c:pt idx="28">
                  <c:v>280.30323386461578</c:v>
                </c:pt>
                <c:pt idx="29">
                  <c:v>279.39735966066456</c:v>
                </c:pt>
                <c:pt idx="30">
                  <c:v>278.48408268849028</c:v>
                </c:pt>
                <c:pt idx="31">
                  <c:v>277.56325607738802</c:v>
                </c:pt>
                <c:pt idx="32">
                  <c:v>276.63472828887205</c:v>
                </c:pt>
                <c:pt idx="33">
                  <c:v>275.69834291126267</c:v>
                </c:pt>
                <c:pt idx="34">
                  <c:v>274.75393844266296</c:v>
                </c:pt>
                <c:pt idx="35">
                  <c:v>273.80134806151892</c:v>
                </c:pt>
                <c:pt idx="36">
                  <c:v>272.84039938389196</c:v>
                </c:pt>
                <c:pt idx="37">
                  <c:v>271.87091420649938</c:v>
                </c:pt>
                <c:pt idx="38">
                  <c:v>270.89270823449812</c:v>
                </c:pt>
                <c:pt idx="39">
                  <c:v>269.90559079290068</c:v>
                </c:pt>
                <c:pt idx="40">
                  <c:v>268.90936452041365</c:v>
                </c:pt>
                <c:pt idx="41">
                  <c:v>267.90382504438503</c:v>
                </c:pt>
                <c:pt idx="42">
                  <c:v>266.88876063542858</c:v>
                </c:pt>
                <c:pt idx="43">
                  <c:v>265.86395184016345</c:v>
                </c:pt>
                <c:pt idx="44">
                  <c:v>264.82917109036663</c:v>
                </c:pt>
                <c:pt idx="45">
                  <c:v>263.78418228667533</c:v>
                </c:pt>
                <c:pt idx="46">
                  <c:v>262.72874035480334</c:v>
                </c:pt>
                <c:pt idx="47">
                  <c:v>261.66259077203983</c:v>
                </c:pt>
                <c:pt idx="48">
                  <c:v>260.58546906158375</c:v>
                </c:pt>
                <c:pt idx="49">
                  <c:v>259.49710025202688</c:v>
                </c:pt>
                <c:pt idx="50">
                  <c:v>258.39719829903066</c:v>
                </c:pt>
                <c:pt idx="51">
                  <c:v>257.28546546594271</c:v>
                </c:pt>
                <c:pt idx="52">
                  <c:v>256.16159165976637</c:v>
                </c:pt>
                <c:pt idx="53">
                  <c:v>255.02525371852053</c:v>
                </c:pt>
                <c:pt idx="54">
                  <c:v>253.87611464560885</c:v>
                </c:pt>
                <c:pt idx="55">
                  <c:v>252.71382278634567</c:v>
                </c:pt>
                <c:pt idx="56">
                  <c:v>251.5380109412551</c:v>
                </c:pt>
                <c:pt idx="57">
                  <c:v>250.348295410161</c:v>
                </c:pt>
                <c:pt idx="58">
                  <c:v>249.14427496041012</c:v>
                </c:pt>
                <c:pt idx="59">
                  <c:v>247.92552971180442</c:v>
                </c:pt>
                <c:pt idx="60">
                  <c:v>246.69161992995029</c:v>
                </c:pt>
                <c:pt idx="61">
                  <c:v>245.44208471874552</c:v>
                </c:pt>
                <c:pt idx="62">
                  <c:v>244.17644060159947</c:v>
                </c:pt>
                <c:pt idx="63">
                  <c:v>242.89417997969827</c:v>
                </c:pt>
                <c:pt idx="64">
                  <c:v>241.59476945415682</c:v>
                </c:pt>
                <c:pt idx="65">
                  <c:v>240.27764799721291</c:v>
                </c:pt>
                <c:pt idx="66">
                  <c:v>238.94222495567971</c:v>
                </c:pt>
                <c:pt idx="67">
                  <c:v>237.58787786763679</c:v>
                </c:pt>
                <c:pt idx="68">
                  <c:v>236.21395007075392</c:v>
                </c:pt>
                <c:pt idx="69">
                  <c:v>234.81974807764465</c:v>
                </c:pt>
                <c:pt idx="70">
                  <c:v>233.40453869016062</c:v>
                </c:pt>
                <c:pt idx="71">
                  <c:v>231.96754582047302</c:v>
                </c:pt>
                <c:pt idx="72">
                  <c:v>230.5079469820304</c:v>
                </c:pt>
                <c:pt idx="73">
                  <c:v>229.02486940790047</c:v>
                </c:pt>
                <c:pt idx="74">
                  <c:v>227.5173857474274</c:v>
                </c:pt>
                <c:pt idx="75">
                  <c:v>225.98450928436475</c:v>
                </c:pt>
                <c:pt idx="76">
                  <c:v>224.42518861042325</c:v>
                </c:pt>
                <c:pt idx="77">
                  <c:v>222.83830167719142</c:v>
                </c:pt>
                <c:pt idx="78">
                  <c:v>221.2226491362542</c:v>
                </c:pt>
                <c:pt idx="79">
                  <c:v>219.5769468615635</c:v>
                </c:pt>
                <c:pt idx="80">
                  <c:v>217.89981752908821</c:v>
                </c:pt>
                <c:pt idx="81">
                  <c:v>216.18978110571194</c:v>
                </c:pt>
                <c:pt idx="82">
                  <c:v>214.44524407125959</c:v>
                </c:pt>
                <c:pt idx="83">
                  <c:v>212.66448716314565</c:v>
                </c:pt>
                <c:pt idx="84">
                  <c:v>210.84565139080257</c:v>
                </c:pt>
                <c:pt idx="85">
                  <c:v>208.9867220146275</c:v>
                </c:pt>
                <c:pt idx="86">
                  <c:v>207.08551011888088</c:v>
                </c:pt>
                <c:pt idx="87">
                  <c:v>205.13963132608302</c:v>
                </c:pt>
                <c:pt idx="88">
                  <c:v>203.14648109706761</c:v>
                </c:pt>
                <c:pt idx="89">
                  <c:v>201.10320592936014</c:v>
                </c:pt>
                <c:pt idx="90">
                  <c:v>199.00666959801035</c:v>
                </c:pt>
                <c:pt idx="91">
                  <c:v>196.85341336517868</c:v>
                </c:pt>
                <c:pt idx="92">
                  <c:v>194.63960880073031</c:v>
                </c:pt>
                <c:pt idx="93">
                  <c:v>192.36100148215053</c:v>
                </c:pt>
                <c:pt idx="94">
                  <c:v>190.01284334474414</c:v>
                </c:pt>
                <c:pt idx="95">
                  <c:v>187.58981078424287</c:v>
                </c:pt>
                <c:pt idx="96">
                  <c:v>185.08590470368432</c:v>
                </c:pt>
                <c:pt idx="97">
                  <c:v>182.49432744144397</c:v>
                </c:pt>
                <c:pt idx="98">
                  <c:v>179.8073297624718</c:v>
                </c:pt>
                <c:pt idx="99">
                  <c:v>177.016018602895</c:v>
                </c:pt>
                <c:pt idx="100">
                  <c:v>174.11011265922386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6A-4CB3-8061-9209DAFEB37A}"/>
            </c:ext>
          </c:extLst>
        </c:ser>
        <c:ser>
          <c:idx val="3"/>
          <c:order val="3"/>
          <c:tx>
            <c:v>Heat Rejection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Data!$R$2:$R$102</c:f>
              <c:numCache>
                <c:formatCode>General</c:formatCode>
                <c:ptCount val="101"/>
                <c:pt idx="0" formatCode="0.00">
                  <c:v>1.3978664816414081</c:v>
                </c:pt>
                <c:pt idx="1">
                  <c:v>1.3948059187035351</c:v>
                </c:pt>
                <c:pt idx="2">
                  <c:v>1.391732244703568</c:v>
                </c:pt>
                <c:pt idx="3">
                  <c:v>1.3886453468258031</c:v>
                </c:pt>
                <c:pt idx="4">
                  <c:v>1.3855451107921379</c:v>
                </c:pt>
                <c:pt idx="5">
                  <c:v>1.3824314208366868</c:v>
                </c:pt>
                <c:pt idx="6">
                  <c:v>1.3793041596798417</c:v>
                </c:pt>
                <c:pt idx="7">
                  <c:v>1.3761632085017661</c:v>
                </c:pt>
                <c:pt idx="8">
                  <c:v>1.3730084469153068</c:v>
                </c:pt>
                <c:pt idx="9">
                  <c:v>1.3698397529383055</c:v>
                </c:pt>
                <c:pt idx="10">
                  <c:v>1.3666570029652987</c:v>
                </c:pt>
                <c:pt idx="11">
                  <c:v>1.3634600717385852</c:v>
                </c:pt>
                <c:pt idx="12">
                  <c:v>1.3602488323186475</c:v>
                </c:pt>
                <c:pt idx="13">
                  <c:v>1.3570231560539074</c:v>
                </c:pt>
                <c:pt idx="14">
                  <c:v>1.3537829125497989</c:v>
                </c:pt>
                <c:pt idx="15">
                  <c:v>1.3505279696371397</c:v>
                </c:pt>
                <c:pt idx="16">
                  <c:v>1.3472581933397827</c:v>
                </c:pt>
                <c:pt idx="17">
                  <c:v>1.3439734478415253</c:v>
                </c:pt>
                <c:pt idx="18">
                  <c:v>1.3406735954522593</c:v>
                </c:pt>
                <c:pt idx="19">
                  <c:v>1.3373584965733381</c:v>
                </c:pt>
                <c:pt idx="20">
                  <c:v>1.3340280096621406</c:v>
                </c:pt>
                <c:pt idx="21">
                  <c:v>1.3306819911958088</c:v>
                </c:pt>
                <c:pt idx="22">
                  <c:v>1.3273202956341341</c:v>
                </c:pt>
                <c:pt idx="23">
                  <c:v>1.3239427753815731</c:v>
                </c:pt>
                <c:pt idx="24">
                  <c:v>1.3205492807483632</c:v>
                </c:pt>
                <c:pt idx="25">
                  <c:v>1.3171396599107144</c:v>
                </c:pt>
                <c:pt idx="26">
                  <c:v>1.3137137588700509</c:v>
                </c:pt>
                <c:pt idx="27">
                  <c:v>1.3102714214112756</c:v>
                </c:pt>
                <c:pt idx="28">
                  <c:v>1.3068124890600274</c:v>
                </c:pt>
                <c:pt idx="29">
                  <c:v>1.3033368010389046</c:v>
                </c:pt>
                <c:pt idx="30">
                  <c:v>1.2998441942226215</c:v>
                </c:pt>
                <c:pt idx="31">
                  <c:v>1.296334503092069</c:v>
                </c:pt>
                <c:pt idx="32">
                  <c:v>1.2928075596872457</c:v>
                </c:pt>
                <c:pt idx="33">
                  <c:v>1.2892631935590271</c:v>
                </c:pt>
                <c:pt idx="34">
                  <c:v>1.2857012317197369</c:v>
                </c:pt>
                <c:pt idx="35">
                  <c:v>1.2821214985924856</c:v>
                </c:pt>
                <c:pt idx="36">
                  <c:v>1.278523815959238</c:v>
                </c:pt>
                <c:pt idx="37">
                  <c:v>1.2749080029075743</c:v>
                </c:pt>
                <c:pt idx="38">
                  <c:v>1.2712738757761004</c:v>
                </c:pt>
                <c:pt idx="39">
                  <c:v>1.2676212480984708</c:v>
                </c:pt>
                <c:pt idx="40">
                  <c:v>1.2639499305459772</c:v>
                </c:pt>
                <c:pt idx="41">
                  <c:v>1.2602597308686632</c:v>
                </c:pt>
                <c:pt idx="42">
                  <c:v>1.2565504538349148</c:v>
                </c:pt>
                <c:pt idx="43">
                  <c:v>1.2528219011694823</c:v>
                </c:pt>
                <c:pt idx="44">
                  <c:v>1.2490738714898828</c:v>
                </c:pt>
                <c:pt idx="45">
                  <c:v>1.2453061602411339</c:v>
                </c:pt>
                <c:pt idx="46">
                  <c:v>1.2415185596287637</c:v>
                </c:pt>
                <c:pt idx="47">
                  <c:v>1.2377108585500429</c:v>
                </c:pt>
                <c:pt idx="48">
                  <c:v>1.2338828425233843</c:v>
                </c:pt>
                <c:pt idx="49">
                  <c:v>1.230034293615847</c:v>
                </c:pt>
                <c:pt idx="50">
                  <c:v>1.2261649903686862</c:v>
                </c:pt>
                <c:pt idx="51">
                  <c:v>1.2222747077208853</c:v>
                </c:pt>
                <c:pt idx="52">
                  <c:v>1.2183632169306029</c:v>
                </c:pt>
                <c:pt idx="53">
                  <c:v>1.2144302854944675</c:v>
                </c:pt>
                <c:pt idx="54">
                  <c:v>1.2104756770646474</c:v>
                </c:pt>
                <c:pt idx="55">
                  <c:v>1.206499151363623</c:v>
                </c:pt>
                <c:pt idx="56">
                  <c:v>1.202500464096584</c:v>
                </c:pt>
                <c:pt idx="57">
                  <c:v>1.1984793668613716</c:v>
                </c:pt>
                <c:pt idx="58">
                  <c:v>1.1944356070558835</c:v>
                </c:pt>
                <c:pt idx="59">
                  <c:v>1.1903689277828537</c:v>
                </c:pt>
                <c:pt idx="60">
                  <c:v>1.1862790677519199</c:v>
                </c:pt>
                <c:pt idx="61">
                  <c:v>1.1821657611788823</c:v>
                </c:pt>
                <c:pt idx="62">
                  <c:v>1.1780287376820586</c:v>
                </c:pt>
                <c:pt idx="63">
                  <c:v>1.1738677221756342</c:v>
                </c:pt>
                <c:pt idx="64">
                  <c:v>1.1696824347599006</c:v>
                </c:pt>
                <c:pt idx="65">
                  <c:v>1.165472590608275</c:v>
                </c:pt>
                <c:pt idx="66">
                  <c:v>1.1612378998509847</c:v>
                </c:pt>
                <c:pt idx="67">
                  <c:v>1.1569780674552992</c:v>
                </c:pt>
                <c:pt idx="68">
                  <c:v>1.1526927931021855</c:v>
                </c:pt>
                <c:pt idx="69">
                  <c:v>1.1483817710592583</c:v>
                </c:pt>
                <c:pt idx="70">
                  <c:v>1.1440446900498891</c:v>
                </c:pt>
                <c:pt idx="71">
                  <c:v>1.1396812331183359</c:v>
                </c:pt>
                <c:pt idx="72">
                  <c:v>1.1352910774907476</c:v>
                </c:pt>
                <c:pt idx="73">
                  <c:v>1.1308738944318881</c:v>
                </c:pt>
                <c:pt idx="74">
                  <c:v>1.1264293490974235</c:v>
                </c:pt>
                <c:pt idx="75">
                  <c:v>1.1219571003816062</c:v>
                </c:pt>
                <c:pt idx="76">
                  <c:v>1.1174568007601815</c:v>
                </c:pt>
                <c:pt idx="77">
                  <c:v>1.1129280961283359</c:v>
                </c:pt>
                <c:pt idx="78">
                  <c:v>1.1083706256335002</c:v>
                </c:pt>
                <c:pt idx="79">
                  <c:v>1.1037840215028074</c:v>
                </c:pt>
                <c:pt idx="80">
                  <c:v>1.0991679088650002</c:v>
                </c:pt>
                <c:pt idx="81">
                  <c:v>1.0945219055665727</c:v>
                </c:pt>
                <c:pt idx="82">
                  <c:v>1.0898456219819206</c:v>
                </c:pt>
                <c:pt idx="83">
                  <c:v>1.0851386608172635</c:v>
                </c:pt>
                <c:pt idx="84">
                  <c:v>1.0804006169080937</c:v>
                </c:pt>
                <c:pt idx="85">
                  <c:v>1.0756310770098922</c:v>
                </c:pt>
                <c:pt idx="86">
                  <c:v>1.0708296195818425</c:v>
                </c:pt>
                <c:pt idx="87">
                  <c:v>1.0659958145632578</c:v>
                </c:pt>
                <c:pt idx="88">
                  <c:v>1.0611292231424263</c:v>
                </c:pt>
                <c:pt idx="89">
                  <c:v>1.0562293975175647</c:v>
                </c:pt>
                <c:pt idx="90">
                  <c:v>1.0512958806495512</c:v>
                </c:pt>
                <c:pt idx="91">
                  <c:v>1.046328206006099</c:v>
                </c:pt>
                <c:pt idx="92">
                  <c:v>1.0413258972970134</c:v>
                </c:pt>
                <c:pt idx="93">
                  <c:v>1.0362884682001523</c:v>
                </c:pt>
                <c:pt idx="94">
                  <c:v>1.0312154220777017</c:v>
                </c:pt>
                <c:pt idx="95">
                  <c:v>1.026106251682346</c:v>
                </c:pt>
                <c:pt idx="96">
                  <c:v>1.0209604388529048</c:v>
                </c:pt>
                <c:pt idx="97">
                  <c:v>1.0157774541989735</c:v>
                </c:pt>
                <c:pt idx="98">
                  <c:v>1.0105567567740927</c:v>
                </c:pt>
                <c:pt idx="99">
                  <c:v>1.0052977937369385</c:v>
                </c:pt>
                <c:pt idx="100">
                  <c:v>1.0000000000000044</c:v>
                </c:pt>
              </c:numCache>
            </c:numRef>
          </c:xVal>
          <c:yVal>
            <c:numRef>
              <c:f>Data!$Q$2:$Q$102</c:f>
              <c:numCache>
                <c:formatCode>General</c:formatCode>
                <c:ptCount val="101"/>
                <c:pt idx="0" formatCode="0.00">
                  <c:v>174.11011265922477</c:v>
                </c:pt>
                <c:pt idx="1">
                  <c:v>173.36901153263253</c:v>
                </c:pt>
                <c:pt idx="2">
                  <c:v>172.62791040604029</c:v>
                </c:pt>
                <c:pt idx="3">
                  <c:v>171.88680927944804</c:v>
                </c:pt>
                <c:pt idx="4">
                  <c:v>171.1457081528558</c:v>
                </c:pt>
                <c:pt idx="5">
                  <c:v>170.40460702626356</c:v>
                </c:pt>
                <c:pt idx="6">
                  <c:v>169.66350589967132</c:v>
                </c:pt>
                <c:pt idx="7">
                  <c:v>168.92240477307908</c:v>
                </c:pt>
                <c:pt idx="8">
                  <c:v>168.18130364648684</c:v>
                </c:pt>
                <c:pt idx="9">
                  <c:v>167.4402025198946</c:v>
                </c:pt>
                <c:pt idx="10">
                  <c:v>166.69910139330236</c:v>
                </c:pt>
                <c:pt idx="11">
                  <c:v>165.95800026671012</c:v>
                </c:pt>
                <c:pt idx="12">
                  <c:v>165.21689914011787</c:v>
                </c:pt>
                <c:pt idx="13">
                  <c:v>164.47579801352563</c:v>
                </c:pt>
                <c:pt idx="14">
                  <c:v>163.73469688693339</c:v>
                </c:pt>
                <c:pt idx="15">
                  <c:v>162.99359576034115</c:v>
                </c:pt>
                <c:pt idx="16">
                  <c:v>162.25249463374891</c:v>
                </c:pt>
                <c:pt idx="17">
                  <c:v>161.51139350715667</c:v>
                </c:pt>
                <c:pt idx="18">
                  <c:v>160.77029238056443</c:v>
                </c:pt>
                <c:pt idx="19">
                  <c:v>160.02919125397219</c:v>
                </c:pt>
                <c:pt idx="20">
                  <c:v>159.28809012737995</c:v>
                </c:pt>
                <c:pt idx="21">
                  <c:v>158.5469890007877</c:v>
                </c:pt>
                <c:pt idx="22">
                  <c:v>157.80588787419546</c:v>
                </c:pt>
                <c:pt idx="23">
                  <c:v>157.06478674760322</c:v>
                </c:pt>
                <c:pt idx="24">
                  <c:v>156.32368562101098</c:v>
                </c:pt>
                <c:pt idx="25">
                  <c:v>155.58258449441874</c:v>
                </c:pt>
                <c:pt idx="26">
                  <c:v>154.8414833678265</c:v>
                </c:pt>
                <c:pt idx="27">
                  <c:v>154.10038224123426</c:v>
                </c:pt>
                <c:pt idx="28">
                  <c:v>153.35928111464202</c:v>
                </c:pt>
                <c:pt idx="29">
                  <c:v>152.61817998804977</c:v>
                </c:pt>
                <c:pt idx="30">
                  <c:v>151.87707886145753</c:v>
                </c:pt>
                <c:pt idx="31">
                  <c:v>151.13597773486529</c:v>
                </c:pt>
                <c:pt idx="32">
                  <c:v>150.39487660827305</c:v>
                </c:pt>
                <c:pt idx="33">
                  <c:v>149.65377548168081</c:v>
                </c:pt>
                <c:pt idx="34">
                  <c:v>148.91267435508857</c:v>
                </c:pt>
                <c:pt idx="35">
                  <c:v>148.17157322849633</c:v>
                </c:pt>
                <c:pt idx="36">
                  <c:v>147.43047210190409</c:v>
                </c:pt>
                <c:pt idx="37">
                  <c:v>146.68937097531185</c:v>
                </c:pt>
                <c:pt idx="38">
                  <c:v>145.9482698487196</c:v>
                </c:pt>
                <c:pt idx="39">
                  <c:v>145.20716872212736</c:v>
                </c:pt>
                <c:pt idx="40">
                  <c:v>144.46606759553512</c:v>
                </c:pt>
                <c:pt idx="41">
                  <c:v>143.72496646894288</c:v>
                </c:pt>
                <c:pt idx="42">
                  <c:v>142.98386534235064</c:v>
                </c:pt>
                <c:pt idx="43">
                  <c:v>142.2427642157584</c:v>
                </c:pt>
                <c:pt idx="44">
                  <c:v>141.50166308916616</c:v>
                </c:pt>
                <c:pt idx="45">
                  <c:v>140.76056196257392</c:v>
                </c:pt>
                <c:pt idx="46">
                  <c:v>140.01946083598168</c:v>
                </c:pt>
                <c:pt idx="47">
                  <c:v>139.27835970938943</c:v>
                </c:pt>
                <c:pt idx="48">
                  <c:v>138.53725858279719</c:v>
                </c:pt>
                <c:pt idx="49">
                  <c:v>137.79615745620495</c:v>
                </c:pt>
                <c:pt idx="50">
                  <c:v>137.05505632961271</c:v>
                </c:pt>
                <c:pt idx="51">
                  <c:v>136.31395520302047</c:v>
                </c:pt>
                <c:pt idx="52">
                  <c:v>135.57285407642823</c:v>
                </c:pt>
                <c:pt idx="53">
                  <c:v>134.83175294983599</c:v>
                </c:pt>
                <c:pt idx="54">
                  <c:v>134.09065182324375</c:v>
                </c:pt>
                <c:pt idx="55">
                  <c:v>133.34955069665151</c:v>
                </c:pt>
                <c:pt idx="56">
                  <c:v>132.60844957005926</c:v>
                </c:pt>
                <c:pt idx="57">
                  <c:v>131.86734844346702</c:v>
                </c:pt>
                <c:pt idx="58">
                  <c:v>131.12624731687478</c:v>
                </c:pt>
                <c:pt idx="59">
                  <c:v>130.38514619028254</c:v>
                </c:pt>
                <c:pt idx="60">
                  <c:v>129.6440450636903</c:v>
                </c:pt>
                <c:pt idx="61">
                  <c:v>128.90294393709806</c:v>
                </c:pt>
                <c:pt idx="62">
                  <c:v>128.16184281050582</c:v>
                </c:pt>
                <c:pt idx="63">
                  <c:v>127.42074168391358</c:v>
                </c:pt>
                <c:pt idx="64">
                  <c:v>126.67964055732133</c:v>
                </c:pt>
                <c:pt idx="65">
                  <c:v>125.93853943072909</c:v>
                </c:pt>
                <c:pt idx="66">
                  <c:v>125.19743830413685</c:v>
                </c:pt>
                <c:pt idx="67">
                  <c:v>124.45633717754461</c:v>
                </c:pt>
                <c:pt idx="68">
                  <c:v>123.71523605095237</c:v>
                </c:pt>
                <c:pt idx="69">
                  <c:v>122.97413492436013</c:v>
                </c:pt>
                <c:pt idx="70">
                  <c:v>122.23303379776789</c:v>
                </c:pt>
                <c:pt idx="71">
                  <c:v>121.49193267117565</c:v>
                </c:pt>
                <c:pt idx="72">
                  <c:v>120.75083154458341</c:v>
                </c:pt>
                <c:pt idx="73">
                  <c:v>120.00973041799116</c:v>
                </c:pt>
                <c:pt idx="74">
                  <c:v>119.26862929139892</c:v>
                </c:pt>
                <c:pt idx="75">
                  <c:v>118.52752816480668</c:v>
                </c:pt>
                <c:pt idx="76">
                  <c:v>117.78642703821444</c:v>
                </c:pt>
                <c:pt idx="77">
                  <c:v>117.0453259116222</c:v>
                </c:pt>
                <c:pt idx="78">
                  <c:v>116.30422478502996</c:v>
                </c:pt>
                <c:pt idx="79">
                  <c:v>115.56312365843772</c:v>
                </c:pt>
                <c:pt idx="80">
                  <c:v>114.82202253184548</c:v>
                </c:pt>
                <c:pt idx="81">
                  <c:v>114.08092140525324</c:v>
                </c:pt>
                <c:pt idx="82">
                  <c:v>113.33982027866099</c:v>
                </c:pt>
                <c:pt idx="83">
                  <c:v>112.59871915206875</c:v>
                </c:pt>
                <c:pt idx="84">
                  <c:v>111.85761802547651</c:v>
                </c:pt>
                <c:pt idx="85">
                  <c:v>111.11651689888427</c:v>
                </c:pt>
                <c:pt idx="86">
                  <c:v>110.37541577229203</c:v>
                </c:pt>
                <c:pt idx="87">
                  <c:v>109.63431464569979</c:v>
                </c:pt>
                <c:pt idx="88">
                  <c:v>108.89321351910755</c:v>
                </c:pt>
                <c:pt idx="89">
                  <c:v>108.15211239251531</c:v>
                </c:pt>
                <c:pt idx="90">
                  <c:v>107.41101126592307</c:v>
                </c:pt>
                <c:pt idx="91">
                  <c:v>106.66991013933082</c:v>
                </c:pt>
                <c:pt idx="92">
                  <c:v>105.92880901273858</c:v>
                </c:pt>
                <c:pt idx="93">
                  <c:v>105.18770788614634</c:v>
                </c:pt>
                <c:pt idx="94">
                  <c:v>104.4466067595541</c:v>
                </c:pt>
                <c:pt idx="95">
                  <c:v>103.70550563296186</c:v>
                </c:pt>
                <c:pt idx="96">
                  <c:v>102.96440450636962</c:v>
                </c:pt>
                <c:pt idx="97">
                  <c:v>102.22330337977738</c:v>
                </c:pt>
                <c:pt idx="98">
                  <c:v>101.48220225318514</c:v>
                </c:pt>
                <c:pt idx="99">
                  <c:v>100.74110112659289</c:v>
                </c:pt>
                <c:pt idx="100">
                  <c:v>100.00000000000065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6A-4CB3-8061-9209DAFEB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936032"/>
        <c:axId val="983936360"/>
      </c:scatterChart>
      <c:valAx>
        <c:axId val="983936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Entropy,s(kJ/kg-K)</a:t>
                </a:r>
                <a:endParaRPr lang="en-IN" sz="10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3936360"/>
        <c:crosses val="autoZero"/>
        <c:crossBetween val="midCat"/>
      </c:valAx>
      <c:valAx>
        <c:axId val="983936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Temperature,T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3936032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445435074117358"/>
          <c:y val="1.1923513462306889E-2"/>
          <c:w val="0.16365783899832489"/>
          <c:h val="0.433923172273209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99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6" fmlaLink="$D$6" horiz="1" max="10" page="10" val="4"/>
</file>

<file path=xl/ctrlProps/ctrlProp2.xml><?xml version="1.0" encoding="utf-8"?>
<formControlPr xmlns="http://schemas.microsoft.com/office/spreadsheetml/2009/9/main" objectType="Scroll" dx="26" fmlaLink="$D$7" horiz="1" inc="100" max="10000" page="10" val="1000"/>
</file>

<file path=xl/ctrlProps/ctrlProp3.xml><?xml version="1.0" encoding="utf-8"?>
<formControlPr xmlns="http://schemas.microsoft.com/office/spreadsheetml/2009/9/main" objectType="Scroll" dx="26" fmlaLink="$D$8" horiz="1" inc="100" max="10000" page="10" val="100"/>
</file>

<file path=xl/ctrlProps/ctrlProp4.xml><?xml version="1.0" encoding="utf-8"?>
<formControlPr xmlns="http://schemas.microsoft.com/office/spreadsheetml/2009/9/main" objectType="Scroll" dx="26" fmlaLink="$D$9" horiz="1" max="20" page="10" val="7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15240</xdr:rowOff>
    </xdr:from>
    <xdr:to>
      <xdr:col>4</xdr:col>
      <xdr:colOff>22860</xdr:colOff>
      <xdr:row>9</xdr:row>
      <xdr:rowOff>22860</xdr:rowOff>
    </xdr:to>
    <xdr:sp macro="" textlink="">
      <xdr:nvSpPr>
        <xdr:cNvPr id="3" name="Rectangle 1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609600" y="1059180"/>
          <a:ext cx="2110740" cy="792480"/>
        </a:xfrm>
        <a:prstGeom prst="rect">
          <a:avLst/>
        </a:prstGeom>
        <a:noFill/>
        <a:ln w="28575">
          <a:solidFill>
            <a:srgbClr val="CC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</xdr:col>
      <xdr:colOff>274320</xdr:colOff>
      <xdr:row>2</xdr:row>
      <xdr:rowOff>134983</xdr:rowOff>
    </xdr:from>
    <xdr:to>
      <xdr:col>3</xdr:col>
      <xdr:colOff>337522</xdr:colOff>
      <xdr:row>4</xdr:row>
      <xdr:rowOff>80923</xdr:rowOff>
    </xdr:to>
    <xdr:sp macro="" textlink="">
      <xdr:nvSpPr>
        <xdr:cNvPr id="5" name="Text Box 2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883920" y="635726"/>
          <a:ext cx="1630745" cy="316054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INPUTS</a:t>
          </a:r>
          <a:endParaRPr lang="en-US" sz="11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144780</xdr:colOff>
      <xdr:row>16</xdr:row>
      <xdr:rowOff>91440</xdr:rowOff>
    </xdr:from>
    <xdr:to>
      <xdr:col>13</xdr:col>
      <xdr:colOff>502920</xdr:colOff>
      <xdr:row>18</xdr:row>
      <xdr:rowOff>106680</xdr:rowOff>
    </xdr:to>
    <xdr:sp macro="" textlink="">
      <xdr:nvSpPr>
        <xdr:cNvPr id="176" name="Rectangle 107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>
          <a:spLocks noChangeArrowheads="1"/>
        </xdr:cNvSpPr>
      </xdr:nvSpPr>
      <xdr:spPr bwMode="auto">
        <a:xfrm>
          <a:off x="8473440" y="3192780"/>
          <a:ext cx="358140" cy="411480"/>
        </a:xfrm>
        <a:prstGeom prst="rect">
          <a:avLst/>
        </a:prstGeom>
        <a:solidFill>
          <a:srgbClr val="CCEC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152400</xdr:colOff>
      <xdr:row>20</xdr:row>
      <xdr:rowOff>0</xdr:rowOff>
    </xdr:from>
    <xdr:to>
      <xdr:col>13</xdr:col>
      <xdr:colOff>510540</xdr:colOff>
      <xdr:row>20</xdr:row>
      <xdr:rowOff>243840</xdr:rowOff>
    </xdr:to>
    <xdr:sp macro="" textlink="">
      <xdr:nvSpPr>
        <xdr:cNvPr id="177" name="Rectangle 108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>
          <a:spLocks noChangeArrowheads="1"/>
        </xdr:cNvSpPr>
      </xdr:nvSpPr>
      <xdr:spPr bwMode="auto">
        <a:xfrm>
          <a:off x="8479971" y="4136571"/>
          <a:ext cx="358140" cy="243840"/>
        </a:xfrm>
        <a:prstGeom prst="rect">
          <a:avLst/>
        </a:prstGeom>
        <a:noFill/>
        <a:ln w="7620" cap="rnd">
          <a:solidFill>
            <a:srgbClr val="000000"/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144780</xdr:colOff>
      <xdr:row>16</xdr:row>
      <xdr:rowOff>76200</xdr:rowOff>
    </xdr:from>
    <xdr:to>
      <xdr:col>13</xdr:col>
      <xdr:colOff>502920</xdr:colOff>
      <xdr:row>18</xdr:row>
      <xdr:rowOff>106680</xdr:rowOff>
    </xdr:to>
    <xdr:sp macro="" textlink="">
      <xdr:nvSpPr>
        <xdr:cNvPr id="186" name="Rectangle 108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>
          <a:spLocks noChangeArrowheads="1"/>
        </xdr:cNvSpPr>
      </xdr:nvSpPr>
      <xdr:spPr bwMode="auto">
        <a:xfrm>
          <a:off x="8473440" y="3177540"/>
          <a:ext cx="358140" cy="426720"/>
        </a:xfrm>
        <a:prstGeom prst="rect">
          <a:avLst/>
        </a:prstGeom>
        <a:noFill/>
        <a:ln w="7620" cap="rnd">
          <a:solidFill>
            <a:srgbClr val="000000"/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144780</xdr:colOff>
      <xdr:row>18</xdr:row>
      <xdr:rowOff>106680</xdr:rowOff>
    </xdr:from>
    <xdr:to>
      <xdr:col>13</xdr:col>
      <xdr:colOff>502920</xdr:colOff>
      <xdr:row>18</xdr:row>
      <xdr:rowOff>281940</xdr:rowOff>
    </xdr:to>
    <xdr:sp macro="" textlink="">
      <xdr:nvSpPr>
        <xdr:cNvPr id="187" name="Rectangle 82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>
          <a:spLocks noChangeArrowheads="1"/>
        </xdr:cNvSpPr>
      </xdr:nvSpPr>
      <xdr:spPr bwMode="auto">
        <a:xfrm>
          <a:off x="8473440" y="3604260"/>
          <a:ext cx="358140" cy="175260"/>
        </a:xfrm>
        <a:prstGeom prst="rect">
          <a:avLst/>
        </a:prstGeom>
        <a:noFill/>
        <a:ln w="7620" cap="rnd">
          <a:solidFill>
            <a:srgbClr val="000000"/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144780</xdr:colOff>
      <xdr:row>18</xdr:row>
      <xdr:rowOff>114300</xdr:rowOff>
    </xdr:from>
    <xdr:to>
      <xdr:col>13</xdr:col>
      <xdr:colOff>510540</xdr:colOff>
      <xdr:row>18</xdr:row>
      <xdr:rowOff>281940</xdr:rowOff>
    </xdr:to>
    <xdr:sp macro="" textlink="">
      <xdr:nvSpPr>
        <xdr:cNvPr id="188" name="Rectangle 8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>
          <a:spLocks noChangeArrowheads="1"/>
        </xdr:cNvSpPr>
      </xdr:nvSpPr>
      <xdr:spPr bwMode="auto">
        <a:xfrm>
          <a:off x="8472351" y="3652157"/>
          <a:ext cx="365760" cy="16764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144780</xdr:colOff>
      <xdr:row>18</xdr:row>
      <xdr:rowOff>114300</xdr:rowOff>
    </xdr:from>
    <xdr:to>
      <xdr:col>13</xdr:col>
      <xdr:colOff>502920</xdr:colOff>
      <xdr:row>18</xdr:row>
      <xdr:rowOff>289560</xdr:rowOff>
    </xdr:to>
    <xdr:sp macro="" textlink="">
      <xdr:nvSpPr>
        <xdr:cNvPr id="189" name="Rectangle 82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>
          <a:spLocks noChangeArrowheads="1"/>
        </xdr:cNvSpPr>
      </xdr:nvSpPr>
      <xdr:spPr bwMode="auto">
        <a:xfrm>
          <a:off x="8473440" y="3611880"/>
          <a:ext cx="358140" cy="175260"/>
        </a:xfrm>
        <a:prstGeom prst="rect">
          <a:avLst/>
        </a:prstGeom>
        <a:noFill/>
        <a:ln w="7620" cap="rnd">
          <a:solidFill>
            <a:srgbClr val="000000"/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144780</xdr:colOff>
      <xdr:row>16</xdr:row>
      <xdr:rowOff>76200</xdr:rowOff>
    </xdr:from>
    <xdr:to>
      <xdr:col>13</xdr:col>
      <xdr:colOff>144780</xdr:colOff>
      <xdr:row>19</xdr:row>
      <xdr:rowOff>15240</xdr:rowOff>
    </xdr:to>
    <xdr:sp macro="" textlink="">
      <xdr:nvSpPr>
        <xdr:cNvPr id="190" name="Line 136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8473440" y="3177540"/>
          <a:ext cx="0" cy="74676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502920</xdr:colOff>
      <xdr:row>16</xdr:row>
      <xdr:rowOff>68580</xdr:rowOff>
    </xdr:from>
    <xdr:to>
      <xdr:col>13</xdr:col>
      <xdr:colOff>502920</xdr:colOff>
      <xdr:row>19</xdr:row>
      <xdr:rowOff>7620</xdr:rowOff>
    </xdr:to>
    <xdr:sp macro="" textlink="">
      <xdr:nvSpPr>
        <xdr:cNvPr id="191" name="Line 80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>
          <a:spLocks noChangeShapeType="1"/>
        </xdr:cNvSpPr>
      </xdr:nvSpPr>
      <xdr:spPr bwMode="auto">
        <a:xfrm>
          <a:off x="8831580" y="3169920"/>
          <a:ext cx="0" cy="74676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144780</xdr:colOff>
      <xdr:row>16</xdr:row>
      <xdr:rowOff>83820</xdr:rowOff>
    </xdr:from>
    <xdr:to>
      <xdr:col>13</xdr:col>
      <xdr:colOff>502920</xdr:colOff>
      <xdr:row>16</xdr:row>
      <xdr:rowOff>83820</xdr:rowOff>
    </xdr:to>
    <xdr:sp macro="" textlink="">
      <xdr:nvSpPr>
        <xdr:cNvPr id="192" name="Line 7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>
          <a:spLocks noChangeShapeType="1"/>
        </xdr:cNvSpPr>
      </xdr:nvSpPr>
      <xdr:spPr bwMode="auto">
        <a:xfrm>
          <a:off x="8473440" y="3185160"/>
          <a:ext cx="358140" cy="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281940</xdr:colOff>
      <xdr:row>18</xdr:row>
      <xdr:rowOff>403860</xdr:rowOff>
    </xdr:from>
    <xdr:to>
      <xdr:col>13</xdr:col>
      <xdr:colOff>350520</xdr:colOff>
      <xdr:row>19</xdr:row>
      <xdr:rowOff>137160</xdr:rowOff>
    </xdr:to>
    <xdr:sp macro="" textlink="">
      <xdr:nvSpPr>
        <xdr:cNvPr id="193" name="Rectangle 119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>
          <a:spLocks noChangeArrowheads="1"/>
        </xdr:cNvSpPr>
      </xdr:nvSpPr>
      <xdr:spPr bwMode="auto">
        <a:xfrm>
          <a:off x="8610600" y="3901440"/>
          <a:ext cx="6858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</a:t>
          </a:r>
        </a:p>
      </xdr:txBody>
    </xdr:sp>
    <xdr:clientData/>
  </xdr:twoCellAnchor>
  <xdr:twoCellAnchor>
    <xdr:from>
      <xdr:col>13</xdr:col>
      <xdr:colOff>160020</xdr:colOff>
      <xdr:row>20</xdr:row>
      <xdr:rowOff>7620</xdr:rowOff>
    </xdr:from>
    <xdr:to>
      <xdr:col>13</xdr:col>
      <xdr:colOff>518160</xdr:colOff>
      <xdr:row>20</xdr:row>
      <xdr:rowOff>129540</xdr:rowOff>
    </xdr:to>
    <xdr:sp macro="" textlink="">
      <xdr:nvSpPr>
        <xdr:cNvPr id="195" name="Rectangle 107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>
          <a:spLocks noChangeArrowheads="1"/>
        </xdr:cNvSpPr>
      </xdr:nvSpPr>
      <xdr:spPr bwMode="auto">
        <a:xfrm>
          <a:off x="8488680" y="4099560"/>
          <a:ext cx="358140" cy="121920"/>
        </a:xfrm>
        <a:prstGeom prst="rect">
          <a:avLst/>
        </a:prstGeom>
        <a:solidFill>
          <a:schemeClr val="accent1"/>
        </a:solidFill>
        <a:ln>
          <a:noFill/>
        </a:ln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160020</xdr:colOff>
      <xdr:row>20</xdr:row>
      <xdr:rowOff>121920</xdr:rowOff>
    </xdr:from>
    <xdr:to>
      <xdr:col>13</xdr:col>
      <xdr:colOff>518160</xdr:colOff>
      <xdr:row>20</xdr:row>
      <xdr:rowOff>243840</xdr:rowOff>
    </xdr:to>
    <xdr:sp macro="" textlink="">
      <xdr:nvSpPr>
        <xdr:cNvPr id="196" name="Rectangle 82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>
          <a:spLocks noChangeArrowheads="1"/>
        </xdr:cNvSpPr>
      </xdr:nvSpPr>
      <xdr:spPr bwMode="auto">
        <a:xfrm>
          <a:off x="8488680" y="4213860"/>
          <a:ext cx="358140" cy="121920"/>
        </a:xfrm>
        <a:prstGeom prst="rect">
          <a:avLst/>
        </a:prstGeom>
        <a:noFill/>
        <a:ln w="7620" cap="rnd">
          <a:solidFill>
            <a:srgbClr val="000000"/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160020</xdr:colOff>
      <xdr:row>20</xdr:row>
      <xdr:rowOff>7620</xdr:rowOff>
    </xdr:from>
    <xdr:to>
      <xdr:col>13</xdr:col>
      <xdr:colOff>160020</xdr:colOff>
      <xdr:row>20</xdr:row>
      <xdr:rowOff>449580</xdr:rowOff>
    </xdr:to>
    <xdr:sp macro="" textlink="">
      <xdr:nvSpPr>
        <xdr:cNvPr id="197" name="Line 136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>
          <a:spLocks noChangeShapeType="1"/>
        </xdr:cNvSpPr>
      </xdr:nvSpPr>
      <xdr:spPr bwMode="auto">
        <a:xfrm flipV="1">
          <a:off x="8488680" y="4099560"/>
          <a:ext cx="0" cy="44196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518160</xdr:colOff>
      <xdr:row>20</xdr:row>
      <xdr:rowOff>7620</xdr:rowOff>
    </xdr:from>
    <xdr:to>
      <xdr:col>13</xdr:col>
      <xdr:colOff>525780</xdr:colOff>
      <xdr:row>20</xdr:row>
      <xdr:rowOff>441960</xdr:rowOff>
    </xdr:to>
    <xdr:sp macro="" textlink="">
      <xdr:nvSpPr>
        <xdr:cNvPr id="198" name="Line 136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>
          <a:spLocks noChangeShapeType="1"/>
        </xdr:cNvSpPr>
      </xdr:nvSpPr>
      <xdr:spPr bwMode="auto">
        <a:xfrm flipH="1" flipV="1">
          <a:off x="8846820" y="4099560"/>
          <a:ext cx="7620" cy="43434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167640</xdr:colOff>
      <xdr:row>20</xdr:row>
      <xdr:rowOff>121920</xdr:rowOff>
    </xdr:from>
    <xdr:to>
      <xdr:col>13</xdr:col>
      <xdr:colOff>525780</xdr:colOff>
      <xdr:row>20</xdr:row>
      <xdr:rowOff>243840</xdr:rowOff>
    </xdr:to>
    <xdr:sp macro="" textlink="">
      <xdr:nvSpPr>
        <xdr:cNvPr id="199" name="Rectangle 8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>
          <a:spLocks noChangeArrowheads="1"/>
        </xdr:cNvSpPr>
      </xdr:nvSpPr>
      <xdr:spPr bwMode="auto">
        <a:xfrm>
          <a:off x="8496300" y="4213860"/>
          <a:ext cx="358140" cy="12192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304800</xdr:colOff>
      <xdr:row>20</xdr:row>
      <xdr:rowOff>350520</xdr:rowOff>
    </xdr:from>
    <xdr:to>
      <xdr:col>13</xdr:col>
      <xdr:colOff>373380</xdr:colOff>
      <xdr:row>21</xdr:row>
      <xdr:rowOff>15240</xdr:rowOff>
    </xdr:to>
    <xdr:sp macro="" textlink="">
      <xdr:nvSpPr>
        <xdr:cNvPr id="200" name="Rectangle 119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>
          <a:spLocks noChangeArrowheads="1"/>
        </xdr:cNvSpPr>
      </xdr:nvSpPr>
      <xdr:spPr bwMode="auto">
        <a:xfrm>
          <a:off x="8633460" y="4442460"/>
          <a:ext cx="6858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</a:t>
          </a:r>
        </a:p>
      </xdr:txBody>
    </xdr:sp>
    <xdr:clientData/>
  </xdr:twoCellAnchor>
  <xdr:twoCellAnchor>
    <xdr:from>
      <xdr:col>13</xdr:col>
      <xdr:colOff>167640</xdr:colOff>
      <xdr:row>22</xdr:row>
      <xdr:rowOff>137160</xdr:rowOff>
    </xdr:from>
    <xdr:to>
      <xdr:col>13</xdr:col>
      <xdr:colOff>525780</xdr:colOff>
      <xdr:row>22</xdr:row>
      <xdr:rowOff>259080</xdr:rowOff>
    </xdr:to>
    <xdr:sp macro="" textlink="">
      <xdr:nvSpPr>
        <xdr:cNvPr id="201" name="Rectangle 82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>
          <a:spLocks noChangeArrowheads="1"/>
        </xdr:cNvSpPr>
      </xdr:nvSpPr>
      <xdr:spPr bwMode="auto">
        <a:xfrm>
          <a:off x="8496300" y="4892040"/>
          <a:ext cx="358140" cy="121920"/>
        </a:xfrm>
        <a:prstGeom prst="rect">
          <a:avLst/>
        </a:prstGeom>
        <a:noFill/>
        <a:ln w="7620" cap="rnd">
          <a:solidFill>
            <a:srgbClr val="000000"/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167640</xdr:colOff>
      <xdr:row>22</xdr:row>
      <xdr:rowOff>22860</xdr:rowOff>
    </xdr:from>
    <xdr:to>
      <xdr:col>13</xdr:col>
      <xdr:colOff>525780</xdr:colOff>
      <xdr:row>22</xdr:row>
      <xdr:rowOff>144780</xdr:rowOff>
    </xdr:to>
    <xdr:sp macro="" textlink="">
      <xdr:nvSpPr>
        <xdr:cNvPr id="202" name="Rectangle 107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>
          <a:spLocks noChangeArrowheads="1"/>
        </xdr:cNvSpPr>
      </xdr:nvSpPr>
      <xdr:spPr bwMode="auto">
        <a:xfrm>
          <a:off x="8496300" y="4777740"/>
          <a:ext cx="358140" cy="121920"/>
        </a:xfrm>
        <a:prstGeom prst="rect">
          <a:avLst/>
        </a:prstGeom>
        <a:solidFill>
          <a:srgbClr val="FFC000"/>
        </a:solidFill>
        <a:ln>
          <a:noFill/>
        </a:ln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167640</xdr:colOff>
      <xdr:row>22</xdr:row>
      <xdr:rowOff>144780</xdr:rowOff>
    </xdr:from>
    <xdr:to>
      <xdr:col>13</xdr:col>
      <xdr:colOff>525780</xdr:colOff>
      <xdr:row>22</xdr:row>
      <xdr:rowOff>266700</xdr:rowOff>
    </xdr:to>
    <xdr:sp macro="" textlink="">
      <xdr:nvSpPr>
        <xdr:cNvPr id="203" name="Rectangle 8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>
          <a:spLocks noChangeArrowheads="1"/>
        </xdr:cNvSpPr>
      </xdr:nvSpPr>
      <xdr:spPr bwMode="auto">
        <a:xfrm>
          <a:off x="8496300" y="4899660"/>
          <a:ext cx="358140" cy="12192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507275</xdr:colOff>
      <xdr:row>22</xdr:row>
      <xdr:rowOff>38100</xdr:rowOff>
    </xdr:from>
    <xdr:to>
      <xdr:col>13</xdr:col>
      <xdr:colOff>514895</xdr:colOff>
      <xdr:row>22</xdr:row>
      <xdr:rowOff>495300</xdr:rowOff>
    </xdr:to>
    <xdr:sp macro="" textlink="">
      <xdr:nvSpPr>
        <xdr:cNvPr id="204" name="Line 136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>
          <a:spLocks noChangeShapeType="1"/>
        </xdr:cNvSpPr>
      </xdr:nvSpPr>
      <xdr:spPr bwMode="auto">
        <a:xfrm flipV="1">
          <a:off x="8921932" y="4838700"/>
          <a:ext cx="7620" cy="45720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167640</xdr:colOff>
      <xdr:row>22</xdr:row>
      <xdr:rowOff>30480</xdr:rowOff>
    </xdr:from>
    <xdr:to>
      <xdr:col>13</xdr:col>
      <xdr:colOff>167640</xdr:colOff>
      <xdr:row>22</xdr:row>
      <xdr:rowOff>472440</xdr:rowOff>
    </xdr:to>
    <xdr:sp macro="" textlink="">
      <xdr:nvSpPr>
        <xdr:cNvPr id="205" name="Line 136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>
          <a:spLocks noChangeShapeType="1"/>
        </xdr:cNvSpPr>
      </xdr:nvSpPr>
      <xdr:spPr bwMode="auto">
        <a:xfrm flipV="1">
          <a:off x="8496300" y="4785360"/>
          <a:ext cx="0" cy="44196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167640</xdr:colOff>
      <xdr:row>22</xdr:row>
      <xdr:rowOff>38100</xdr:rowOff>
    </xdr:from>
    <xdr:to>
      <xdr:col>13</xdr:col>
      <xdr:colOff>525780</xdr:colOff>
      <xdr:row>22</xdr:row>
      <xdr:rowOff>38100</xdr:rowOff>
    </xdr:to>
    <xdr:sp macro="" textlink="">
      <xdr:nvSpPr>
        <xdr:cNvPr id="206" name="Line 79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>
          <a:spLocks noChangeShapeType="1"/>
        </xdr:cNvSpPr>
      </xdr:nvSpPr>
      <xdr:spPr bwMode="auto">
        <a:xfrm>
          <a:off x="8495211" y="4838700"/>
          <a:ext cx="358140" cy="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167640</xdr:colOff>
      <xdr:row>23</xdr:row>
      <xdr:rowOff>175260</xdr:rowOff>
    </xdr:from>
    <xdr:to>
      <xdr:col>13</xdr:col>
      <xdr:colOff>525780</xdr:colOff>
      <xdr:row>24</xdr:row>
      <xdr:rowOff>487680</xdr:rowOff>
    </xdr:to>
    <xdr:sp macro="" textlink="">
      <xdr:nvSpPr>
        <xdr:cNvPr id="207" name="Rectangle 108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>
          <a:spLocks noChangeArrowheads="1"/>
        </xdr:cNvSpPr>
      </xdr:nvSpPr>
      <xdr:spPr bwMode="auto">
        <a:xfrm>
          <a:off x="8496300" y="5440680"/>
          <a:ext cx="358140" cy="495300"/>
        </a:xfrm>
        <a:prstGeom prst="rect">
          <a:avLst/>
        </a:prstGeom>
        <a:noFill/>
        <a:ln w="7620" cap="rnd">
          <a:solidFill>
            <a:srgbClr val="000000"/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167640</xdr:colOff>
      <xdr:row>24</xdr:row>
      <xdr:rowOff>495300</xdr:rowOff>
    </xdr:from>
    <xdr:to>
      <xdr:col>13</xdr:col>
      <xdr:colOff>525780</xdr:colOff>
      <xdr:row>25</xdr:row>
      <xdr:rowOff>68580</xdr:rowOff>
    </xdr:to>
    <xdr:sp macro="" textlink="">
      <xdr:nvSpPr>
        <xdr:cNvPr id="208" name="Rectangle 82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>
          <a:spLocks noChangeArrowheads="1"/>
        </xdr:cNvSpPr>
      </xdr:nvSpPr>
      <xdr:spPr bwMode="auto">
        <a:xfrm>
          <a:off x="8496300" y="5943600"/>
          <a:ext cx="358140" cy="121920"/>
        </a:xfrm>
        <a:prstGeom prst="rect">
          <a:avLst/>
        </a:prstGeom>
        <a:noFill/>
        <a:ln w="7620" cap="rnd">
          <a:solidFill>
            <a:srgbClr val="000000"/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167640</xdr:colOff>
      <xdr:row>24</xdr:row>
      <xdr:rowOff>502920</xdr:rowOff>
    </xdr:from>
    <xdr:to>
      <xdr:col>13</xdr:col>
      <xdr:colOff>525780</xdr:colOff>
      <xdr:row>25</xdr:row>
      <xdr:rowOff>76200</xdr:rowOff>
    </xdr:to>
    <xdr:sp macro="" textlink="">
      <xdr:nvSpPr>
        <xdr:cNvPr id="209" name="Rectangle 8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>
          <a:spLocks noChangeArrowheads="1"/>
        </xdr:cNvSpPr>
      </xdr:nvSpPr>
      <xdr:spPr bwMode="auto">
        <a:xfrm>
          <a:off x="8496300" y="5951220"/>
          <a:ext cx="358140" cy="12192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175260</xdr:colOff>
      <xdr:row>24</xdr:row>
      <xdr:rowOff>0</xdr:rowOff>
    </xdr:from>
    <xdr:to>
      <xdr:col>13</xdr:col>
      <xdr:colOff>533400</xdr:colOff>
      <xdr:row>24</xdr:row>
      <xdr:rowOff>495300</xdr:rowOff>
    </xdr:to>
    <xdr:sp macro="" textlink="">
      <xdr:nvSpPr>
        <xdr:cNvPr id="210" name="Rectangle 107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>
          <a:spLocks noChangeArrowheads="1"/>
        </xdr:cNvSpPr>
      </xdr:nvSpPr>
      <xdr:spPr bwMode="auto">
        <a:xfrm>
          <a:off x="8503920" y="5448300"/>
          <a:ext cx="358140" cy="495300"/>
        </a:xfrm>
        <a:prstGeom prst="rect">
          <a:avLst/>
        </a:prstGeom>
        <a:solidFill>
          <a:srgbClr val="C00000"/>
        </a:solidFill>
        <a:ln>
          <a:noFill/>
        </a:ln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533400</xdr:colOff>
      <xdr:row>24</xdr:row>
      <xdr:rowOff>0</xdr:rowOff>
    </xdr:from>
    <xdr:to>
      <xdr:col>13</xdr:col>
      <xdr:colOff>533400</xdr:colOff>
      <xdr:row>25</xdr:row>
      <xdr:rowOff>137160</xdr:rowOff>
    </xdr:to>
    <xdr:sp macro="" textlink="">
      <xdr:nvSpPr>
        <xdr:cNvPr id="211" name="Line 136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>
          <a:spLocks noChangeShapeType="1"/>
        </xdr:cNvSpPr>
      </xdr:nvSpPr>
      <xdr:spPr bwMode="auto">
        <a:xfrm flipV="1">
          <a:off x="8862060" y="5448300"/>
          <a:ext cx="0" cy="68580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175260</xdr:colOff>
      <xdr:row>23</xdr:row>
      <xdr:rowOff>167640</xdr:rowOff>
    </xdr:from>
    <xdr:to>
      <xdr:col>13</xdr:col>
      <xdr:colOff>175260</xdr:colOff>
      <xdr:row>25</xdr:row>
      <xdr:rowOff>121920</xdr:rowOff>
    </xdr:to>
    <xdr:sp macro="" textlink="">
      <xdr:nvSpPr>
        <xdr:cNvPr id="212" name="Line 80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>
          <a:spLocks noChangeShapeType="1"/>
        </xdr:cNvSpPr>
      </xdr:nvSpPr>
      <xdr:spPr bwMode="auto">
        <a:xfrm>
          <a:off x="8503920" y="5433060"/>
          <a:ext cx="0" cy="68580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167640</xdr:colOff>
      <xdr:row>23</xdr:row>
      <xdr:rowOff>175260</xdr:rowOff>
    </xdr:from>
    <xdr:to>
      <xdr:col>13</xdr:col>
      <xdr:colOff>525780</xdr:colOff>
      <xdr:row>23</xdr:row>
      <xdr:rowOff>175260</xdr:rowOff>
    </xdr:to>
    <xdr:sp macro="" textlink="">
      <xdr:nvSpPr>
        <xdr:cNvPr id="213" name="Line 79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>
          <a:spLocks noChangeShapeType="1"/>
        </xdr:cNvSpPr>
      </xdr:nvSpPr>
      <xdr:spPr bwMode="auto">
        <a:xfrm>
          <a:off x="8496300" y="5440680"/>
          <a:ext cx="358140" cy="0"/>
        </a:xfrm>
        <a:prstGeom prst="line">
          <a:avLst/>
        </a:prstGeom>
        <a:noFill/>
        <a:ln w="15240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13</xdr:col>
      <xdr:colOff>297180</xdr:colOff>
      <xdr:row>22</xdr:row>
      <xdr:rowOff>358140</xdr:rowOff>
    </xdr:from>
    <xdr:to>
      <xdr:col>13</xdr:col>
      <xdr:colOff>365760</xdr:colOff>
      <xdr:row>22</xdr:row>
      <xdr:rowOff>502920</xdr:rowOff>
    </xdr:to>
    <xdr:sp macro="" textlink="">
      <xdr:nvSpPr>
        <xdr:cNvPr id="214" name="Rectangle 119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>
          <a:spLocks noChangeArrowheads="1"/>
        </xdr:cNvSpPr>
      </xdr:nvSpPr>
      <xdr:spPr bwMode="auto">
        <a:xfrm>
          <a:off x="8625840" y="5113020"/>
          <a:ext cx="6858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</a:t>
          </a:r>
        </a:p>
      </xdr:txBody>
    </xdr:sp>
    <xdr:clientData/>
  </xdr:twoCellAnchor>
  <xdr:twoCellAnchor>
    <xdr:from>
      <xdr:col>13</xdr:col>
      <xdr:colOff>312420</xdr:colOff>
      <xdr:row>25</xdr:row>
      <xdr:rowOff>91440</xdr:rowOff>
    </xdr:from>
    <xdr:to>
      <xdr:col>13</xdr:col>
      <xdr:colOff>381000</xdr:colOff>
      <xdr:row>26</xdr:row>
      <xdr:rowOff>45720</xdr:rowOff>
    </xdr:to>
    <xdr:sp macro="" textlink="">
      <xdr:nvSpPr>
        <xdr:cNvPr id="215" name="Rectangle 119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>
          <a:spLocks noChangeArrowheads="1"/>
        </xdr:cNvSpPr>
      </xdr:nvSpPr>
      <xdr:spPr bwMode="auto">
        <a:xfrm>
          <a:off x="8641080" y="6088380"/>
          <a:ext cx="6858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</a:t>
          </a:r>
        </a:p>
      </xdr:txBody>
    </xdr:sp>
    <xdr:clientData/>
  </xdr:twoCellAnchor>
  <xdr:twoCellAnchor>
    <xdr:from>
      <xdr:col>14</xdr:col>
      <xdr:colOff>190500</xdr:colOff>
      <xdr:row>19</xdr:row>
      <xdr:rowOff>0</xdr:rowOff>
    </xdr:from>
    <xdr:to>
      <xdr:col>16</xdr:col>
      <xdr:colOff>525780</xdr:colOff>
      <xdr:row>19</xdr:row>
      <xdr:rowOff>144780</xdr:rowOff>
    </xdr:to>
    <xdr:sp macro="" textlink="">
      <xdr:nvSpPr>
        <xdr:cNvPr id="216" name="Rectangle 126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>
          <a:spLocks noChangeArrowheads="1"/>
        </xdr:cNvSpPr>
      </xdr:nvSpPr>
      <xdr:spPr bwMode="auto">
        <a:xfrm>
          <a:off x="9128760" y="3909060"/>
          <a:ext cx="155448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1-2 isentropic compression </a:t>
          </a:r>
        </a:p>
      </xdr:txBody>
    </xdr:sp>
    <xdr:clientData/>
  </xdr:twoCellAnchor>
  <xdr:twoCellAnchor>
    <xdr:from>
      <xdr:col>14</xdr:col>
      <xdr:colOff>137160</xdr:colOff>
      <xdr:row>21</xdr:row>
      <xdr:rowOff>15240</xdr:rowOff>
    </xdr:from>
    <xdr:to>
      <xdr:col>18</xdr:col>
      <xdr:colOff>502920</xdr:colOff>
      <xdr:row>21</xdr:row>
      <xdr:rowOff>160020</xdr:rowOff>
    </xdr:to>
    <xdr:sp macro="" textlink="">
      <xdr:nvSpPr>
        <xdr:cNvPr id="217" name="Rectangle 129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>
          <a:spLocks noChangeArrowheads="1"/>
        </xdr:cNvSpPr>
      </xdr:nvSpPr>
      <xdr:spPr bwMode="auto">
        <a:xfrm>
          <a:off x="9075420" y="4587240"/>
          <a:ext cx="280416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2-3 constant volume heat addition (combustion)</a:t>
          </a:r>
        </a:p>
      </xdr:txBody>
    </xdr:sp>
    <xdr:clientData/>
  </xdr:twoCellAnchor>
  <xdr:twoCellAnchor>
    <xdr:from>
      <xdr:col>14</xdr:col>
      <xdr:colOff>190500</xdr:colOff>
      <xdr:row>23</xdr:row>
      <xdr:rowOff>15240</xdr:rowOff>
    </xdr:from>
    <xdr:to>
      <xdr:col>18</xdr:col>
      <xdr:colOff>60960</xdr:colOff>
      <xdr:row>23</xdr:row>
      <xdr:rowOff>160020</xdr:rowOff>
    </xdr:to>
    <xdr:sp macro="" textlink="">
      <xdr:nvSpPr>
        <xdr:cNvPr id="218" name="Rectangle 132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>
          <a:spLocks noChangeArrowheads="1"/>
        </xdr:cNvSpPr>
      </xdr:nvSpPr>
      <xdr:spPr bwMode="auto">
        <a:xfrm>
          <a:off x="9128760" y="5280660"/>
          <a:ext cx="230886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en-IN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3-4 isentropic expansion (power stroke)</a:t>
          </a:r>
        </a:p>
      </xdr:txBody>
    </xdr:sp>
    <xdr:clientData/>
  </xdr:twoCellAnchor>
  <xdr:oneCellAnchor>
    <xdr:from>
      <xdr:col>20</xdr:col>
      <xdr:colOff>54429</xdr:colOff>
      <xdr:row>4</xdr:row>
      <xdr:rowOff>54428</xdr:rowOff>
    </xdr:from>
    <xdr:ext cx="3135085" cy="72934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9" name="TextBox 218">
              <a:extLst>
                <a:ext uri="{FF2B5EF4-FFF2-40B4-BE49-F238E27FC236}">
                  <a16:creationId xmlns:a16="http://schemas.microsoft.com/office/drawing/2014/main" id="{00000000-0008-0000-0000-0000DB000000}"/>
                </a:ext>
              </a:extLst>
            </xdr:cNvPr>
            <xdr:cNvSpPr txBox="1"/>
          </xdr:nvSpPr>
          <xdr:spPr>
            <a:xfrm>
              <a:off x="12649200" y="925285"/>
              <a:ext cx="3135085" cy="72934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</a:rPr>
                        <m:t>𝐏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</a:rPr>
                        <m:t>𝟐</m:t>
                      </m:r>
                    </m:sub>
                  </m:sSub>
                  <m:r>
                    <a:rPr lang="en-IN" sz="2000" b="1" i="0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𝐩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</a:t>
              </a:r>
              <a14:m>
                <m:oMath xmlns:m="http://schemas.openxmlformats.org/officeDocument/2006/math">
                  <m:sSup>
                    <m:sSup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p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𝐫</m:t>
                      </m:r>
                    </m:e>
                    <m:sup>
                      <m:r>
                        <a:rPr lang="el-GR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𝛄</m:t>
                      </m:r>
                    </m:sup>
                  </m:sSup>
                </m:oMath>
              </a14:m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𝐓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𝟐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𝐓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b>
                  </m:sSub>
                  <m:sSup>
                    <m:sSup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p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∗</m:t>
                      </m:r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𝐫</m:t>
                      </m:r>
                    </m:e>
                    <m:sup>
                      <m:r>
                        <a:rPr lang="el-GR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𝛄</m:t>
                      </m:r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−</m:t>
                      </m:r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p>
                  </m:sSup>
                </m:oMath>
              </a14:m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𝐩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𝟑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(</m:t>
                      </m:r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𝐓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𝟑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𝐩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𝟐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)/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𝐓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𝟐</m:t>
                      </m:r>
                    </m:sub>
                  </m:sSub>
                </m:oMath>
              </a14:m>
              <a:endParaRPr lang="en-IN" sz="20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𝐓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𝟑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𝐓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𝟐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</a:t>
              </a:r>
              <a14:m>
                <m:oMath xmlns:m="http://schemas.openxmlformats.org/officeDocument/2006/math">
                  <m:sSup>
                    <m:sSupPr>
                      <m:ctrlP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𝐫</m:t>
                      </m:r>
                    </m:e>
                    <m:sup>
                      <m:r>
                        <a:rPr lang="el-GR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𝛄</m:t>
                      </m:r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</m:sup>
                  </m:sSup>
                </m:oMath>
              </a14:m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𝐩</m:t>
                      </m:r>
                    </m:e>
                    <m:sub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𝟒</m:t>
                      </m:r>
                    </m:sub>
                  </m:sSub>
                </m:oMath>
              </a14:m>
              <a:r>
                <a:rPr lang="en-IN" sz="20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r>
                    <a:rPr lang="en-IN" sz="2000" b="1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sSub>
                    <m:sSubPr>
                      <m:ctrlP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𝐓</m:t>
                      </m:r>
                    </m:e>
                    <m:sub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𝟒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*R)/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𝐯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𝟒</m:t>
                      </m:r>
                    </m:sub>
                  </m:sSub>
                </m:oMath>
              </a14:m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𝐓</m:t>
                      </m:r>
                    </m:e>
                    <m:sub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𝟒</m:t>
                      </m:r>
                    </m:sub>
                  </m:sSub>
                </m:oMath>
              </a14:m>
              <a:r>
                <a:rPr lang="en-IN" sz="20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𝐓</m:t>
                      </m:r>
                    </m:e>
                    <m:sub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𝟑</m:t>
                      </m:r>
                    </m:sub>
                  </m:sSub>
                  <m:sSubSup>
                    <m:sSubSupPr>
                      <m:ctrlP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SupPr>
                    <m:e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/</m:t>
                      </m:r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𝐫</m:t>
                      </m:r>
                    </m:e>
                    <m:sub>
                      <m:r>
                        <a:rPr lang="en-IN" sz="20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𝐩</m:t>
                      </m:r>
                    </m:sub>
                    <m:sup>
                      <m:r>
                        <m:rPr>
                          <m:sty m:val="p"/>
                        </m:rPr>
                        <a:rPr lang="el-GR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γ</m:t>
                      </m:r>
                      <m: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</m:sup>
                  </m:sSubSup>
                </m:oMath>
              </a14:m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6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16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𝐯</m:t>
                      </m:r>
                    </m:e>
                    <m:sub>
                      <m:r>
                        <a:rPr lang="en-IN" sz="16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b>
                  </m:sSub>
                </m:oMath>
              </a14:m>
              <a:r>
                <a:rPr lang="en-IN" sz="16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=(R*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16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𝐓</m:t>
                      </m:r>
                    </m:e>
                    <m:sub>
                      <m:r>
                        <a:rPr lang="en-IN" sz="16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b>
                  </m:sSub>
                </m:oMath>
              </a14:m>
              <a:r>
                <a:rPr lang="en-IN" sz="16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)/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6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16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𝐏</m:t>
                      </m:r>
                    </m:e>
                    <m:sub>
                      <m:r>
                        <a:rPr lang="en-IN" sz="16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b>
                  </m:sSub>
                </m:oMath>
              </a14:m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8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18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𝐯</m:t>
                      </m:r>
                    </m:e>
                    <m:sub>
                      <m:r>
                        <a:rPr lang="en-IN" sz="18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𝟐</m:t>
                      </m:r>
                    </m:sub>
                  </m:sSub>
                </m:oMath>
              </a14:m>
              <a:r>
                <a:rPr lang="en-IN" sz="18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8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18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𝐯</m:t>
                      </m:r>
                    </m:e>
                    <m:sub>
                      <m:r>
                        <a:rPr lang="en-IN" sz="18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𝟏</m:t>
                      </m:r>
                    </m:sub>
                  </m:sSub>
                </m:oMath>
              </a14:m>
              <a:r>
                <a:rPr lang="en-IN" sz="18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/r</a:t>
              </a:r>
            </a:p>
            <a:p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8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𝐯</m:t>
                      </m:r>
                    </m:e>
                    <m:sub>
                      <m:r>
                        <a:rPr lang="en-IN" sz="18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𝟑</m:t>
                      </m:r>
                    </m:sub>
                  </m:sSub>
                </m:oMath>
              </a14:m>
              <a:r>
                <a:rPr lang="en-IN" sz="18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8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𝐯</m:t>
                      </m:r>
                    </m:e>
                    <m:sub>
                      <m:r>
                        <a:rPr lang="en-IN" sz="18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𝟐</m:t>
                      </m:r>
                    </m:sub>
                  </m:sSub>
                </m:oMath>
              </a14:m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8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𝐯</m:t>
                      </m:r>
                    </m:e>
                    <m:sub>
                      <m:r>
                        <a:rPr lang="en-IN" sz="18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𝟒</m:t>
                      </m:r>
                    </m:sub>
                  </m:sSub>
                </m:oMath>
              </a14:m>
              <a:r>
                <a:rPr lang="en-IN" sz="18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IN" sz="18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𝐯</m:t>
                      </m:r>
                    </m:e>
                    <m:sub>
                      <m:r>
                        <a:rPr lang="en-IN" sz="18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</m:sub>
                  </m:sSub>
                </m:oMath>
              </a14:m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14:m>
                <m:oMath xmlns:m="http://schemas.openxmlformats.org/officeDocument/2006/math">
                  <m:r>
                    <a:rPr lang="en-IN" sz="2000" b="1" i="0">
                      <a:latin typeface="Cambria Math" panose="02040503050406030204" pitchFamily="18" charset="0"/>
                      <a:cs typeface="Times New Roman" panose="02020603050405020304" pitchFamily="18" charset="0"/>
                    </a:rPr>
                    <m:t>𝐒</m:t>
                  </m:r>
                  <m:r>
                    <a:rPr lang="en-IN" sz="2000" b="1" i="0">
                      <a:latin typeface="Cambria Math" panose="02040503050406030204" pitchFamily="18" charset="0"/>
                      <a:cs typeface="Times New Roman" panose="02020603050405020304" pitchFamily="18" charset="0"/>
                    </a:rPr>
                    <m:t>=</m:t>
                  </m:r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𝐒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𝐨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𝐂</m:t>
                      </m:r>
                    </m:e>
                    <m:sub>
                      <m:r>
                        <a:rPr lang="en-IN" sz="2000" b="1" i="0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𝐩</m:t>
                      </m:r>
                    </m:sub>
                  </m:sSub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*ln</a:t>
              </a:r>
              <a14:m>
                <m:oMath xmlns:m="http://schemas.openxmlformats.org/officeDocument/2006/math">
                  <m:f>
                    <m:f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IN" sz="2000" b="1" i="1">
                              <a:latin typeface="Cambria Math" panose="02040503050406030204" pitchFamily="18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IN" sz="2000" b="1" i="0">
                              <a:latin typeface="Cambria Math" panose="02040503050406030204" pitchFamily="18" charset="0"/>
                              <a:cs typeface="Times New Roman" panose="02020603050405020304" pitchFamily="18" charset="0"/>
                            </a:rPr>
                            <m:t>𝐓</m:t>
                          </m:r>
                        </m:e>
                        <m:sub>
                          <m:r>
                            <a:rPr lang="en-IN" sz="2000" b="1" i="0">
                              <a:latin typeface="Cambria Math" panose="02040503050406030204" pitchFamily="18" charset="0"/>
                              <a:cs typeface="Times New Roman" panose="02020603050405020304" pitchFamily="18" charset="0"/>
                            </a:rPr>
                            <m:t>𝟐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IN" sz="2000" b="1" i="1">
                              <a:latin typeface="Cambria Math" panose="02040503050406030204" pitchFamily="18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IN" sz="2000" b="1" i="0">
                              <a:latin typeface="Cambria Math" panose="02040503050406030204" pitchFamily="18" charset="0"/>
                              <a:cs typeface="Times New Roman" panose="02020603050405020304" pitchFamily="18" charset="0"/>
                            </a:rPr>
                            <m:t>𝐓</m:t>
                          </m:r>
                        </m:e>
                        <m:sub>
                          <m:r>
                            <a:rPr lang="en-IN" sz="2000" b="1" i="0">
                              <a:latin typeface="Cambria Math" panose="02040503050406030204" pitchFamily="18" charset="0"/>
                              <a:cs typeface="Times New Roman" panose="02020603050405020304" pitchFamily="18" charset="0"/>
                            </a:rPr>
                            <m:t>𝟏</m:t>
                          </m:r>
                        </m:sub>
                      </m:sSub>
                    </m:den>
                  </m:f>
                </m:oMath>
              </a14:m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-R*ln</a:t>
              </a:r>
              <a14:m>
                <m:oMath xmlns:m="http://schemas.openxmlformats.org/officeDocument/2006/math">
                  <m:f>
                    <m:fPr>
                      <m:ctrlPr>
                        <a:rPr lang="en-IN" sz="20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n-IN" sz="20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IN" sz="2000" b="1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𝐏</m:t>
                          </m:r>
                        </m:e>
                        <m:sub>
                          <m:r>
                            <a:rPr lang="en-IN" sz="2000" b="1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𝟐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IN" sz="20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IN" sz="2000" b="1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𝐏</m:t>
                          </m:r>
                        </m:e>
                        <m:sub>
                          <m:r>
                            <a:rPr lang="en-IN" sz="2000" b="1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𝟏</m:t>
                          </m:r>
                        </m:sub>
                      </m:sSub>
                    </m:den>
                  </m:f>
                </m:oMath>
              </a14:m>
              <a:endParaRPr lang="en-IN" sz="20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u=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𝒄</m:t>
                      </m:r>
                    </m:e>
                    <m:sub>
                      <m:r>
                        <a:rPr lang="en-IN" sz="2000" b="1" i="1">
                          <a:latin typeface="Cambria Math" panose="02040503050406030204" pitchFamily="18" charset="0"/>
                          <a:cs typeface="Times New Roman" panose="02020603050405020304" pitchFamily="18" charset="0"/>
                        </a:rPr>
                        <m:t>𝒗</m:t>
                      </m:r>
                    </m:sub>
                  </m:sSub>
                </m:oMath>
              </a14:m>
              <a:r>
                <a:rPr lang="en-IN" sz="20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*T</a:t>
              </a:r>
            </a:p>
          </xdr:txBody>
        </xdr:sp>
      </mc:Choice>
      <mc:Fallback xmlns="">
        <xdr:sp macro="" textlink="">
          <xdr:nvSpPr>
            <xdr:cNvPr id="219" name="TextBox 218">
              <a:extLst>
                <a:ext uri="{FF2B5EF4-FFF2-40B4-BE49-F238E27FC236}">
                  <a16:creationId xmlns:a16="http://schemas.microsoft.com/office/drawing/2014/main" id="{FEF98349-B640-454A-AF6B-B18B081323B4}"/>
                </a:ext>
              </a:extLst>
            </xdr:cNvPr>
            <xdr:cNvSpPr txBox="1"/>
          </xdr:nvSpPr>
          <xdr:spPr>
            <a:xfrm>
              <a:off x="12649200" y="925285"/>
              <a:ext cx="3135085" cy="72934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IN" sz="2000" b="1" i="0">
                  <a:latin typeface="Cambria Math" panose="02040503050406030204" pitchFamily="18" charset="0"/>
                </a:rPr>
                <a:t>𝐏_𝟐=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𝐩_𝟏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𝐫^</a:t>
              </a:r>
              <a:r>
                <a:rPr lang="el-GR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𝛄</a:t>
              </a:r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𝐓_𝟐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𝐓_𝟏 〖∗𝐫〗^(</a:t>
              </a:r>
              <a:r>
                <a:rPr lang="el-GR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𝛄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−𝟏)</a:t>
              </a:r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𝐩_𝟑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〖(𝐓〗_𝟑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𝐩_𝟐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)/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𝐓_𝟐</a:t>
              </a:r>
              <a:endParaRPr lang="en-IN" sz="20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𝐓_𝟑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𝐓_𝟐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𝐫^(</a:t>
              </a:r>
              <a:r>
                <a:rPr lang="el-GR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𝛄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−𝟏)</a:t>
              </a:r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𝐩_𝟒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(𝐓_𝟒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*R)/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𝐯_𝟒</a:t>
              </a:r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𝐓_𝟒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𝐓_𝟑 〖/𝐫〗_𝐩^(</a:t>
              </a:r>
              <a:r>
                <a:rPr lang="el-GR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γ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−𝟏)</a:t>
              </a:r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16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𝐯_𝟏</a:t>
              </a:r>
              <a:r>
                <a:rPr lang="en-IN" sz="16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=(R*</a:t>
              </a:r>
              <a:r>
                <a:rPr lang="en-IN" sz="16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𝐓_𝟏</a:t>
              </a:r>
              <a:r>
                <a:rPr lang="en-IN" sz="16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)/</a:t>
              </a:r>
              <a:r>
                <a:rPr lang="en-IN" sz="16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𝐏_𝟏</a:t>
              </a:r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4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18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𝐯_𝟐</a:t>
              </a:r>
              <a:r>
                <a:rPr lang="en-IN" sz="18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=</a:t>
              </a:r>
              <a:r>
                <a:rPr lang="en-IN" sz="18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𝐯_𝟏</a:t>
              </a:r>
              <a:r>
                <a:rPr lang="en-IN" sz="18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/r</a:t>
              </a:r>
            </a:p>
            <a:p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18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𝐯_𝟑</a:t>
              </a:r>
              <a:r>
                <a:rPr lang="en-IN" sz="18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:r>
                <a:rPr lang="en-IN" sz="18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𝐯_𝟐</a:t>
              </a:r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18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𝐯_𝟒</a:t>
              </a:r>
              <a:r>
                <a:rPr lang="en-IN" sz="1800" b="1" i="0">
                  <a:solidFill>
                    <a:schemeClr val="tx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=</a:t>
              </a:r>
              <a:r>
                <a:rPr lang="en-IN" sz="18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𝐯_𝟏</a:t>
              </a:r>
              <a:endParaRPr lang="en-IN" sz="16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𝐒=𝐒_𝐨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+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𝐂_𝐩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*ln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𝐓_𝟐/𝐓_𝟏 </a:t>
              </a:r>
              <a:r>
                <a:rPr lang="en-IN" sz="2000" b="1" i="0">
                  <a:latin typeface="Times New Roman" panose="02020603050405020304" pitchFamily="18" charset="0"/>
                  <a:cs typeface="Times New Roman" panose="02020603050405020304" pitchFamily="18" charset="0"/>
                </a:rPr>
                <a:t>-R*ln</a:t>
              </a:r>
              <a:r>
                <a:rPr lang="en-IN" sz="20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𝐏_𝟐/𝐏_𝟏 </a:t>
              </a:r>
              <a:endParaRPr lang="en-IN" sz="2000" b="1" i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en-IN" sz="20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u=</a:t>
              </a:r>
              <a:r>
                <a:rPr lang="en-IN" sz="2000" b="1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𝒄_𝒗</a:t>
              </a:r>
              <a:r>
                <a:rPr lang="en-IN" sz="20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*T</a:t>
              </a:r>
            </a:p>
          </xdr:txBody>
        </xdr:sp>
      </mc:Fallback>
    </mc:AlternateContent>
    <xdr:clientData/>
  </xdr:oneCellAnchor>
  <xdr:twoCellAnchor>
    <xdr:from>
      <xdr:col>19</xdr:col>
      <xdr:colOff>108858</xdr:colOff>
      <xdr:row>1</xdr:row>
      <xdr:rowOff>185057</xdr:rowOff>
    </xdr:from>
    <xdr:to>
      <xdr:col>22</xdr:col>
      <xdr:colOff>566058</xdr:colOff>
      <xdr:row>3</xdr:row>
      <xdr:rowOff>87726</xdr:rowOff>
    </xdr:to>
    <xdr:sp macro="" textlink="">
      <xdr:nvSpPr>
        <xdr:cNvPr id="220" name="Text Box 24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 txBox="1">
          <a:spLocks noChangeArrowheads="1"/>
        </xdr:cNvSpPr>
      </xdr:nvSpPr>
      <xdr:spPr bwMode="auto">
        <a:xfrm>
          <a:off x="12094029" y="370114"/>
          <a:ext cx="2286000" cy="403412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24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Equations Used</a:t>
          </a:r>
          <a:endParaRPr lang="en-US" sz="24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28</xdr:row>
      <xdr:rowOff>16325</xdr:rowOff>
    </xdr:from>
    <xdr:to>
      <xdr:col>11</xdr:col>
      <xdr:colOff>239487</xdr:colOff>
      <xdr:row>51</xdr:row>
      <xdr:rowOff>87086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32657</xdr:colOff>
      <xdr:row>29</xdr:row>
      <xdr:rowOff>92528</xdr:rowOff>
    </xdr:from>
    <xdr:to>
      <xdr:col>25</xdr:col>
      <xdr:colOff>54428</xdr:colOff>
      <xdr:row>51</xdr:row>
      <xdr:rowOff>32657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</xdr:row>
          <xdr:rowOff>22860</xdr:rowOff>
        </xdr:from>
        <xdr:to>
          <xdr:col>5</xdr:col>
          <xdr:colOff>670560</xdr:colOff>
          <xdr:row>5</xdr:row>
          <xdr:rowOff>182880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</xdr:row>
          <xdr:rowOff>22860</xdr:rowOff>
        </xdr:from>
        <xdr:to>
          <xdr:col>5</xdr:col>
          <xdr:colOff>662940</xdr:colOff>
          <xdr:row>6</xdr:row>
          <xdr:rowOff>182880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</xdr:colOff>
          <xdr:row>7</xdr:row>
          <xdr:rowOff>38100</xdr:rowOff>
        </xdr:from>
        <xdr:to>
          <xdr:col>5</xdr:col>
          <xdr:colOff>655320</xdr:colOff>
          <xdr:row>8</xdr:row>
          <xdr:rowOff>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8</xdr:row>
          <xdr:rowOff>30480</xdr:rowOff>
        </xdr:from>
        <xdr:to>
          <xdr:col>5</xdr:col>
          <xdr:colOff>647700</xdr:colOff>
          <xdr:row>8</xdr:row>
          <xdr:rowOff>190500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2ED30-A443-4589-A9F0-3AE4A8B89900}">
  <sheetPr codeName="Sheet1"/>
  <dimension ref="A2:M27"/>
  <sheetViews>
    <sheetView tabSelected="1" topLeftCell="A19" zoomScale="80" zoomScaleNormal="80" workbookViewId="0">
      <selection activeCell="O2" sqref="O2"/>
    </sheetView>
  </sheetViews>
  <sheetFormatPr defaultRowHeight="14.4" x14ac:dyDescent="0.3"/>
  <cols>
    <col min="2" max="2" width="12.6640625" customWidth="1"/>
    <col min="3" max="3" width="10.109375" customWidth="1"/>
    <col min="6" max="6" width="10.33203125" customWidth="1"/>
    <col min="11" max="11" width="9.5546875" customWidth="1"/>
  </cols>
  <sheetData>
    <row r="2" spans="1:11" ht="24.6" x14ac:dyDescent="0.4">
      <c r="A2" s="34" t="s">
        <v>20</v>
      </c>
      <c r="B2" s="34"/>
      <c r="C2" s="34"/>
      <c r="D2" s="34"/>
      <c r="E2" s="34"/>
      <c r="F2" s="34"/>
      <c r="H2" s="11"/>
      <c r="I2" s="11"/>
      <c r="J2" s="11"/>
      <c r="K2" s="11"/>
    </row>
    <row r="3" spans="1:11" x14ac:dyDescent="0.3">
      <c r="H3" s="11"/>
      <c r="I3" s="11"/>
      <c r="J3" s="11"/>
      <c r="K3" s="11"/>
    </row>
    <row r="4" spans="1:11" x14ac:dyDescent="0.3">
      <c r="G4" s="14"/>
      <c r="H4" s="14"/>
      <c r="I4" s="14"/>
      <c r="J4" s="14"/>
      <c r="K4" s="11"/>
    </row>
    <row r="5" spans="1:11" x14ac:dyDescent="0.3">
      <c r="G5" s="14"/>
      <c r="H5" s="14" t="s">
        <v>23</v>
      </c>
      <c r="I5" s="14">
        <f>1.4</f>
        <v>1.4</v>
      </c>
      <c r="J5" s="14"/>
      <c r="K5" s="11"/>
    </row>
    <row r="6" spans="1:11" ht="16.2" x14ac:dyDescent="0.35">
      <c r="B6" s="35" t="s">
        <v>22</v>
      </c>
      <c r="C6" s="35"/>
      <c r="D6" s="20">
        <v>4</v>
      </c>
      <c r="G6" s="14"/>
      <c r="H6" s="14" t="s">
        <v>44</v>
      </c>
      <c r="I6" s="14">
        <f>I7/(I5-1)</f>
        <v>0.71750000000000014</v>
      </c>
      <c r="J6" s="14"/>
      <c r="K6" s="11"/>
    </row>
    <row r="7" spans="1:11" ht="15.6" x14ac:dyDescent="0.3">
      <c r="B7" s="35" t="s">
        <v>25</v>
      </c>
      <c r="C7" s="37"/>
      <c r="D7" s="20">
        <v>1000</v>
      </c>
      <c r="G7" s="14"/>
      <c r="H7" s="14" t="s">
        <v>24</v>
      </c>
      <c r="I7" s="14">
        <f>0.287</f>
        <v>0.28699999999999998</v>
      </c>
      <c r="J7" s="14"/>
      <c r="K7" s="11"/>
    </row>
    <row r="8" spans="1:11" ht="15.6" x14ac:dyDescent="0.3">
      <c r="B8" s="35" t="s">
        <v>26</v>
      </c>
      <c r="C8" s="38"/>
      <c r="D8" s="20">
        <v>100</v>
      </c>
      <c r="F8" s="10"/>
      <c r="G8" s="14"/>
      <c r="H8" s="14"/>
      <c r="I8" s="14"/>
      <c r="J8" s="14"/>
      <c r="K8" s="11"/>
    </row>
    <row r="9" spans="1:11" ht="15.6" x14ac:dyDescent="0.3">
      <c r="B9" s="35" t="s">
        <v>27</v>
      </c>
      <c r="C9" s="38"/>
      <c r="D9" s="20">
        <v>7</v>
      </c>
      <c r="G9" s="13"/>
      <c r="H9" s="13"/>
      <c r="I9" s="13"/>
      <c r="J9" s="13"/>
      <c r="K9" s="11"/>
    </row>
    <row r="10" spans="1:11" x14ac:dyDescent="0.3">
      <c r="G10" s="13"/>
      <c r="H10" s="13"/>
      <c r="I10" s="13"/>
      <c r="J10" s="13"/>
      <c r="K10" s="11"/>
    </row>
    <row r="11" spans="1:11" x14ac:dyDescent="0.3">
      <c r="G11" s="13"/>
      <c r="H11" s="13"/>
      <c r="I11" s="13"/>
      <c r="J11" s="13"/>
    </row>
    <row r="12" spans="1:11" x14ac:dyDescent="0.3">
      <c r="G12" s="13"/>
      <c r="H12" s="13"/>
      <c r="I12" s="13"/>
      <c r="J12" s="13"/>
    </row>
    <row r="17" spans="1:13" ht="15.6" x14ac:dyDescent="0.35">
      <c r="A17" s="36" t="s">
        <v>0</v>
      </c>
      <c r="B17" s="36"/>
      <c r="C17" s="1" t="s">
        <v>1</v>
      </c>
      <c r="D17" s="1" t="s">
        <v>2</v>
      </c>
      <c r="E17" s="1" t="s">
        <v>3</v>
      </c>
      <c r="F17" s="1" t="s">
        <v>4</v>
      </c>
      <c r="G17" s="1" t="s">
        <v>21</v>
      </c>
    </row>
    <row r="18" spans="1:13" ht="15.6" x14ac:dyDescent="0.35">
      <c r="A18" s="36" t="s">
        <v>5</v>
      </c>
      <c r="B18" s="36"/>
      <c r="C18" s="2">
        <f>D7</f>
        <v>1000</v>
      </c>
      <c r="D18" s="2">
        <f>D8</f>
        <v>100</v>
      </c>
      <c r="E18" s="3">
        <f>I7*D8/D7</f>
        <v>2.87E-2</v>
      </c>
      <c r="F18" s="2">
        <v>1</v>
      </c>
      <c r="G18" s="4">
        <f>I6*D18</f>
        <v>71.750000000000014</v>
      </c>
      <c r="H18" s="21" t="s">
        <v>6</v>
      </c>
      <c r="I18" s="21"/>
      <c r="J18" s="5" t="s">
        <v>18</v>
      </c>
      <c r="K18" s="5" t="s">
        <v>19</v>
      </c>
      <c r="L18" s="5" t="s">
        <v>7</v>
      </c>
      <c r="M18" s="5" t="s">
        <v>8</v>
      </c>
    </row>
    <row r="19" spans="1:13" ht="32.4" customHeight="1" x14ac:dyDescent="0.3">
      <c r="A19" s="29"/>
      <c r="B19" s="30"/>
      <c r="C19" s="30"/>
      <c r="D19" s="30"/>
      <c r="E19" s="30"/>
      <c r="F19" s="30"/>
      <c r="G19" s="31"/>
      <c r="H19" s="25" t="s">
        <v>14</v>
      </c>
      <c r="I19" s="26"/>
      <c r="J19" s="6">
        <f>G18</f>
        <v>71.750000000000014</v>
      </c>
      <c r="K19" s="6">
        <f>G20</f>
        <v>124.92400583299381</v>
      </c>
      <c r="L19" s="6">
        <v>0</v>
      </c>
      <c r="M19" s="6">
        <f>D9*(K19-J19)</f>
        <v>372.21804083095662</v>
      </c>
    </row>
    <row r="20" spans="1:13" x14ac:dyDescent="0.3">
      <c r="A20" s="27" t="s">
        <v>10</v>
      </c>
      <c r="B20" s="28"/>
      <c r="C20" s="2">
        <f>D7*(D6)^I5</f>
        <v>6964.4045063689919</v>
      </c>
      <c r="D20" s="2">
        <f>D18*(D6)^(I5-1)</f>
        <v>174.1101126592248</v>
      </c>
      <c r="E20" s="3">
        <f>E18/D6</f>
        <v>7.175E-3</v>
      </c>
      <c r="F20" s="2">
        <f>F18+1.0045*LN(D20/D18)-I7*LN(C20/C18)</f>
        <v>0.99999999999999978</v>
      </c>
      <c r="G20" s="4">
        <f>I6*D20</f>
        <v>124.92400583299381</v>
      </c>
      <c r="H20" s="22"/>
      <c r="I20" s="23"/>
      <c r="J20" s="23"/>
      <c r="K20" s="23"/>
      <c r="L20" s="23"/>
      <c r="M20" s="24"/>
    </row>
    <row r="21" spans="1:13" ht="37.799999999999997" customHeight="1" x14ac:dyDescent="0.3">
      <c r="A21" s="29"/>
      <c r="B21" s="30"/>
      <c r="C21" s="30"/>
      <c r="D21" s="30"/>
      <c r="E21" s="30"/>
      <c r="F21" s="30"/>
      <c r="G21" s="31"/>
      <c r="H21" s="25" t="s">
        <v>15</v>
      </c>
      <c r="I21" s="26"/>
      <c r="J21" s="6">
        <f>G20</f>
        <v>124.92400583299381</v>
      </c>
      <c r="K21" s="6">
        <f>G22</f>
        <v>217.50532729424208</v>
      </c>
      <c r="L21" s="6">
        <f>D9*(K21-J21)</f>
        <v>648.06925022873781</v>
      </c>
      <c r="M21" s="6">
        <v>0</v>
      </c>
    </row>
    <row r="22" spans="1:13" x14ac:dyDescent="0.3">
      <c r="A22" s="27" t="s">
        <v>11</v>
      </c>
      <c r="B22" s="28"/>
      <c r="C22" s="2">
        <f>(D22*C20)/D20</f>
        <v>12125.732532083181</v>
      </c>
      <c r="D22" s="2">
        <f>D20*(D6)^(I5-1)</f>
        <v>303.14331330207949</v>
      </c>
      <c r="E22" s="3">
        <f>E20</f>
        <v>7.175E-3</v>
      </c>
      <c r="F22" s="2">
        <f>F20+1.0045*LN(D22/D20)-I7*LN(C22/C20)</f>
        <v>1.3978664816414081</v>
      </c>
      <c r="G22" s="4">
        <f>I6*D22</f>
        <v>217.50532729424208</v>
      </c>
      <c r="H22" s="22"/>
      <c r="I22" s="23"/>
      <c r="J22" s="23"/>
      <c r="K22" s="23"/>
      <c r="L22" s="23"/>
      <c r="M22" s="24"/>
    </row>
    <row r="23" spans="1:13" ht="40.200000000000003" customHeight="1" x14ac:dyDescent="0.3">
      <c r="A23" s="29"/>
      <c r="B23" s="30"/>
      <c r="C23" s="30"/>
      <c r="D23" s="30"/>
      <c r="E23" s="30"/>
      <c r="F23" s="30"/>
      <c r="G23" s="31"/>
      <c r="H23" s="25" t="s">
        <v>16</v>
      </c>
      <c r="I23" s="26"/>
      <c r="J23" s="6">
        <f>G22</f>
        <v>217.50532729424208</v>
      </c>
      <c r="K23" s="6">
        <f>G24</f>
        <v>124.9240058329938</v>
      </c>
      <c r="L23" s="6">
        <v>0</v>
      </c>
      <c r="M23" s="6">
        <f>D9*(K23-J23)</f>
        <v>-648.06925022873793</v>
      </c>
    </row>
    <row r="24" spans="1:13" x14ac:dyDescent="0.3">
      <c r="A24" s="27" t="s">
        <v>12</v>
      </c>
      <c r="B24" s="28"/>
      <c r="C24" s="2">
        <f>I7*D24/E24</f>
        <v>1741.1011265922477</v>
      </c>
      <c r="D24" s="2">
        <f>D22/((D6)^(I5-1))</f>
        <v>174.11011265922477</v>
      </c>
      <c r="E24" s="3">
        <f>E18</f>
        <v>2.87E-2</v>
      </c>
      <c r="F24" s="2">
        <f>F22+1.0045*LN(D24/D22)-I7*LN(C24/C22)</f>
        <v>1.3978664816414081</v>
      </c>
      <c r="G24" s="4">
        <f>I6*D24</f>
        <v>124.9240058329938</v>
      </c>
      <c r="H24" s="22"/>
      <c r="I24" s="23"/>
      <c r="J24" s="23"/>
      <c r="K24" s="23"/>
      <c r="L24" s="23"/>
      <c r="M24" s="24"/>
    </row>
    <row r="25" spans="1:13" ht="43.2" customHeight="1" x14ac:dyDescent="0.3">
      <c r="A25" s="29"/>
      <c r="B25" s="30"/>
      <c r="C25" s="30"/>
      <c r="D25" s="30"/>
      <c r="E25" s="30"/>
      <c r="F25" s="30"/>
      <c r="G25" s="31"/>
      <c r="H25" s="25" t="s">
        <v>17</v>
      </c>
      <c r="I25" s="26"/>
      <c r="J25" s="6">
        <f>G24</f>
        <v>124.9240058329938</v>
      </c>
      <c r="K25" s="6">
        <f>G26</f>
        <v>71.750000000000014</v>
      </c>
      <c r="L25" s="6">
        <f>D9*(K25-J25)</f>
        <v>-372.21804083095651</v>
      </c>
      <c r="M25" s="6">
        <v>0</v>
      </c>
    </row>
    <row r="26" spans="1:13" ht="15" thickBot="1" x14ac:dyDescent="0.35">
      <c r="A26" s="32" t="s">
        <v>13</v>
      </c>
      <c r="B26" s="33"/>
      <c r="C26" s="2">
        <f>C18</f>
        <v>1000</v>
      </c>
      <c r="D26" s="2">
        <f>D18</f>
        <v>100</v>
      </c>
      <c r="E26" s="3">
        <f>E18</f>
        <v>2.87E-2</v>
      </c>
      <c r="F26" s="2">
        <f>F18</f>
        <v>1</v>
      </c>
      <c r="G26" s="4">
        <f>G18</f>
        <v>71.750000000000014</v>
      </c>
      <c r="K26" s="7" t="s">
        <v>9</v>
      </c>
      <c r="L26" s="8">
        <f>SUM(L19,L21,L23,L25)</f>
        <v>275.8512093977813</v>
      </c>
      <c r="M26" s="8">
        <f>SUM(M19,M21,M23,M25)</f>
        <v>-275.8512093977813</v>
      </c>
    </row>
    <row r="27" spans="1:13" x14ac:dyDescent="0.3">
      <c r="A27" s="9"/>
      <c r="B27" s="9"/>
      <c r="C27" s="9"/>
      <c r="D27" s="9"/>
      <c r="E27" s="9"/>
      <c r="F27" s="9"/>
    </row>
  </sheetData>
  <sheetProtection algorithmName="SHA-512" hashValue="hTtZ5sVctguvZiLiThzWaRcUwOL8N0qXy+F6Tkb/6hrs+n1gxX14D7RwEbA4QwPZC34BCrIIhgw2YlYcp07fZQ==" saltValue="GqTwPXrSxXDjHMJ432ip+g==" spinCount="100000" sheet="1" objects="1" scenarios="1"/>
  <mergeCells count="23">
    <mergeCell ref="A2:F2"/>
    <mergeCell ref="B6:C6"/>
    <mergeCell ref="A21:G21"/>
    <mergeCell ref="A22:B22"/>
    <mergeCell ref="A23:G23"/>
    <mergeCell ref="A17:B17"/>
    <mergeCell ref="A18:B18"/>
    <mergeCell ref="A19:G19"/>
    <mergeCell ref="A20:B20"/>
    <mergeCell ref="B7:C7"/>
    <mergeCell ref="B8:C8"/>
    <mergeCell ref="B9:C9"/>
    <mergeCell ref="A24:B24"/>
    <mergeCell ref="H24:M24"/>
    <mergeCell ref="A25:G25"/>
    <mergeCell ref="H22:M22"/>
    <mergeCell ref="A26:B26"/>
    <mergeCell ref="H18:I18"/>
    <mergeCell ref="H20:M20"/>
    <mergeCell ref="H25:I25"/>
    <mergeCell ref="H23:I23"/>
    <mergeCell ref="H21:I21"/>
    <mergeCell ref="H19:I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Scroll Bar 3">
              <controlPr defaultSize="0" autoPict="0">
                <anchor moveWithCells="1">
                  <from>
                    <xdr:col>4</xdr:col>
                    <xdr:colOff>38100</xdr:colOff>
                    <xdr:row>5</xdr:row>
                    <xdr:rowOff>22860</xdr:rowOff>
                  </from>
                  <to>
                    <xdr:col>5</xdr:col>
                    <xdr:colOff>670560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Scroll Bar 4">
              <controlPr defaultSize="0" autoPict="0">
                <anchor moveWithCells="1">
                  <from>
                    <xdr:col>4</xdr:col>
                    <xdr:colOff>38100</xdr:colOff>
                    <xdr:row>6</xdr:row>
                    <xdr:rowOff>22860</xdr:rowOff>
                  </from>
                  <to>
                    <xdr:col>5</xdr:col>
                    <xdr:colOff>662940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croll Bar 5">
              <controlPr defaultSize="0" autoPict="0">
                <anchor moveWithCells="1">
                  <from>
                    <xdr:col>4</xdr:col>
                    <xdr:colOff>53340</xdr:colOff>
                    <xdr:row>7</xdr:row>
                    <xdr:rowOff>38100</xdr:rowOff>
                  </from>
                  <to>
                    <xdr:col>5</xdr:col>
                    <xdr:colOff>655320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Scroll Bar 6">
              <controlPr defaultSize="0" autoPict="0">
                <anchor moveWithCells="1">
                  <from>
                    <xdr:col>4</xdr:col>
                    <xdr:colOff>45720</xdr:colOff>
                    <xdr:row>8</xdr:row>
                    <xdr:rowOff>30480</xdr:rowOff>
                  </from>
                  <to>
                    <xdr:col>5</xdr:col>
                    <xdr:colOff>647700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919FC-02B3-4FFC-8A7B-D17438F255F2}">
  <sheetPr codeName="Sheet2"/>
  <dimension ref="A1:T105"/>
  <sheetViews>
    <sheetView workbookViewId="0">
      <selection sqref="A1:T105"/>
    </sheetView>
  </sheetViews>
  <sheetFormatPr defaultRowHeight="14.4" x14ac:dyDescent="0.3"/>
  <cols>
    <col min="1" max="1" width="8.88671875" style="12"/>
    <col min="2" max="2" width="10.109375" style="12" customWidth="1"/>
    <col min="3" max="3" width="14.88671875" style="12" customWidth="1"/>
    <col min="4" max="12" width="8.88671875" style="12"/>
    <col min="13" max="13" width="8.6640625" style="12" customWidth="1"/>
    <col min="14" max="14" width="8.88671875" style="12" customWidth="1"/>
    <col min="15" max="16384" width="8.88671875" style="12"/>
  </cols>
  <sheetData>
    <row r="1" spans="1:20" x14ac:dyDescent="0.3">
      <c r="A1" s="15" t="s">
        <v>36</v>
      </c>
      <c r="B1" s="15" t="s">
        <v>37</v>
      </c>
      <c r="C1" s="15" t="s">
        <v>38</v>
      </c>
      <c r="D1" s="15" t="s">
        <v>39</v>
      </c>
      <c r="E1" s="15" t="s">
        <v>40</v>
      </c>
      <c r="F1" s="15" t="s">
        <v>41</v>
      </c>
      <c r="G1" s="15" t="s">
        <v>42</v>
      </c>
      <c r="H1" s="15" t="s">
        <v>43</v>
      </c>
      <c r="I1" s="15"/>
      <c r="J1" s="15"/>
      <c r="K1" s="15" t="s">
        <v>29</v>
      </c>
      <c r="L1" s="15" t="s">
        <v>28</v>
      </c>
      <c r="M1" s="15" t="s">
        <v>30</v>
      </c>
      <c r="N1" s="15" t="s">
        <v>31</v>
      </c>
      <c r="O1" s="15" t="s">
        <v>32</v>
      </c>
      <c r="P1" s="15" t="s">
        <v>33</v>
      </c>
      <c r="Q1" s="15" t="s">
        <v>34</v>
      </c>
      <c r="R1" s="15" t="s">
        <v>35</v>
      </c>
      <c r="S1" s="15"/>
      <c r="T1" s="15"/>
    </row>
    <row r="2" spans="1:20" x14ac:dyDescent="0.3">
      <c r="A2" s="16">
        <f>Mainsheet!C18</f>
        <v>1000</v>
      </c>
      <c r="B2" s="17">
        <f>Mainsheet!E18</f>
        <v>2.87E-2</v>
      </c>
      <c r="C2" s="16">
        <f>Mainsheet!$C$20</f>
        <v>6964.4045063689919</v>
      </c>
      <c r="D2" s="16">
        <f>Mainsheet!$E$20</f>
        <v>7.175E-3</v>
      </c>
      <c r="E2" s="16">
        <f>Mainsheet!$C$22</f>
        <v>12125.732532083181</v>
      </c>
      <c r="F2" s="16">
        <f>Mainsheet!$E$22</f>
        <v>7.175E-3</v>
      </c>
      <c r="G2" s="16">
        <f>Mainsheet!$C$24</f>
        <v>1741.1011265922477</v>
      </c>
      <c r="H2" s="16">
        <f>Mainsheet!$E$24</f>
        <v>2.87E-2</v>
      </c>
      <c r="I2" s="15"/>
      <c r="J2" s="16"/>
      <c r="K2" s="16">
        <f>Mainsheet!D18</f>
        <v>100</v>
      </c>
      <c r="L2" s="16">
        <f>Mainsheet!F18</f>
        <v>1</v>
      </c>
      <c r="M2" s="16">
        <f>Mainsheet!D20</f>
        <v>174.1101126592248</v>
      </c>
      <c r="N2" s="16">
        <f>Mainsheet!F20</f>
        <v>0.99999999999999978</v>
      </c>
      <c r="O2" s="16">
        <f>Mainsheet!$D$22</f>
        <v>303.14331330207949</v>
      </c>
      <c r="P2" s="16">
        <f>Mainsheet!F22</f>
        <v>1.3978664816414081</v>
      </c>
      <c r="Q2" s="16">
        <f>Mainsheet!D24</f>
        <v>174.11011265922477</v>
      </c>
      <c r="R2" s="16">
        <f>Mainsheet!F24</f>
        <v>1.3978664816414081</v>
      </c>
      <c r="S2" s="15"/>
      <c r="T2" s="15"/>
    </row>
    <row r="3" spans="1:20" x14ac:dyDescent="0.3">
      <c r="A3" s="15">
        <f>A2+(Mainsheet!$C$20-Mainsheet!$C$18)/100</f>
        <v>1059.6440450636899</v>
      </c>
      <c r="B3" s="18">
        <f t="shared" ref="B3:B34" si="0">0.287*K3/A3</f>
        <v>2.7536609563907469E-2</v>
      </c>
      <c r="C3" s="16">
        <f>C2+(Mainsheet!$C$22-Mainsheet!$C$20)/100</f>
        <v>7016.0177866261338</v>
      </c>
      <c r="D3" s="16">
        <f>Mainsheet!$E$20</f>
        <v>7.175E-3</v>
      </c>
      <c r="E3" s="15">
        <f>E2-(Mainsheet!$C$22-Mainsheet!$C$24)/100</f>
        <v>12021.88621802827</v>
      </c>
      <c r="F3" s="15">
        <f t="shared" ref="F3:F34" si="1">0.287*O3/E3</f>
        <v>7.21921585858319E-3</v>
      </c>
      <c r="G3" s="15">
        <f>G2-(Mainsheet!$C$24-Mainsheet!$C$26)/100</f>
        <v>1733.6901153263252</v>
      </c>
      <c r="H3" s="16">
        <f>H2</f>
        <v>2.87E-2</v>
      </c>
      <c r="I3" s="15"/>
      <c r="J3" s="15"/>
      <c r="K3" s="15">
        <f t="shared" ref="K3:K34" si="2">K2*(A3/A2)^(0.4/1.4)</f>
        <v>101.66900468863555</v>
      </c>
      <c r="L3" s="16">
        <f>L2</f>
        <v>1</v>
      </c>
      <c r="M3" s="15">
        <f>M2+(Mainsheet!$D$22-Mainsheet!$D$20)/100</f>
        <v>175.40044466565334</v>
      </c>
      <c r="N3" s="16">
        <f>N2+Mainsheet!$I$6*LN(Data!M3/M2)</f>
        <v>1.0052977937369338</v>
      </c>
      <c r="O3" s="15">
        <f t="shared" ref="O3:O34" si="3">O2*(E3/E2)^(0.4/1.4)</f>
        <v>302.39927399049611</v>
      </c>
      <c r="P3" s="16">
        <f>P2</f>
        <v>1.3978664816414081</v>
      </c>
      <c r="Q3" s="15">
        <f>Q2-(Mainsheet!$D$24-Mainsheet!$D$26)/100</f>
        <v>173.36901153263253</v>
      </c>
      <c r="R3" s="15">
        <f>R2+Mainsheet!$I$6*LN(Data!Q3/Data!Q2)</f>
        <v>1.3948059187035351</v>
      </c>
      <c r="S3" s="15"/>
      <c r="T3" s="15"/>
    </row>
    <row r="4" spans="1:20" x14ac:dyDescent="0.3">
      <c r="A4" s="15">
        <f>A3+(Mainsheet!$C$20-Mainsheet!$C$18)/100</f>
        <v>1119.2880901273797</v>
      </c>
      <c r="B4" s="18">
        <f t="shared" si="0"/>
        <v>2.6480330982854076E-2</v>
      </c>
      <c r="C4" s="16">
        <f>C3+(Mainsheet!$C$22-Mainsheet!$C$20)/100</f>
        <v>7067.6310668832757</v>
      </c>
      <c r="D4" s="16">
        <f>Mainsheet!$E$20</f>
        <v>7.175E-3</v>
      </c>
      <c r="E4" s="15">
        <f>E3-(Mainsheet!$C$22-Mainsheet!$C$24)/100</f>
        <v>11918.03990397336</v>
      </c>
      <c r="F4" s="15">
        <f t="shared" si="1"/>
        <v>7.2640913607920476E-3</v>
      </c>
      <c r="G4" s="15">
        <f>G3-(Mainsheet!$C$24-Mainsheet!$C$26)/100</f>
        <v>1726.2791040604027</v>
      </c>
      <c r="H4" s="16">
        <f t="shared" ref="H4:H67" si="4">H3</f>
        <v>2.87E-2</v>
      </c>
      <c r="I4" s="15"/>
      <c r="J4" s="15"/>
      <c r="K4" s="15">
        <f t="shared" si="2"/>
        <v>103.27219195728091</v>
      </c>
      <c r="L4" s="16">
        <f t="shared" ref="L4:L67" si="5">L3</f>
        <v>1</v>
      </c>
      <c r="M4" s="15">
        <f>M3+(Mainsheet!$D$22-Mainsheet!$D$20)/100</f>
        <v>176.69077667208188</v>
      </c>
      <c r="N4" s="16">
        <f>N3+Mainsheet!$I$6*LN(Data!M4/M3)</f>
        <v>1.0105567567740881</v>
      </c>
      <c r="O4" s="15">
        <f t="shared" si="3"/>
        <v>301.65062963075877</v>
      </c>
      <c r="P4" s="16">
        <f t="shared" ref="P4:P67" si="6">P3</f>
        <v>1.3978664816414081</v>
      </c>
      <c r="Q4" s="15">
        <f>Q3-(Mainsheet!$D$24-Mainsheet!$D$26)/100</f>
        <v>172.62791040604029</v>
      </c>
      <c r="R4" s="15">
        <f>R3+Mainsheet!$I$6*LN(Data!Q4/Data!Q3)</f>
        <v>1.391732244703568</v>
      </c>
      <c r="S4" s="15"/>
      <c r="T4" s="15"/>
    </row>
    <row r="5" spans="1:20" x14ac:dyDescent="0.3">
      <c r="A5" s="15">
        <f>A4+(Mainsheet!$C$20-Mainsheet!$C$18)/100</f>
        <v>1178.9321351910696</v>
      </c>
      <c r="B5" s="18">
        <f t="shared" si="0"/>
        <v>2.5516344912536033E-2</v>
      </c>
      <c r="C5" s="16">
        <f>C4+(Mainsheet!$C$22-Mainsheet!$C$20)/100</f>
        <v>7119.2443471404176</v>
      </c>
      <c r="D5" s="16">
        <f>Mainsheet!$E$20</f>
        <v>7.175E-3</v>
      </c>
      <c r="E5" s="15">
        <f>E4-(Mainsheet!$C$22-Mainsheet!$C$24)/100</f>
        <v>11814.19358991845</v>
      </c>
      <c r="F5" s="15">
        <f t="shared" si="1"/>
        <v>7.3096422250815002E-3</v>
      </c>
      <c r="G5" s="15">
        <f>G4-(Mainsheet!$C$24-Mainsheet!$C$26)/100</f>
        <v>1718.8680927944802</v>
      </c>
      <c r="H5" s="16">
        <f t="shared" si="4"/>
        <v>2.87E-2</v>
      </c>
      <c r="I5" s="15"/>
      <c r="J5" s="15"/>
      <c r="K5" s="15">
        <f t="shared" si="2"/>
        <v>104.815466864139</v>
      </c>
      <c r="L5" s="16">
        <f t="shared" si="5"/>
        <v>1</v>
      </c>
      <c r="M5" s="15">
        <f>M4+(Mainsheet!$D$22-Mainsheet!$D$20)/100</f>
        <v>177.98110867851042</v>
      </c>
      <c r="N5" s="16">
        <f>N4+Mainsheet!$I$6*LN(Data!M5/M4)</f>
        <v>1.0157774541989688</v>
      </c>
      <c r="O5" s="15">
        <f t="shared" si="3"/>
        <v>300.89731122005264</v>
      </c>
      <c r="P5" s="16">
        <f t="shared" si="6"/>
        <v>1.3978664816414081</v>
      </c>
      <c r="Q5" s="15">
        <f>Q4-(Mainsheet!$D$24-Mainsheet!$D$26)/100</f>
        <v>171.88680927944804</v>
      </c>
      <c r="R5" s="15">
        <f>R4+Mainsheet!$I$6*LN(Data!Q5/Data!Q4)</f>
        <v>1.3886453468258031</v>
      </c>
      <c r="S5" s="15"/>
      <c r="T5" s="15"/>
    </row>
    <row r="6" spans="1:20" x14ac:dyDescent="0.3">
      <c r="A6" s="15">
        <f>A5+(Mainsheet!$C$20-Mainsheet!$C$18)/100</f>
        <v>1238.5761802547595</v>
      </c>
      <c r="B6" s="18">
        <f t="shared" si="0"/>
        <v>2.4632501773878056E-2</v>
      </c>
      <c r="C6" s="16">
        <f>C5+(Mainsheet!$C$22-Mainsheet!$C$20)/100</f>
        <v>7170.8576273975596</v>
      </c>
      <c r="D6" s="16">
        <f>Mainsheet!$E$20</f>
        <v>7.175E-3</v>
      </c>
      <c r="E6" s="15">
        <f>E5-(Mainsheet!$C$22-Mainsheet!$C$24)/100</f>
        <v>11710.34727586354</v>
      </c>
      <c r="F6" s="15">
        <f t="shared" si="1"/>
        <v>7.355884686989651E-3</v>
      </c>
      <c r="G6" s="15">
        <f>G5-(Mainsheet!$C$24-Mainsheet!$C$26)/100</f>
        <v>1711.4570815285576</v>
      </c>
      <c r="H6" s="16">
        <f t="shared" si="4"/>
        <v>2.87E-2</v>
      </c>
      <c r="I6" s="15"/>
      <c r="J6" s="15"/>
      <c r="K6" s="15">
        <f t="shared" si="2"/>
        <v>106.30393713313057</v>
      </c>
      <c r="L6" s="16">
        <f t="shared" si="5"/>
        <v>1</v>
      </c>
      <c r="M6" s="15">
        <f>M5+(Mainsheet!$D$22-Mainsheet!$D$20)/100</f>
        <v>179.27144068493897</v>
      </c>
      <c r="N6" s="16">
        <f>N5+Mainsheet!$I$6*LN(Data!M6/M5)</f>
        <v>1.0209604388529001</v>
      </c>
      <c r="O6" s="15">
        <f t="shared" si="3"/>
        <v>300.13924810402648</v>
      </c>
      <c r="P6" s="16">
        <f t="shared" si="6"/>
        <v>1.3978664816414081</v>
      </c>
      <c r="Q6" s="15">
        <f>Q5-(Mainsheet!$D$24-Mainsheet!$D$26)/100</f>
        <v>171.1457081528558</v>
      </c>
      <c r="R6" s="15">
        <f>R5+Mainsheet!$I$6*LN(Data!Q6/Data!Q5)</f>
        <v>1.3855451107921379</v>
      </c>
      <c r="S6" s="15"/>
      <c r="T6" s="15"/>
    </row>
    <row r="7" spans="1:20" x14ac:dyDescent="0.3">
      <c r="A7" s="15">
        <f>A6+(Mainsheet!$C$20-Mainsheet!$C$18)/100</f>
        <v>1298.2202253184494</v>
      </c>
      <c r="B7" s="18">
        <f t="shared" si="0"/>
        <v>2.3818739502245376E-2</v>
      </c>
      <c r="C7" s="16">
        <f>C6+(Mainsheet!$C$22-Mainsheet!$C$20)/100</f>
        <v>7222.4709076547015</v>
      </c>
      <c r="D7" s="16">
        <f>Mainsheet!$E$20</f>
        <v>7.175E-3</v>
      </c>
      <c r="E7" s="15">
        <f>E6-(Mainsheet!$C$22-Mainsheet!$C$24)/100</f>
        <v>11606.50096180863</v>
      </c>
      <c r="F7" s="15">
        <f t="shared" si="1"/>
        <v>7.4028355209206807E-3</v>
      </c>
      <c r="G7" s="15">
        <f>G6-(Mainsheet!$C$24-Mainsheet!$C$26)/100</f>
        <v>1704.0460702626351</v>
      </c>
      <c r="H7" s="16">
        <f t="shared" si="4"/>
        <v>2.87E-2</v>
      </c>
      <c r="I7" s="15"/>
      <c r="J7" s="15"/>
      <c r="K7" s="15">
        <f t="shared" si="2"/>
        <v>107.74205353103291</v>
      </c>
      <c r="L7" s="16">
        <f t="shared" si="5"/>
        <v>1</v>
      </c>
      <c r="M7" s="15">
        <f>M6+(Mainsheet!$D$22-Mainsheet!$D$20)/100</f>
        <v>180.56177269136751</v>
      </c>
      <c r="N7" s="16">
        <f>N6+Mainsheet!$I$6*LN(Data!M7/M6)</f>
        <v>1.0261062516823416</v>
      </c>
      <c r="O7" s="15">
        <f t="shared" si="3"/>
        <v>299.3763679222194</v>
      </c>
      <c r="P7" s="16">
        <f t="shared" si="6"/>
        <v>1.3978664816414081</v>
      </c>
      <c r="Q7" s="15">
        <f>Q6-(Mainsheet!$D$24-Mainsheet!$D$26)/100</f>
        <v>170.40460702626356</v>
      </c>
      <c r="R7" s="15">
        <f>R6+Mainsheet!$I$6*LN(Data!Q7/Data!Q6)</f>
        <v>1.3824314208366868</v>
      </c>
      <c r="S7" s="15"/>
      <c r="T7" s="15"/>
    </row>
    <row r="8" spans="1:20" x14ac:dyDescent="0.3">
      <c r="A8" s="15">
        <f>A7+(Mainsheet!$C$20-Mainsheet!$C$18)/100</f>
        <v>1357.8642703821392</v>
      </c>
      <c r="B8" s="18">
        <f t="shared" si="0"/>
        <v>2.3066648417067698E-2</v>
      </c>
      <c r="C8" s="16">
        <f>C7+(Mainsheet!$C$22-Mainsheet!$C$20)/100</f>
        <v>7274.0841879118434</v>
      </c>
      <c r="D8" s="16">
        <f>Mainsheet!$E$20</f>
        <v>7.175E-3</v>
      </c>
      <c r="E8" s="15">
        <f>E7-(Mainsheet!$C$22-Mainsheet!$C$24)/100</f>
        <v>11502.654647753719</v>
      </c>
      <c r="F8" s="15">
        <f t="shared" si="1"/>
        <v>7.4505120630500793E-3</v>
      </c>
      <c r="G8" s="15">
        <f>G7-(Mainsheet!$C$24-Mainsheet!$C$26)/100</f>
        <v>1696.6350589967126</v>
      </c>
      <c r="H8" s="16">
        <f t="shared" si="4"/>
        <v>2.87E-2</v>
      </c>
      <c r="I8" s="15"/>
      <c r="J8" s="15"/>
      <c r="K8" s="15">
        <f t="shared" si="2"/>
        <v>109.13372028920892</v>
      </c>
      <c r="L8" s="16">
        <f t="shared" si="5"/>
        <v>1</v>
      </c>
      <c r="M8" s="15">
        <f>M7+(Mainsheet!$D$22-Mainsheet!$D$20)/100</f>
        <v>181.85210469779605</v>
      </c>
      <c r="N8" s="16">
        <f>N7+Mainsheet!$I$6*LN(Data!M8/M7)</f>
        <v>1.0312154220776972</v>
      </c>
      <c r="O8" s="15">
        <f t="shared" si="3"/>
        <v>298.60859655117821</v>
      </c>
      <c r="P8" s="16">
        <f t="shared" si="6"/>
        <v>1.3978664816414081</v>
      </c>
      <c r="Q8" s="15">
        <f>Q7-(Mainsheet!$D$24-Mainsheet!$D$26)/100</f>
        <v>169.66350589967132</v>
      </c>
      <c r="R8" s="15">
        <f>R7+Mainsheet!$I$6*LN(Data!Q8/Data!Q7)</f>
        <v>1.3793041596798417</v>
      </c>
      <c r="S8" s="15"/>
      <c r="T8" s="15"/>
    </row>
    <row r="9" spans="1:20" x14ac:dyDescent="0.3">
      <c r="A9" s="15">
        <f>A8+(Mainsheet!$C$20-Mainsheet!$C$18)/100</f>
        <v>1417.5083154458291</v>
      </c>
      <c r="B9" s="18">
        <f t="shared" si="0"/>
        <v>2.2369141380630113E-2</v>
      </c>
      <c r="C9" s="16">
        <f>C8+(Mainsheet!$C$22-Mainsheet!$C$20)/100</f>
        <v>7325.6974681689853</v>
      </c>
      <c r="D9" s="16">
        <f>Mainsheet!$E$20</f>
        <v>7.175E-3</v>
      </c>
      <c r="E9" s="15">
        <f>E8-(Mainsheet!$C$22-Mainsheet!$C$24)/100</f>
        <v>11398.808333698809</v>
      </c>
      <c r="F9" s="15">
        <f t="shared" si="1"/>
        <v>7.4989322354207678E-3</v>
      </c>
      <c r="G9" s="15">
        <f>G8-(Mainsheet!$C$24-Mainsheet!$C$26)/100</f>
        <v>1689.2240477307901</v>
      </c>
      <c r="H9" s="16">
        <f t="shared" si="4"/>
        <v>2.87E-2</v>
      </c>
      <c r="I9" s="15"/>
      <c r="J9" s="15"/>
      <c r="K9" s="15">
        <f t="shared" si="2"/>
        <v>110.48238298406474</v>
      </c>
      <c r="L9" s="16">
        <f t="shared" si="5"/>
        <v>1</v>
      </c>
      <c r="M9" s="15">
        <f>M8+(Mainsheet!$D$22-Mainsheet!$D$20)/100</f>
        <v>183.14243670422459</v>
      </c>
      <c r="N9" s="16">
        <f>N8+Mainsheet!$I$6*LN(Data!M9/M8)</f>
        <v>1.0362884682001481</v>
      </c>
      <c r="O9" s="15">
        <f t="shared" si="3"/>
        <v>297.83585804514598</v>
      </c>
      <c r="P9" s="16">
        <f t="shared" si="6"/>
        <v>1.3978664816414081</v>
      </c>
      <c r="Q9" s="15">
        <f>Q8-(Mainsheet!$D$24-Mainsheet!$D$26)/100</f>
        <v>168.92240477307908</v>
      </c>
      <c r="R9" s="15">
        <f>R8+Mainsheet!$I$6*LN(Data!Q9/Data!Q8)</f>
        <v>1.3761632085017661</v>
      </c>
      <c r="S9" s="15"/>
      <c r="T9" s="15"/>
    </row>
    <row r="10" spans="1:20" x14ac:dyDescent="0.3">
      <c r="A10" s="15">
        <f>A9+(Mainsheet!$C$20-Mainsheet!$C$18)/100</f>
        <v>1477.152360509519</v>
      </c>
      <c r="B10" s="18">
        <f t="shared" si="0"/>
        <v>2.1720200525577302E-2</v>
      </c>
      <c r="C10" s="16">
        <f>C9+(Mainsheet!$C$22-Mainsheet!$C$20)/100</f>
        <v>7377.3107484261272</v>
      </c>
      <c r="D10" s="16">
        <f>Mainsheet!$E$20</f>
        <v>7.175E-3</v>
      </c>
      <c r="E10" s="15">
        <f>E9-(Mainsheet!$C$22-Mainsheet!$C$24)/100</f>
        <v>11294.962019643899</v>
      </c>
      <c r="F10" s="15">
        <f t="shared" si="1"/>
        <v>7.548114571303513E-3</v>
      </c>
      <c r="G10" s="15">
        <f>G9-(Mainsheet!$C$24-Mainsheet!$C$26)/100</f>
        <v>1681.8130364648675</v>
      </c>
      <c r="H10" s="16">
        <f t="shared" si="4"/>
        <v>2.87E-2</v>
      </c>
      <c r="I10" s="15"/>
      <c r="J10" s="15"/>
      <c r="K10" s="15">
        <f t="shared" si="2"/>
        <v>111.79109922333315</v>
      </c>
      <c r="L10" s="16">
        <f t="shared" si="5"/>
        <v>1</v>
      </c>
      <c r="M10" s="15">
        <f>M9+(Mainsheet!$D$22-Mainsheet!$D$20)/100</f>
        <v>184.43276871065314</v>
      </c>
      <c r="N10" s="16">
        <f>N9+Mainsheet!$I$6*LN(Data!M10/M9)</f>
        <v>1.041325897297009</v>
      </c>
      <c r="O10" s="15">
        <f t="shared" si="3"/>
        <v>297.05807457419473</v>
      </c>
      <c r="P10" s="16">
        <f t="shared" si="6"/>
        <v>1.3978664816414081</v>
      </c>
      <c r="Q10" s="15">
        <f>Q9-(Mainsheet!$D$24-Mainsheet!$D$26)/100</f>
        <v>168.18130364648684</v>
      </c>
      <c r="R10" s="15">
        <f>R9+Mainsheet!$I$6*LN(Data!Q10/Data!Q9)</f>
        <v>1.3730084469153068</v>
      </c>
      <c r="S10" s="15"/>
      <c r="T10" s="15"/>
    </row>
    <row r="11" spans="1:20" x14ac:dyDescent="0.3">
      <c r="A11" s="15">
        <f>A10+(Mainsheet!$C$20-Mainsheet!$C$18)/100</f>
        <v>1536.7964055732089</v>
      </c>
      <c r="B11" s="18">
        <f t="shared" si="0"/>
        <v>2.1114680480667815E-2</v>
      </c>
      <c r="C11" s="16">
        <f>C10+(Mainsheet!$C$22-Mainsheet!$C$20)/100</f>
        <v>7428.9240286832692</v>
      </c>
      <c r="D11" s="16">
        <f>Mainsheet!$E$20</f>
        <v>7.175E-3</v>
      </c>
      <c r="E11" s="15">
        <f>E10-(Mainsheet!$C$22-Mainsheet!$C$24)/100</f>
        <v>11191.115705588989</v>
      </c>
      <c r="F11" s="15">
        <f t="shared" si="1"/>
        <v>7.5980782419003134E-3</v>
      </c>
      <c r="G11" s="15">
        <f>G10-(Mainsheet!$C$24-Mainsheet!$C$26)/100</f>
        <v>1674.402025198945</v>
      </c>
      <c r="H11" s="16">
        <f t="shared" si="4"/>
        <v>2.87E-2</v>
      </c>
      <c r="I11" s="15"/>
      <c r="J11" s="15"/>
      <c r="K11" s="15">
        <f t="shared" si="2"/>
        <v>113.06259605406653</v>
      </c>
      <c r="L11" s="16">
        <f t="shared" si="5"/>
        <v>1</v>
      </c>
      <c r="M11" s="15">
        <f>M10+(Mainsheet!$D$22-Mainsheet!$D$20)/100</f>
        <v>185.72310071708168</v>
      </c>
      <c r="N11" s="16">
        <f>N10+Mainsheet!$I$6*LN(Data!M11/M10)</f>
        <v>1.0463282060060948</v>
      </c>
      <c r="O11" s="15">
        <f t="shared" si="3"/>
        <v>296.27516635966754</v>
      </c>
      <c r="P11" s="16">
        <f t="shared" si="6"/>
        <v>1.3978664816414081</v>
      </c>
      <c r="Q11" s="15">
        <f>Q10-(Mainsheet!$D$24-Mainsheet!$D$26)/100</f>
        <v>167.4402025198946</v>
      </c>
      <c r="R11" s="15">
        <f>R10+Mainsheet!$I$6*LN(Data!Q11/Data!Q10)</f>
        <v>1.3698397529383055</v>
      </c>
      <c r="S11" s="15"/>
      <c r="T11" s="15"/>
    </row>
    <row r="12" spans="1:20" x14ac:dyDescent="0.3">
      <c r="A12" s="15">
        <f>A11+(Mainsheet!$C$20-Mainsheet!$C$18)/100</f>
        <v>1596.4404506368987</v>
      </c>
      <c r="B12" s="18">
        <f t="shared" si="0"/>
        <v>2.0548153841885936E-2</v>
      </c>
      <c r="C12" s="16">
        <f>C11+(Mainsheet!$C$22-Mainsheet!$C$20)/100</f>
        <v>7480.5373089404111</v>
      </c>
      <c r="D12" s="16">
        <f>Mainsheet!$E$20</f>
        <v>7.175E-3</v>
      </c>
      <c r="E12" s="15">
        <f>E11-(Mainsheet!$C$22-Mainsheet!$C$24)/100</f>
        <v>11087.269391534079</v>
      </c>
      <c r="F12" s="15">
        <f t="shared" si="1"/>
        <v>7.6488430844751064E-3</v>
      </c>
      <c r="G12" s="15">
        <f>G11-(Mainsheet!$C$24-Mainsheet!$C$26)/100</f>
        <v>1666.9910139330225</v>
      </c>
      <c r="H12" s="16">
        <f t="shared" si="4"/>
        <v>2.87E-2</v>
      </c>
      <c r="I12" s="15"/>
      <c r="J12" s="15"/>
      <c r="K12" s="15">
        <f t="shared" si="2"/>
        <v>114.29931700033696</v>
      </c>
      <c r="L12" s="16">
        <f t="shared" si="5"/>
        <v>1</v>
      </c>
      <c r="M12" s="15">
        <f>M11+(Mainsheet!$D$22-Mainsheet!$D$20)/100</f>
        <v>187.01343272351022</v>
      </c>
      <c r="N12" s="16">
        <f>N11+Mainsheet!$I$6*LN(Data!M12/M11)</f>
        <v>1.0512958806495469</v>
      </c>
      <c r="O12" s="15">
        <f t="shared" si="3"/>
        <v>295.4870516067873</v>
      </c>
      <c r="P12" s="16">
        <f t="shared" si="6"/>
        <v>1.3978664816414081</v>
      </c>
      <c r="Q12" s="15">
        <f>Q11-(Mainsheet!$D$24-Mainsheet!$D$26)/100</f>
        <v>166.69910139330236</v>
      </c>
      <c r="R12" s="15">
        <f>R11+Mainsheet!$I$6*LN(Data!Q12/Data!Q11)</f>
        <v>1.3666570029652987</v>
      </c>
      <c r="S12" s="15"/>
      <c r="T12" s="15"/>
    </row>
    <row r="13" spans="1:20" x14ac:dyDescent="0.3">
      <c r="A13" s="15">
        <f>A12+(Mainsheet!$C$20-Mainsheet!$C$18)/100</f>
        <v>1656.0844957005886</v>
      </c>
      <c r="B13" s="18">
        <f t="shared" si="0"/>
        <v>2.0016788617658987E-2</v>
      </c>
      <c r="C13" s="16">
        <f>C12+(Mainsheet!$C$22-Mainsheet!$C$20)/100</f>
        <v>7532.150589197553</v>
      </c>
      <c r="D13" s="16">
        <f>Mainsheet!$E$20</f>
        <v>7.175E-3</v>
      </c>
      <c r="E13" s="15">
        <f>E12-(Mainsheet!$C$22-Mainsheet!$C$24)/100</f>
        <v>10983.423077479169</v>
      </c>
      <c r="F13" s="15">
        <f t="shared" si="1"/>
        <v>7.7004296320022699E-3</v>
      </c>
      <c r="G13" s="15">
        <f>G12-(Mainsheet!$C$24-Mainsheet!$C$26)/100</f>
        <v>1659.5800026671</v>
      </c>
      <c r="H13" s="16">
        <f t="shared" si="4"/>
        <v>2.87E-2</v>
      </c>
      <c r="I13" s="15"/>
      <c r="J13" s="15"/>
      <c r="K13" s="15">
        <f t="shared" si="2"/>
        <v>115.50346091784346</v>
      </c>
      <c r="L13" s="16">
        <f t="shared" si="5"/>
        <v>1</v>
      </c>
      <c r="M13" s="15">
        <f>M12+(Mainsheet!$D$22-Mainsheet!$D$20)/100</f>
        <v>188.30376472993876</v>
      </c>
      <c r="N13" s="16">
        <f>N12+Mainsheet!$I$6*LN(Data!M13/M12)</f>
        <v>1.0562293975175607</v>
      </c>
      <c r="O13" s="15">
        <f t="shared" si="3"/>
        <v>294.69364643427929</v>
      </c>
      <c r="P13" s="16">
        <f t="shared" si="6"/>
        <v>1.3978664816414081</v>
      </c>
      <c r="Q13" s="15">
        <f>Q12-(Mainsheet!$D$24-Mainsheet!$D$26)/100</f>
        <v>165.95800026671012</v>
      </c>
      <c r="R13" s="15">
        <f>R12+Mainsheet!$I$6*LN(Data!Q13/Data!Q12)</f>
        <v>1.3634600717385852</v>
      </c>
      <c r="S13" s="15"/>
      <c r="T13" s="15"/>
    </row>
    <row r="14" spans="1:20" x14ac:dyDescent="0.3">
      <c r="A14" s="15">
        <f>A13+(Mainsheet!$C$20-Mainsheet!$C$18)/100</f>
        <v>1715.7285407642785</v>
      </c>
      <c r="B14" s="18">
        <f t="shared" si="0"/>
        <v>1.9517250145959307E-2</v>
      </c>
      <c r="C14" s="16">
        <f>C13+(Mainsheet!$C$22-Mainsheet!$C$20)/100</f>
        <v>7583.7638694546949</v>
      </c>
      <c r="D14" s="16">
        <f>Mainsheet!$E$20</f>
        <v>7.175E-3</v>
      </c>
      <c r="E14" s="15">
        <f>E13-(Mainsheet!$C$22-Mainsheet!$C$24)/100</f>
        <v>10879.576763424258</v>
      </c>
      <c r="F14" s="15">
        <f t="shared" si="1"/>
        <v>7.7528591444300842E-3</v>
      </c>
      <c r="G14" s="15">
        <f>G13-(Mainsheet!$C$24-Mainsheet!$C$26)/100</f>
        <v>1652.1689914011774</v>
      </c>
      <c r="H14" s="16">
        <f t="shared" si="4"/>
        <v>2.87E-2</v>
      </c>
      <c r="I14" s="15"/>
      <c r="J14" s="15"/>
      <c r="K14" s="15">
        <f t="shared" si="2"/>
        <v>116.67701432981939</v>
      </c>
      <c r="L14" s="16">
        <f t="shared" si="5"/>
        <v>1</v>
      </c>
      <c r="M14" s="15">
        <f>M13+(Mainsheet!$D$22-Mainsheet!$D$20)/100</f>
        <v>189.59409673636731</v>
      </c>
      <c r="N14" s="16">
        <f>N13+Mainsheet!$I$6*LN(Data!M14/M13)</f>
        <v>1.0611292231424223</v>
      </c>
      <c r="O14" s="15">
        <f t="shared" si="3"/>
        <v>293.89486480084611</v>
      </c>
      <c r="P14" s="16">
        <f t="shared" si="6"/>
        <v>1.3978664816414081</v>
      </c>
      <c r="Q14" s="15">
        <f>Q13-(Mainsheet!$D$24-Mainsheet!$D$26)/100</f>
        <v>165.21689914011787</v>
      </c>
      <c r="R14" s="15">
        <f>R13+Mainsheet!$I$6*LN(Data!Q14/Data!Q13)</f>
        <v>1.3602488323186475</v>
      </c>
      <c r="S14" s="15"/>
      <c r="T14" s="15"/>
    </row>
    <row r="15" spans="1:20" x14ac:dyDescent="0.3">
      <c r="A15" s="15">
        <f>A14+(Mainsheet!$C$20-Mainsheet!$C$18)/100</f>
        <v>1775.3725858279684</v>
      </c>
      <c r="B15" s="18">
        <f t="shared" si="0"/>
        <v>1.9046621935280866E-2</v>
      </c>
      <c r="C15" s="16">
        <f>C14+(Mainsheet!$C$22-Mainsheet!$C$20)/100</f>
        <v>7635.3771497118369</v>
      </c>
      <c r="D15" s="16">
        <f>Mainsheet!$E$20</f>
        <v>7.175E-3</v>
      </c>
      <c r="E15" s="15">
        <f>E14-(Mainsheet!$C$22-Mainsheet!$C$24)/100</f>
        <v>10775.730449369348</v>
      </c>
      <c r="F15" s="15">
        <f t="shared" si="1"/>
        <v>7.8061536416634885E-3</v>
      </c>
      <c r="G15" s="15">
        <f>G14-(Mainsheet!$C$24-Mainsheet!$C$26)/100</f>
        <v>1644.7579801352549</v>
      </c>
      <c r="H15" s="16">
        <f t="shared" si="4"/>
        <v>2.87E-2</v>
      </c>
      <c r="I15" s="15"/>
      <c r="J15" s="15"/>
      <c r="K15" s="15">
        <f t="shared" si="2"/>
        <v>117.82177852448535</v>
      </c>
      <c r="L15" s="16">
        <f t="shared" si="5"/>
        <v>1</v>
      </c>
      <c r="M15" s="15">
        <f>M14+(Mainsheet!$D$22-Mainsheet!$D$20)/100</f>
        <v>190.88442874279585</v>
      </c>
      <c r="N15" s="16">
        <f>N14+Mainsheet!$I$6*LN(Data!M15/M14)</f>
        <v>1.0659958145632538</v>
      </c>
      <c r="O15" s="15">
        <f t="shared" si="3"/>
        <v>293.09061842832295</v>
      </c>
      <c r="P15" s="16">
        <f t="shared" si="6"/>
        <v>1.3978664816414081</v>
      </c>
      <c r="Q15" s="15">
        <f>Q14-(Mainsheet!$D$24-Mainsheet!$D$26)/100</f>
        <v>164.47579801352563</v>
      </c>
      <c r="R15" s="15">
        <f>R14+Mainsheet!$I$6*LN(Data!Q15/Data!Q14)</f>
        <v>1.3570231560539074</v>
      </c>
      <c r="S15" s="15"/>
      <c r="T15" s="15"/>
    </row>
    <row r="16" spans="1:20" x14ac:dyDescent="0.3">
      <c r="A16" s="15">
        <f>A15+(Mainsheet!$C$20-Mainsheet!$C$18)/100</f>
        <v>1835.0166308916582</v>
      </c>
      <c r="B16" s="18">
        <f t="shared" si="0"/>
        <v>1.8602341279431851E-2</v>
      </c>
      <c r="C16" s="16">
        <f>C15+(Mainsheet!$C$22-Mainsheet!$C$20)/100</f>
        <v>7686.9904299689788</v>
      </c>
      <c r="D16" s="16">
        <f>Mainsheet!$E$20</f>
        <v>7.175E-3</v>
      </c>
      <c r="E16" s="15">
        <f>E15-(Mainsheet!$C$22-Mainsheet!$C$24)/100</f>
        <v>10671.884135314438</v>
      </c>
      <c r="F16" s="15">
        <f t="shared" si="1"/>
        <v>7.8603359383783104E-3</v>
      </c>
      <c r="G16" s="15">
        <f>G15-(Mainsheet!$C$24-Mainsheet!$C$26)/100</f>
        <v>1637.3469688693324</v>
      </c>
      <c r="H16" s="16">
        <f t="shared" si="4"/>
        <v>2.87E-2</v>
      </c>
      <c r="I16" s="15"/>
      <c r="J16" s="15"/>
      <c r="K16" s="15">
        <f t="shared" si="2"/>
        <v>118.9393924086406</v>
      </c>
      <c r="L16" s="16">
        <f t="shared" si="5"/>
        <v>1</v>
      </c>
      <c r="M16" s="15">
        <f>M15+(Mainsheet!$D$22-Mainsheet!$D$20)/100</f>
        <v>192.17476074922439</v>
      </c>
      <c r="N16" s="16">
        <f>N15+Mainsheet!$I$6*LN(Data!M16/M15)</f>
        <v>1.0708296195818388</v>
      </c>
      <c r="O16" s="15">
        <f t="shared" si="3"/>
        <v>292.28081672132902</v>
      </c>
      <c r="P16" s="16">
        <f t="shared" si="6"/>
        <v>1.3978664816414081</v>
      </c>
      <c r="Q16" s="15">
        <f>Q15-(Mainsheet!$D$24-Mainsheet!$D$26)/100</f>
        <v>163.73469688693339</v>
      </c>
      <c r="R16" s="15">
        <f>R15+Mainsheet!$I$6*LN(Data!Q16/Data!Q15)</f>
        <v>1.3537829125497989</v>
      </c>
      <c r="S16" s="15"/>
      <c r="T16" s="15"/>
    </row>
    <row r="17" spans="1:20" x14ac:dyDescent="0.3">
      <c r="A17" s="15">
        <f>A16+(Mainsheet!$C$20-Mainsheet!$C$18)/100</f>
        <v>1894.6606759553481</v>
      </c>
      <c r="B17" s="18">
        <f t="shared" si="0"/>
        <v>1.8182146508703922E-2</v>
      </c>
      <c r="C17" s="16">
        <f>C16+(Mainsheet!$C$22-Mainsheet!$C$20)/100</f>
        <v>7738.6037102261207</v>
      </c>
      <c r="D17" s="16">
        <f>Mainsheet!$E$20</f>
        <v>7.175E-3</v>
      </c>
      <c r="E17" s="15">
        <f>E16-(Mainsheet!$C$22-Mainsheet!$C$24)/100</f>
        <v>10568.037821259528</v>
      </c>
      <c r="F17" s="15">
        <f t="shared" si="1"/>
        <v>7.9154296807876535E-3</v>
      </c>
      <c r="G17" s="15">
        <f>G16-(Mainsheet!$C$24-Mainsheet!$C$26)/100</f>
        <v>1629.9359576034099</v>
      </c>
      <c r="H17" s="16">
        <f t="shared" si="4"/>
        <v>2.87E-2</v>
      </c>
      <c r="I17" s="15"/>
      <c r="J17" s="15"/>
      <c r="K17" s="15">
        <f t="shared" si="2"/>
        <v>120.03135189721306</v>
      </c>
      <c r="L17" s="16">
        <f t="shared" si="5"/>
        <v>1</v>
      </c>
      <c r="M17" s="15">
        <f>M16+(Mainsheet!$D$22-Mainsheet!$D$20)/100</f>
        <v>193.46509275565293</v>
      </c>
      <c r="N17" s="16">
        <f>N16+Mainsheet!$I$6*LN(Data!M17/M16)</f>
        <v>1.0756310770098885</v>
      </c>
      <c r="O17" s="15">
        <f t="shared" si="3"/>
        <v>291.46536668322005</v>
      </c>
      <c r="P17" s="16">
        <f t="shared" si="6"/>
        <v>1.3978664816414081</v>
      </c>
      <c r="Q17" s="15">
        <f>Q16-(Mainsheet!$D$24-Mainsheet!$D$26)/100</f>
        <v>162.99359576034115</v>
      </c>
      <c r="R17" s="15">
        <f>R16+Mainsheet!$I$6*LN(Data!Q17/Data!Q16)</f>
        <v>1.3505279696371397</v>
      </c>
      <c r="S17" s="15"/>
      <c r="T17" s="15"/>
    </row>
    <row r="18" spans="1:20" x14ac:dyDescent="0.3">
      <c r="A18" s="15">
        <f>A17+(Mainsheet!$C$20-Mainsheet!$C$18)/100</f>
        <v>1954.304721019038</v>
      </c>
      <c r="B18" s="18">
        <f t="shared" si="0"/>
        <v>1.7784033482040967E-2</v>
      </c>
      <c r="C18" s="16">
        <f>C17+(Mainsheet!$C$22-Mainsheet!$C$20)/100</f>
        <v>7790.2169904832626</v>
      </c>
      <c r="D18" s="16">
        <f>Mainsheet!$E$20</f>
        <v>7.175E-3</v>
      </c>
      <c r="E18" s="15">
        <f>E17-(Mainsheet!$C$22-Mainsheet!$C$24)/100</f>
        <v>10464.191507204618</v>
      </c>
      <c r="F18" s="15">
        <f t="shared" si="1"/>
        <v>7.9714593854903221E-3</v>
      </c>
      <c r="G18" s="15">
        <f>G17-(Mainsheet!$C$24-Mainsheet!$C$26)/100</f>
        <v>1622.5249463374873</v>
      </c>
      <c r="H18" s="16">
        <f t="shared" si="4"/>
        <v>2.87E-2</v>
      </c>
      <c r="I18" s="15"/>
      <c r="J18" s="15"/>
      <c r="K18" s="15">
        <f t="shared" si="2"/>
        <v>121.09902645544705</v>
      </c>
      <c r="L18" s="16">
        <f t="shared" si="5"/>
        <v>1</v>
      </c>
      <c r="M18" s="15">
        <f>M17+(Mainsheet!$D$22-Mainsheet!$D$20)/100</f>
        <v>194.75542476208147</v>
      </c>
      <c r="N18" s="16">
        <f>N17+Mainsheet!$I$6*LN(Data!M18/M17)</f>
        <v>1.08040061690809</v>
      </c>
      <c r="O18" s="15">
        <f t="shared" si="3"/>
        <v>290.64417282813372</v>
      </c>
      <c r="P18" s="16">
        <f t="shared" si="6"/>
        <v>1.3978664816414081</v>
      </c>
      <c r="Q18" s="15">
        <f>Q17-(Mainsheet!$D$24-Mainsheet!$D$26)/100</f>
        <v>162.25249463374891</v>
      </c>
      <c r="R18" s="15">
        <f>R17+Mainsheet!$I$6*LN(Data!Q18/Data!Q17)</f>
        <v>1.3472581933397827</v>
      </c>
      <c r="S18" s="15"/>
      <c r="T18" s="15"/>
    </row>
    <row r="19" spans="1:20" x14ac:dyDescent="0.3">
      <c r="A19" s="15">
        <f>A18+(Mainsheet!$C$20-Mainsheet!$C$18)/100</f>
        <v>2013.9487660827278</v>
      </c>
      <c r="B19" s="18">
        <f t="shared" si="0"/>
        <v>1.7406219474522772E-2</v>
      </c>
      <c r="C19" s="16">
        <f>C18+(Mainsheet!$C$22-Mainsheet!$C$20)/100</f>
        <v>7841.8302707404046</v>
      </c>
      <c r="D19" s="16">
        <f>Mainsheet!$E$20</f>
        <v>7.175E-3</v>
      </c>
      <c r="E19" s="15">
        <f>E18-(Mainsheet!$C$22-Mainsheet!$C$24)/100</f>
        <v>10360.345193149707</v>
      </c>
      <c r="F19" s="15">
        <f t="shared" si="1"/>
        <v>8.0284504805412174E-3</v>
      </c>
      <c r="G19" s="15">
        <f>G18-(Mainsheet!$C$24-Mainsheet!$C$26)/100</f>
        <v>1615.1139350715648</v>
      </c>
      <c r="H19" s="16">
        <f t="shared" si="4"/>
        <v>2.87E-2</v>
      </c>
      <c r="I19" s="15"/>
      <c r="J19" s="15"/>
      <c r="K19" s="15">
        <f t="shared" si="2"/>
        <v>122.14367328529717</v>
      </c>
      <c r="L19" s="16">
        <f t="shared" si="5"/>
        <v>1</v>
      </c>
      <c r="M19" s="15">
        <f>M18+(Mainsheet!$D$22-Mainsheet!$D$20)/100</f>
        <v>196.04575676851002</v>
      </c>
      <c r="N19" s="16">
        <f>N18+Mainsheet!$I$6*LN(Data!M19/M18)</f>
        <v>1.0851386608172597</v>
      </c>
      <c r="O19" s="15">
        <f t="shared" si="3"/>
        <v>289.81713708890476</v>
      </c>
      <c r="P19" s="16">
        <f t="shared" si="6"/>
        <v>1.3978664816414081</v>
      </c>
      <c r="Q19" s="15">
        <f>Q18-(Mainsheet!$D$24-Mainsheet!$D$26)/100</f>
        <v>161.51139350715667</v>
      </c>
      <c r="R19" s="15">
        <f>R18+Mainsheet!$I$6*LN(Data!Q19/Data!Q18)</f>
        <v>1.3439734478415253</v>
      </c>
      <c r="S19" s="15"/>
      <c r="T19" s="15"/>
    </row>
    <row r="20" spans="1:20" x14ac:dyDescent="0.3">
      <c r="A20" s="15">
        <f>A19+(Mainsheet!$C$20-Mainsheet!$C$18)/100</f>
        <v>2073.5928111464177</v>
      </c>
      <c r="B20" s="18">
        <f t="shared" si="0"/>
        <v>1.7047113025790091E-2</v>
      </c>
      <c r="C20" s="16">
        <f>C19+(Mainsheet!$C$22-Mainsheet!$C$20)/100</f>
        <v>7893.4435509975465</v>
      </c>
      <c r="D20" s="16">
        <f>Mainsheet!$E$20</f>
        <v>7.175E-3</v>
      </c>
      <c r="E20" s="15">
        <f>E19-(Mainsheet!$C$22-Mainsheet!$C$24)/100</f>
        <v>10256.498879094797</v>
      </c>
      <c r="F20" s="15">
        <f t="shared" si="1"/>
        <v>8.0864293488945305E-3</v>
      </c>
      <c r="G20" s="15">
        <f>G19-(Mainsheet!$C$24-Mainsheet!$C$26)/100</f>
        <v>1607.7029238056423</v>
      </c>
      <c r="H20" s="16">
        <f t="shared" si="4"/>
        <v>2.87E-2</v>
      </c>
      <c r="I20" s="15"/>
      <c r="J20" s="15"/>
      <c r="K20" s="15">
        <f t="shared" si="2"/>
        <v>123.1664495507972</v>
      </c>
      <c r="L20" s="16">
        <f t="shared" si="5"/>
        <v>1</v>
      </c>
      <c r="M20" s="15">
        <f>M19+(Mainsheet!$D$22-Mainsheet!$D$20)/100</f>
        <v>197.33608877493856</v>
      </c>
      <c r="N20" s="16">
        <f>N19+Mainsheet!$I$6*LN(Data!M20/M19)</f>
        <v>1.0898456219819168</v>
      </c>
      <c r="O20" s="15">
        <f t="shared" si="3"/>
        <v>288.98415872061338</v>
      </c>
      <c r="P20" s="16">
        <f t="shared" si="6"/>
        <v>1.3978664816414081</v>
      </c>
      <c r="Q20" s="15">
        <f>Q19-(Mainsheet!$D$24-Mainsheet!$D$26)/100</f>
        <v>160.77029238056443</v>
      </c>
      <c r="R20" s="15">
        <f>R19+Mainsheet!$I$6*LN(Data!Q20/Data!Q19)</f>
        <v>1.3406735954522593</v>
      </c>
      <c r="S20" s="15"/>
      <c r="T20" s="15"/>
    </row>
    <row r="21" spans="1:20" x14ac:dyDescent="0.3">
      <c r="A21" s="15">
        <f>A20+(Mainsheet!$C$20-Mainsheet!$C$18)/100</f>
        <v>2133.2368562101078</v>
      </c>
      <c r="B21" s="18">
        <f t="shared" si="0"/>
        <v>1.6705288625710774E-2</v>
      </c>
      <c r="C21" s="16">
        <f>C20+(Mainsheet!$C$22-Mainsheet!$C$20)/100</f>
        <v>7945.0568312546884</v>
      </c>
      <c r="D21" s="16">
        <f>Mainsheet!$E$20</f>
        <v>7.175E-3</v>
      </c>
      <c r="E21" s="15">
        <f>E20-(Mainsheet!$C$22-Mainsheet!$C$24)/100</f>
        <v>10152.652565039887</v>
      </c>
      <c r="F21" s="15">
        <f t="shared" si="1"/>
        <v>8.1454233743824735E-3</v>
      </c>
      <c r="G21" s="15">
        <f>G20-(Mainsheet!$C$24-Mainsheet!$C$26)/100</f>
        <v>1600.2919125397198</v>
      </c>
      <c r="H21" s="16">
        <f t="shared" si="4"/>
        <v>2.87E-2</v>
      </c>
      <c r="I21" s="15"/>
      <c r="J21" s="15"/>
      <c r="K21" s="15">
        <f t="shared" si="2"/>
        <v>124.16842296165061</v>
      </c>
      <c r="L21" s="16">
        <f t="shared" si="5"/>
        <v>1</v>
      </c>
      <c r="M21" s="15">
        <f>M20+(Mainsheet!$D$22-Mainsheet!$D$20)/100</f>
        <v>198.6264207813671</v>
      </c>
      <c r="N21" s="16">
        <f>N20+Mainsheet!$I$6*LN(Data!M21/M20)</f>
        <v>1.0945219055665691</v>
      </c>
      <c r="O21" s="15">
        <f t="shared" si="3"/>
        <v>288.14513419951248</v>
      </c>
      <c r="P21" s="16">
        <f t="shared" si="6"/>
        <v>1.3978664816414081</v>
      </c>
      <c r="Q21" s="15">
        <f>Q20-(Mainsheet!$D$24-Mainsheet!$D$26)/100</f>
        <v>160.02919125397219</v>
      </c>
      <c r="R21" s="15">
        <f>R20+Mainsheet!$I$6*LN(Data!Q21/Data!Q20)</f>
        <v>1.3373584965733381</v>
      </c>
      <c r="S21" s="15"/>
      <c r="T21" s="15"/>
    </row>
    <row r="22" spans="1:20" x14ac:dyDescent="0.3">
      <c r="A22" s="15">
        <f>A21+(Mainsheet!$C$20-Mainsheet!$C$18)/100</f>
        <v>2192.8809012737979</v>
      </c>
      <c r="B22" s="18">
        <f t="shared" si="0"/>
        <v>1.6379465350322871E-2</v>
      </c>
      <c r="C22" s="16">
        <f>C21+(Mainsheet!$C$22-Mainsheet!$C$20)/100</f>
        <v>7996.6701115118303</v>
      </c>
      <c r="D22" s="16">
        <f>Mainsheet!$E$20</f>
        <v>7.175E-3</v>
      </c>
      <c r="E22" s="15">
        <f>E21-(Mainsheet!$C$22-Mainsheet!$C$24)/100</f>
        <v>10048.806250984977</v>
      </c>
      <c r="F22" s="15">
        <f t="shared" si="1"/>
        <v>8.2054609904052018E-3</v>
      </c>
      <c r="G22" s="15">
        <f>G21-(Mainsheet!$C$24-Mainsheet!$C$26)/100</f>
        <v>1592.8809012737972</v>
      </c>
      <c r="H22" s="16">
        <f t="shared" si="4"/>
        <v>2.87E-2</v>
      </c>
      <c r="I22" s="15"/>
      <c r="J22" s="15"/>
      <c r="K22" s="15">
        <f t="shared" si="2"/>
        <v>125.15058097490927</v>
      </c>
      <c r="L22" s="16">
        <f t="shared" si="5"/>
        <v>1</v>
      </c>
      <c r="M22" s="15">
        <f>M21+(Mainsheet!$D$22-Mainsheet!$D$20)/100</f>
        <v>199.91675278779564</v>
      </c>
      <c r="N22" s="16">
        <f>N21+Mainsheet!$I$6*LN(Data!M22/M21)</f>
        <v>1.0991679088649966</v>
      </c>
      <c r="O22" s="15">
        <f t="shared" si="3"/>
        <v>287.29995711706334</v>
      </c>
      <c r="P22" s="16">
        <f t="shared" si="6"/>
        <v>1.3978664816414081</v>
      </c>
      <c r="Q22" s="15">
        <f>Q21-(Mainsheet!$D$24-Mainsheet!$D$26)/100</f>
        <v>159.28809012737995</v>
      </c>
      <c r="R22" s="15">
        <f>R21+Mainsheet!$I$6*LN(Data!Q22/Data!Q21)</f>
        <v>1.3340280096621406</v>
      </c>
      <c r="S22" s="15"/>
      <c r="T22" s="15"/>
    </row>
    <row r="23" spans="1:20" x14ac:dyDescent="0.3">
      <c r="A23" s="15">
        <f>A22+(Mainsheet!$C$20-Mainsheet!$C$18)/100</f>
        <v>2252.524946337488</v>
      </c>
      <c r="B23" s="18">
        <f t="shared" si="0"/>
        <v>1.6068488742983767E-2</v>
      </c>
      <c r="C23" s="16">
        <f>C22+(Mainsheet!$C$22-Mainsheet!$C$20)/100</f>
        <v>8048.2833917689723</v>
      </c>
      <c r="D23" s="16">
        <f>Mainsheet!$E$20</f>
        <v>7.175E-3</v>
      </c>
      <c r="E23" s="15">
        <f>E22-(Mainsheet!$C$22-Mainsheet!$C$24)/100</f>
        <v>9944.9599369300668</v>
      </c>
      <c r="F23" s="15">
        <f t="shared" si="1"/>
        <v>8.2665717315217498E-3</v>
      </c>
      <c r="G23" s="15">
        <f>G22-(Mainsheet!$C$24-Mainsheet!$C$26)/100</f>
        <v>1585.4698900078747</v>
      </c>
      <c r="H23" s="16">
        <f t="shared" si="4"/>
        <v>2.87E-2</v>
      </c>
      <c r="I23" s="15"/>
      <c r="J23" s="15"/>
      <c r="K23" s="15">
        <f t="shared" si="2"/>
        <v>126.11383882757508</v>
      </c>
      <c r="L23" s="16">
        <f t="shared" si="5"/>
        <v>1</v>
      </c>
      <c r="M23" s="15">
        <f>M22+(Mainsheet!$D$22-Mainsheet!$D$20)/100</f>
        <v>201.20708479422419</v>
      </c>
      <c r="N23" s="16">
        <f>N22+Mainsheet!$I$6*LN(Data!M23/M22)</f>
        <v>1.1037840215028036</v>
      </c>
      <c r="O23" s="15">
        <f t="shared" si="3"/>
        <v>286.44851806878893</v>
      </c>
      <c r="P23" s="16">
        <f t="shared" si="6"/>
        <v>1.3978664816414081</v>
      </c>
      <c r="Q23" s="15">
        <f>Q22-(Mainsheet!$D$24-Mainsheet!$D$26)/100</f>
        <v>158.5469890007877</v>
      </c>
      <c r="R23" s="15">
        <f>R22+Mainsheet!$I$6*LN(Data!Q23/Data!Q22)</f>
        <v>1.3306819911958088</v>
      </c>
      <c r="S23" s="15"/>
      <c r="T23" s="15"/>
    </row>
    <row r="24" spans="1:20" x14ac:dyDescent="0.3">
      <c r="A24" s="15">
        <f>A23+(Mainsheet!$C$20-Mainsheet!$C$18)/100</f>
        <v>2312.1689914011781</v>
      </c>
      <c r="B24" s="18">
        <f t="shared" si="0"/>
        <v>1.5771315376501113E-2</v>
      </c>
      <c r="C24" s="16">
        <f>C23+(Mainsheet!$C$22-Mainsheet!$C$20)/100</f>
        <v>8099.8966720261142</v>
      </c>
      <c r="D24" s="16">
        <f>Mainsheet!$E$20</f>
        <v>7.175E-3</v>
      </c>
      <c r="E24" s="15">
        <f>E23-(Mainsheet!$C$22-Mainsheet!$C$24)/100</f>
        <v>9841.1136228751566</v>
      </c>
      <c r="F24" s="15">
        <f t="shared" si="1"/>
        <v>8.3287862881472156E-3</v>
      </c>
      <c r="G24" s="15">
        <f>G23-(Mainsheet!$C$24-Mainsheet!$C$26)/100</f>
        <v>1578.0588787419522</v>
      </c>
      <c r="H24" s="16">
        <f t="shared" si="4"/>
        <v>2.87E-2</v>
      </c>
      <c r="I24" s="15"/>
      <c r="J24" s="15"/>
      <c r="K24" s="15">
        <f t="shared" si="2"/>
        <v>127.05904657545113</v>
      </c>
      <c r="L24" s="16">
        <f t="shared" si="5"/>
        <v>1</v>
      </c>
      <c r="M24" s="15">
        <f>M23+(Mainsheet!$D$22-Mainsheet!$D$20)/100</f>
        <v>202.49741680065273</v>
      </c>
      <c r="N24" s="16">
        <f>N23+Mainsheet!$I$6*LN(Data!M24/M23)</f>
        <v>1.1083706256334964</v>
      </c>
      <c r="O24" s="15">
        <f t="shared" si="3"/>
        <v>285.59070453763547</v>
      </c>
      <c r="P24" s="16">
        <f t="shared" si="6"/>
        <v>1.3978664816414081</v>
      </c>
      <c r="Q24" s="15">
        <f>Q23-(Mainsheet!$D$24-Mainsheet!$D$26)/100</f>
        <v>157.80588787419546</v>
      </c>
      <c r="R24" s="15">
        <f>R23+Mainsheet!$I$6*LN(Data!Q24/Data!Q23)</f>
        <v>1.3273202956341341</v>
      </c>
      <c r="S24" s="15"/>
      <c r="T24" s="15"/>
    </row>
    <row r="25" spans="1:20" x14ac:dyDescent="0.3">
      <c r="A25" s="15">
        <f>A24+(Mainsheet!$C$20-Mainsheet!$C$18)/100</f>
        <v>2371.8130364648682</v>
      </c>
      <c r="B25" s="18">
        <f t="shared" si="0"/>
        <v>1.5486999641886663E-2</v>
      </c>
      <c r="C25" s="16">
        <f>C24+(Mainsheet!$C$22-Mainsheet!$C$20)/100</f>
        <v>8151.5099522832561</v>
      </c>
      <c r="D25" s="16">
        <f>Mainsheet!$E$20</f>
        <v>7.175E-3</v>
      </c>
      <c r="E25" s="15">
        <f>E24-(Mainsheet!$C$22-Mainsheet!$C$24)/100</f>
        <v>9737.2673088202464</v>
      </c>
      <c r="F25" s="15">
        <f t="shared" si="1"/>
        <v>8.3921365645782744E-3</v>
      </c>
      <c r="G25" s="15">
        <f>G24-(Mainsheet!$C$24-Mainsheet!$C$26)/100</f>
        <v>1570.6478674760297</v>
      </c>
      <c r="H25" s="16">
        <f t="shared" si="4"/>
        <v>2.87E-2</v>
      </c>
      <c r="I25" s="15"/>
      <c r="J25" s="15"/>
      <c r="K25" s="15">
        <f t="shared" si="2"/>
        <v>127.98699528346181</v>
      </c>
      <c r="L25" s="16">
        <f t="shared" si="5"/>
        <v>1</v>
      </c>
      <c r="M25" s="15">
        <f>M24+(Mainsheet!$D$22-Mainsheet!$D$20)/100</f>
        <v>203.78774880708127</v>
      </c>
      <c r="N25" s="16">
        <f>N24+Mainsheet!$I$6*LN(Data!M25/M24)</f>
        <v>1.1129280961283321</v>
      </c>
      <c r="O25" s="15">
        <f t="shared" si="3"/>
        <v>284.72640077150902</v>
      </c>
      <c r="P25" s="16">
        <f t="shared" si="6"/>
        <v>1.3978664816414081</v>
      </c>
      <c r="Q25" s="15">
        <f>Q24-(Mainsheet!$D$24-Mainsheet!$D$26)/100</f>
        <v>157.06478674760322</v>
      </c>
      <c r="R25" s="15">
        <f>R24+Mainsheet!$I$6*LN(Data!Q25/Data!Q24)</f>
        <v>1.3239427753815731</v>
      </c>
      <c r="S25" s="15"/>
      <c r="T25" s="15"/>
    </row>
    <row r="26" spans="1:20" x14ac:dyDescent="0.3">
      <c r="A26" s="15">
        <f>A25+(Mainsheet!$C$20-Mainsheet!$C$18)/100</f>
        <v>2431.4570815285583</v>
      </c>
      <c r="B26" s="18">
        <f t="shared" si="0"/>
        <v>1.5214682395668264E-2</v>
      </c>
      <c r="C26" s="16">
        <f>C25+(Mainsheet!$C$22-Mainsheet!$C$20)/100</f>
        <v>8203.123232540398</v>
      </c>
      <c r="D26" s="16">
        <f>Mainsheet!$E$20</f>
        <v>7.175E-3</v>
      </c>
      <c r="E26" s="15">
        <f>E25-(Mainsheet!$C$22-Mainsheet!$C$24)/100</f>
        <v>9633.4209947653362</v>
      </c>
      <c r="F26" s="15">
        <f t="shared" si="1"/>
        <v>8.4566557405875691E-3</v>
      </c>
      <c r="G26" s="15">
        <f>G25-(Mainsheet!$C$24-Mainsheet!$C$26)/100</f>
        <v>1563.2368562101071</v>
      </c>
      <c r="H26" s="16">
        <f t="shared" si="4"/>
        <v>2.87E-2</v>
      </c>
      <c r="I26" s="15"/>
      <c r="J26" s="15"/>
      <c r="K26" s="15">
        <f t="shared" si="2"/>
        <v>128.89842248834665</v>
      </c>
      <c r="L26" s="16">
        <f t="shared" si="5"/>
        <v>1</v>
      </c>
      <c r="M26" s="15">
        <f>M25+(Mainsheet!$D$22-Mainsheet!$D$20)/100</f>
        <v>205.07808081350981</v>
      </c>
      <c r="N26" s="16">
        <f>N25+Mainsheet!$I$6*LN(Data!M26/M25)</f>
        <v>1.1174568007601777</v>
      </c>
      <c r="O26" s="15">
        <f t="shared" si="3"/>
        <v>283.85548765463096</v>
      </c>
      <c r="P26" s="16">
        <f t="shared" si="6"/>
        <v>1.3978664816414081</v>
      </c>
      <c r="Q26" s="15">
        <f>Q25-(Mainsheet!$D$24-Mainsheet!$D$26)/100</f>
        <v>156.32368562101098</v>
      </c>
      <c r="R26" s="15">
        <f>R25+Mainsheet!$I$6*LN(Data!Q26/Data!Q25)</f>
        <v>1.3205492807483632</v>
      </c>
      <c r="S26" s="15"/>
      <c r="T26" s="15"/>
    </row>
    <row r="27" spans="1:20" x14ac:dyDescent="0.3">
      <c r="A27" s="15">
        <f>A26+(Mainsheet!$C$20-Mainsheet!$C$18)/100</f>
        <v>2491.1011265922484</v>
      </c>
      <c r="B27" s="18">
        <f t="shared" si="0"/>
        <v>1.4953581165919607E-2</v>
      </c>
      <c r="C27" s="16">
        <f>C26+(Mainsheet!$C$22-Mainsheet!$C$20)/100</f>
        <v>8254.736512797539</v>
      </c>
      <c r="D27" s="16">
        <f>Mainsheet!$E$20</f>
        <v>7.175E-3</v>
      </c>
      <c r="E27" s="15">
        <f>E26-(Mainsheet!$C$22-Mainsheet!$C$24)/100</f>
        <v>9529.574680710426</v>
      </c>
      <c r="F27" s="15">
        <f t="shared" si="1"/>
        <v>8.5223783368476962E-3</v>
      </c>
      <c r="G27" s="15">
        <f>G26-(Mainsheet!$C$24-Mainsheet!$C$26)/100</f>
        <v>1555.8258449441846</v>
      </c>
      <c r="H27" s="16">
        <f t="shared" si="4"/>
        <v>2.87E-2</v>
      </c>
      <c r="I27" s="15"/>
      <c r="J27" s="15"/>
      <c r="K27" s="15">
        <f t="shared" si="2"/>
        <v>129.79401703488139</v>
      </c>
      <c r="L27" s="16">
        <f t="shared" si="5"/>
        <v>1</v>
      </c>
      <c r="M27" s="15">
        <f>M26+(Mainsheet!$D$22-Mainsheet!$D$20)/100</f>
        <v>206.36841281993836</v>
      </c>
      <c r="N27" s="16">
        <f>N26+Mainsheet!$I$6*LN(Data!M27/M26)</f>
        <v>1.1219571003816027</v>
      </c>
      <c r="O27" s="15">
        <f t="shared" si="3"/>
        <v>282.97784257233042</v>
      </c>
      <c r="P27" s="16">
        <f t="shared" si="6"/>
        <v>1.3978664816414081</v>
      </c>
      <c r="Q27" s="15">
        <f>Q26-(Mainsheet!$D$24-Mainsheet!$D$26)/100</f>
        <v>155.58258449441874</v>
      </c>
      <c r="R27" s="15">
        <f>R26+Mainsheet!$I$6*LN(Data!Q27/Data!Q26)</f>
        <v>1.3171396599107144</v>
      </c>
      <c r="S27" s="15"/>
      <c r="T27" s="15"/>
    </row>
    <row r="28" spans="1:20" x14ac:dyDescent="0.3">
      <c r="A28" s="15">
        <f>A27+(Mainsheet!$C$20-Mainsheet!$C$18)/100</f>
        <v>2550.7451716559385</v>
      </c>
      <c r="B28" s="18">
        <f t="shared" si="0"/>
        <v>1.4702981671441847E-2</v>
      </c>
      <c r="C28" s="16">
        <f>C27+(Mainsheet!$C$22-Mainsheet!$C$20)/100</f>
        <v>8306.34979305468</v>
      </c>
      <c r="D28" s="16">
        <f>Mainsheet!$E$20</f>
        <v>7.175E-3</v>
      </c>
      <c r="E28" s="15">
        <f>E27-(Mainsheet!$C$22-Mainsheet!$C$24)/100</f>
        <v>9425.7283666555159</v>
      </c>
      <c r="F28" s="15">
        <f t="shared" si="1"/>
        <v>8.5893402844676413E-3</v>
      </c>
      <c r="G28" s="15">
        <f>G27-(Mainsheet!$C$24-Mainsheet!$C$26)/100</f>
        <v>1548.4148336782621</v>
      </c>
      <c r="H28" s="16">
        <f t="shared" si="4"/>
        <v>2.87E-2</v>
      </c>
      <c r="I28" s="15"/>
      <c r="J28" s="15"/>
      <c r="K28" s="15">
        <f t="shared" si="2"/>
        <v>130.67442337064827</v>
      </c>
      <c r="L28" s="16">
        <f t="shared" si="5"/>
        <v>1</v>
      </c>
      <c r="M28" s="15">
        <f>M27+(Mainsheet!$D$22-Mainsheet!$D$20)/100</f>
        <v>207.6587448263669</v>
      </c>
      <c r="N28" s="16">
        <f>N27+Mainsheet!$I$6*LN(Data!M28/M27)</f>
        <v>1.12642934909742</v>
      </c>
      <c r="O28" s="15">
        <f t="shared" si="3"/>
        <v>282.09333926886274</v>
      </c>
      <c r="P28" s="16">
        <f t="shared" si="6"/>
        <v>1.3978664816414081</v>
      </c>
      <c r="Q28" s="15">
        <f>Q27-(Mainsheet!$D$24-Mainsheet!$D$26)/100</f>
        <v>154.8414833678265</v>
      </c>
      <c r="R28" s="15">
        <f>R27+Mainsheet!$I$6*LN(Data!Q28/Data!Q27)</f>
        <v>1.3137137588700509</v>
      </c>
      <c r="S28" s="15"/>
      <c r="T28" s="15"/>
    </row>
    <row r="29" spans="1:20" x14ac:dyDescent="0.3">
      <c r="A29" s="15">
        <f>A28+(Mainsheet!$C$20-Mainsheet!$C$18)/100</f>
        <v>2610.3892167196286</v>
      </c>
      <c r="B29" s="18">
        <f t="shared" si="0"/>
        <v>1.4462230451961785E-2</v>
      </c>
      <c r="C29" s="16">
        <f>C28+(Mainsheet!$C$22-Mainsheet!$C$20)/100</f>
        <v>8357.9630733118211</v>
      </c>
      <c r="D29" s="16">
        <f>Mainsheet!$E$20</f>
        <v>7.175E-3</v>
      </c>
      <c r="E29" s="15">
        <f>E28-(Mainsheet!$C$22-Mainsheet!$C$24)/100</f>
        <v>9321.8820526006057</v>
      </c>
      <c r="F29" s="15">
        <f t="shared" si="1"/>
        <v>8.6575789989487822E-3</v>
      </c>
      <c r="G29" s="15">
        <f>G28-(Mainsheet!$C$24-Mainsheet!$C$26)/100</f>
        <v>1541.0038224123396</v>
      </c>
      <c r="H29" s="16">
        <f t="shared" si="4"/>
        <v>2.87E-2</v>
      </c>
      <c r="I29" s="15"/>
      <c r="J29" s="15"/>
      <c r="K29" s="15">
        <f t="shared" si="2"/>
        <v>131.54024537113341</v>
      </c>
      <c r="L29" s="16">
        <f t="shared" si="5"/>
        <v>1</v>
      </c>
      <c r="M29" s="15">
        <f>M28+(Mainsheet!$D$22-Mainsheet!$D$20)/100</f>
        <v>208.94907683279544</v>
      </c>
      <c r="N29" s="16">
        <f>N28+Mainsheet!$I$6*LN(Data!M29/M28)</f>
        <v>1.1308738944318846</v>
      </c>
      <c r="O29" s="15">
        <f t="shared" si="3"/>
        <v>281.20184769781383</v>
      </c>
      <c r="P29" s="16">
        <f t="shared" si="6"/>
        <v>1.3978664816414081</v>
      </c>
      <c r="Q29" s="15">
        <f>Q28-(Mainsheet!$D$24-Mainsheet!$D$26)/100</f>
        <v>154.10038224123426</v>
      </c>
      <c r="R29" s="15">
        <f>R28+Mainsheet!$I$6*LN(Data!Q29/Data!Q28)</f>
        <v>1.3102714214112756</v>
      </c>
      <c r="S29" s="15"/>
      <c r="T29" s="15"/>
    </row>
    <row r="30" spans="1:20" x14ac:dyDescent="0.3">
      <c r="A30" s="15">
        <f>A29+(Mainsheet!$C$20-Mainsheet!$C$18)/100</f>
        <v>2670.0332617833187</v>
      </c>
      <c r="B30" s="18">
        <f t="shared" si="0"/>
        <v>1.4230728442159739E-2</v>
      </c>
      <c r="C30" s="16">
        <f>C29+(Mainsheet!$C$22-Mainsheet!$C$20)/100</f>
        <v>8409.5763535689621</v>
      </c>
      <c r="D30" s="16">
        <f>Mainsheet!$E$20</f>
        <v>7.175E-3</v>
      </c>
      <c r="E30" s="15">
        <f>E29-(Mainsheet!$C$22-Mainsheet!$C$24)/100</f>
        <v>9218.0357385456955</v>
      </c>
      <c r="F30" s="15">
        <f t="shared" si="1"/>
        <v>8.7271334588942071E-3</v>
      </c>
      <c r="G30" s="15">
        <f>G29-(Mainsheet!$C$24-Mainsheet!$C$26)/100</f>
        <v>1533.592811146417</v>
      </c>
      <c r="H30" s="16">
        <f t="shared" si="4"/>
        <v>2.87E-2</v>
      </c>
      <c r="I30" s="15"/>
      <c r="J30" s="15"/>
      <c r="K30" s="15">
        <f t="shared" si="2"/>
        <v>132.39204975600146</v>
      </c>
      <c r="L30" s="16">
        <f t="shared" si="5"/>
        <v>1</v>
      </c>
      <c r="M30" s="15">
        <f>M29+(Mainsheet!$D$22-Mainsheet!$D$20)/100</f>
        <v>210.23940883922398</v>
      </c>
      <c r="N30" s="16">
        <f>N29+Mainsheet!$I$6*LN(Data!M30/M29)</f>
        <v>1.1352910774907441</v>
      </c>
      <c r="O30" s="15">
        <f t="shared" si="3"/>
        <v>280.30323386461578</v>
      </c>
      <c r="P30" s="16">
        <f t="shared" si="6"/>
        <v>1.3978664816414081</v>
      </c>
      <c r="Q30" s="15">
        <f>Q29-(Mainsheet!$D$24-Mainsheet!$D$26)/100</f>
        <v>153.35928111464202</v>
      </c>
      <c r="R30" s="15">
        <f>R29+Mainsheet!$I$6*LN(Data!Q30/Data!Q29)</f>
        <v>1.3068124890600274</v>
      </c>
      <c r="S30" s="15"/>
      <c r="T30" s="15"/>
    </row>
    <row r="31" spans="1:20" x14ac:dyDescent="0.3">
      <c r="A31" s="15">
        <f>A30+(Mainsheet!$C$20-Mainsheet!$C$18)/100</f>
        <v>2729.6773068470088</v>
      </c>
      <c r="B31" s="18">
        <f t="shared" si="0"/>
        <v>1.4007925350612266E-2</v>
      </c>
      <c r="C31" s="16">
        <f>C30+(Mainsheet!$C$22-Mainsheet!$C$20)/100</f>
        <v>8461.1896338261031</v>
      </c>
      <c r="D31" s="16">
        <f>Mainsheet!$E$20</f>
        <v>7.175E-3</v>
      </c>
      <c r="E31" s="15">
        <f>E30-(Mainsheet!$C$22-Mainsheet!$C$24)/100</f>
        <v>9114.1894244907853</v>
      </c>
      <c r="F31" s="15">
        <f t="shared" si="1"/>
        <v>8.7980442898344547E-3</v>
      </c>
      <c r="G31" s="15">
        <f>G30-(Mainsheet!$C$24-Mainsheet!$C$26)/100</f>
        <v>1526.1817998804945</v>
      </c>
      <c r="H31" s="16">
        <f t="shared" si="4"/>
        <v>2.87E-2</v>
      </c>
      <c r="I31" s="15"/>
      <c r="J31" s="15"/>
      <c r="K31" s="15">
        <f t="shared" si="2"/>
        <v>133.23036914833878</v>
      </c>
      <c r="L31" s="16">
        <f t="shared" si="5"/>
        <v>1</v>
      </c>
      <c r="M31" s="15">
        <f>M30+(Mainsheet!$D$22-Mainsheet!$D$20)/100</f>
        <v>211.52974084565253</v>
      </c>
      <c r="N31" s="16">
        <f>N30+Mainsheet!$I$6*LN(Data!M31/M30)</f>
        <v>1.1396812331183324</v>
      </c>
      <c r="O31" s="15">
        <f t="shared" si="3"/>
        <v>279.39735966066456</v>
      </c>
      <c r="P31" s="16">
        <f t="shared" si="6"/>
        <v>1.3978664816414081</v>
      </c>
      <c r="Q31" s="15">
        <f>Q30-(Mainsheet!$D$24-Mainsheet!$D$26)/100</f>
        <v>152.61817998804977</v>
      </c>
      <c r="R31" s="15">
        <f>R30+Mainsheet!$I$6*LN(Data!Q31/Data!Q30)</f>
        <v>1.3033368010389046</v>
      </c>
      <c r="S31" s="15"/>
      <c r="T31" s="15"/>
    </row>
    <row r="32" spans="1:20" x14ac:dyDescent="0.3">
      <c r="A32" s="15">
        <f>A31+(Mainsheet!$C$20-Mainsheet!$C$18)/100</f>
        <v>2789.3213519106989</v>
      </c>
      <c r="B32" s="18">
        <f t="shared" si="0"/>
        <v>1.3793314727722267E-2</v>
      </c>
      <c r="C32" s="16">
        <f>C31+(Mainsheet!$C$22-Mainsheet!$C$20)/100</f>
        <v>8512.8029140832441</v>
      </c>
      <c r="D32" s="16">
        <f>Mainsheet!$E$20</f>
        <v>7.175E-3</v>
      </c>
      <c r="E32" s="15">
        <f>E31-(Mainsheet!$C$22-Mainsheet!$C$24)/100</f>
        <v>9010.3431104358751</v>
      </c>
      <c r="F32" s="15">
        <f t="shared" si="1"/>
        <v>8.8703538535648881E-3</v>
      </c>
      <c r="G32" s="15">
        <f>G31-(Mainsheet!$C$24-Mainsheet!$C$26)/100</f>
        <v>1518.770788614572</v>
      </c>
      <c r="H32" s="16">
        <f t="shared" si="4"/>
        <v>2.87E-2</v>
      </c>
      <c r="I32" s="15"/>
      <c r="J32" s="15"/>
      <c r="K32" s="15">
        <f t="shared" si="2"/>
        <v>134.05570482111509</v>
      </c>
      <c r="L32" s="16">
        <f t="shared" si="5"/>
        <v>1</v>
      </c>
      <c r="M32" s="15">
        <f>M31+(Mainsheet!$D$22-Mainsheet!$D$20)/100</f>
        <v>212.82007285208107</v>
      </c>
      <c r="N32" s="16">
        <f>N31+Mainsheet!$I$6*LN(Data!M32/M31)</f>
        <v>1.1440446900498855</v>
      </c>
      <c r="O32" s="15">
        <f t="shared" si="3"/>
        <v>278.48408268849028</v>
      </c>
      <c r="P32" s="16">
        <f t="shared" si="6"/>
        <v>1.3978664816414081</v>
      </c>
      <c r="Q32" s="15">
        <f>Q31-(Mainsheet!$D$24-Mainsheet!$D$26)/100</f>
        <v>151.87707886145753</v>
      </c>
      <c r="R32" s="15">
        <f>R31+Mainsheet!$I$6*LN(Data!Q32/Data!Q31)</f>
        <v>1.2998441942226215</v>
      </c>
      <c r="S32" s="15"/>
      <c r="T32" s="15"/>
    </row>
    <row r="33" spans="1:20" x14ac:dyDescent="0.3">
      <c r="A33" s="15">
        <f>A32+(Mainsheet!$C$20-Mainsheet!$C$18)/100</f>
        <v>2848.965396974389</v>
      </c>
      <c r="B33" s="18">
        <f t="shared" si="0"/>
        <v>1.358642962548938E-2</v>
      </c>
      <c r="C33" s="16">
        <f>C32+(Mainsheet!$C$22-Mainsheet!$C$20)/100</f>
        <v>8564.4161943403851</v>
      </c>
      <c r="D33" s="16">
        <f>Mainsheet!$E$20</f>
        <v>7.175E-3</v>
      </c>
      <c r="E33" s="15">
        <f>E32-(Mainsheet!$C$22-Mainsheet!$C$24)/100</f>
        <v>8906.496796380965</v>
      </c>
      <c r="F33" s="15">
        <f t="shared" si="1"/>
        <v>8.9441063434255522E-3</v>
      </c>
      <c r="G33" s="15">
        <f>G32-(Mainsheet!$C$24-Mainsheet!$C$26)/100</f>
        <v>1511.3597773486495</v>
      </c>
      <c r="H33" s="16">
        <f t="shared" si="4"/>
        <v>2.87E-2</v>
      </c>
      <c r="I33" s="15"/>
      <c r="J33" s="15"/>
      <c r="K33" s="15">
        <f t="shared" si="2"/>
        <v>134.86852916880471</v>
      </c>
      <c r="L33" s="16">
        <f t="shared" si="5"/>
        <v>1</v>
      </c>
      <c r="M33" s="15">
        <f>M32+(Mainsheet!$D$22-Mainsheet!$D$20)/100</f>
        <v>214.11040485850961</v>
      </c>
      <c r="N33" s="16">
        <f>N32+Mainsheet!$I$6*LN(Data!M33/M32)</f>
        <v>1.148381771059255</v>
      </c>
      <c r="O33" s="15">
        <f t="shared" si="3"/>
        <v>277.56325607738802</v>
      </c>
      <c r="P33" s="16">
        <f t="shared" si="6"/>
        <v>1.3978664816414081</v>
      </c>
      <c r="Q33" s="15">
        <f>Q32-(Mainsheet!$D$24-Mainsheet!$D$26)/100</f>
        <v>151.13597773486529</v>
      </c>
      <c r="R33" s="15">
        <f>R32+Mainsheet!$I$6*LN(Data!Q33/Data!Q32)</f>
        <v>1.296334503092069</v>
      </c>
      <c r="S33" s="15"/>
      <c r="T33" s="15"/>
    </row>
    <row r="34" spans="1:20" x14ac:dyDescent="0.3">
      <c r="A34" s="15">
        <f>A33+(Mainsheet!$C$20-Mainsheet!$C$18)/100</f>
        <v>2908.6094420380791</v>
      </c>
      <c r="B34" s="18">
        <f t="shared" si="0"/>
        <v>1.3386838767387802E-2</v>
      </c>
      <c r="C34" s="16">
        <f>C33+(Mainsheet!$C$22-Mainsheet!$C$20)/100</f>
        <v>8616.0294745975261</v>
      </c>
      <c r="D34" s="16">
        <f>Mainsheet!$E$20</f>
        <v>7.175E-3</v>
      </c>
      <c r="E34" s="15">
        <f>E33-(Mainsheet!$C$22-Mainsheet!$C$24)/100</f>
        <v>8802.6504823260548</v>
      </c>
      <c r="F34" s="15">
        <f t="shared" si="1"/>
        <v>9.0193478859933989E-3</v>
      </c>
      <c r="G34" s="15">
        <f>G33-(Mainsheet!$C$24-Mainsheet!$C$26)/100</f>
        <v>1503.9487660827269</v>
      </c>
      <c r="H34" s="16">
        <f t="shared" si="4"/>
        <v>2.87E-2</v>
      </c>
      <c r="I34" s="15"/>
      <c r="J34" s="15"/>
      <c r="K34" s="15">
        <f t="shared" si="2"/>
        <v>135.66928793681382</v>
      </c>
      <c r="L34" s="16">
        <f t="shared" si="5"/>
        <v>1</v>
      </c>
      <c r="M34" s="15">
        <f>M33+(Mainsheet!$D$22-Mainsheet!$D$20)/100</f>
        <v>215.40073686493815</v>
      </c>
      <c r="N34" s="16">
        <f>N33+Mainsheet!$I$6*LN(Data!M34/M33)</f>
        <v>1.1526927931021824</v>
      </c>
      <c r="O34" s="15">
        <f t="shared" si="3"/>
        <v>276.63472828887205</v>
      </c>
      <c r="P34" s="16">
        <f t="shared" si="6"/>
        <v>1.3978664816414081</v>
      </c>
      <c r="Q34" s="15">
        <f>Q33-(Mainsheet!$D$24-Mainsheet!$D$26)/100</f>
        <v>150.39487660827305</v>
      </c>
      <c r="R34" s="15">
        <f>R33+Mainsheet!$I$6*LN(Data!Q34/Data!Q33)</f>
        <v>1.2928075596872457</v>
      </c>
      <c r="S34" s="15"/>
      <c r="T34" s="15"/>
    </row>
    <row r="35" spans="1:20" x14ac:dyDescent="0.3">
      <c r="A35" s="15">
        <f>A34+(Mainsheet!$C$20-Mainsheet!$C$18)/100</f>
        <v>2968.2534871017692</v>
      </c>
      <c r="B35" s="18">
        <f t="shared" ref="B35:B66" si="7">0.287*K35/A35</f>
        <v>1.3194143159325915E-2</v>
      </c>
      <c r="C35" s="16">
        <f>C34+(Mainsheet!$C$22-Mainsheet!$C$20)/100</f>
        <v>8667.6427548546671</v>
      </c>
      <c r="D35" s="16">
        <f>Mainsheet!$E$20</f>
        <v>7.175E-3</v>
      </c>
      <c r="E35" s="15">
        <f>E34-(Mainsheet!$C$22-Mainsheet!$C$24)/100</f>
        <v>8698.8041682711446</v>
      </c>
      <c r="F35" s="15">
        <f t="shared" ref="F35:F66" si="8">0.287*O35/E35</f>
        <v>9.0961266496999739E-3</v>
      </c>
      <c r="G35" s="15">
        <f>G34-(Mainsheet!$C$24-Mainsheet!$C$26)/100</f>
        <v>1496.5377548168044</v>
      </c>
      <c r="H35" s="16">
        <f t="shared" si="4"/>
        <v>2.87E-2</v>
      </c>
      <c r="I35" s="15"/>
      <c r="J35" s="15"/>
      <c r="K35" s="15">
        <f t="shared" ref="K35:K66" si="9">K34*(A35/A34)^(0.4/1.4)</f>
        <v>136.45840223689584</v>
      </c>
      <c r="L35" s="16">
        <f t="shared" si="5"/>
        <v>1</v>
      </c>
      <c r="M35" s="15">
        <f>M34+(Mainsheet!$D$22-Mainsheet!$D$20)/100</f>
        <v>216.6910688713667</v>
      </c>
      <c r="N35" s="16">
        <f>N34+Mainsheet!$I$6*LN(Data!M35/M34)</f>
        <v>1.1569780674552961</v>
      </c>
      <c r="O35" s="15">
        <f t="shared" ref="O35:O66" si="10">O34*(E35/E34)^(0.4/1.4)</f>
        <v>275.69834291126267</v>
      </c>
      <c r="P35" s="16">
        <f t="shared" si="6"/>
        <v>1.3978664816414081</v>
      </c>
      <c r="Q35" s="15">
        <f>Q34-(Mainsheet!$D$24-Mainsheet!$D$26)/100</f>
        <v>149.65377548168081</v>
      </c>
      <c r="R35" s="15">
        <f>R34+Mainsheet!$I$6*LN(Data!Q35/Data!Q34)</f>
        <v>1.2892631935590271</v>
      </c>
      <c r="S35" s="15"/>
      <c r="T35" s="15"/>
    </row>
    <row r="36" spans="1:20" x14ac:dyDescent="0.3">
      <c r="A36" s="15">
        <f>A35+(Mainsheet!$C$20-Mainsheet!$C$18)/100</f>
        <v>3027.8975321654593</v>
      </c>
      <c r="B36" s="18">
        <f t="shared" si="7"/>
        <v>1.3007973083181417E-2</v>
      </c>
      <c r="C36" s="16">
        <f>C35+(Mainsheet!$C$22-Mainsheet!$C$20)/100</f>
        <v>8719.2560351118082</v>
      </c>
      <c r="D36" s="16">
        <f>Mainsheet!$E$20</f>
        <v>7.175E-3</v>
      </c>
      <c r="E36" s="15">
        <f>E35-(Mainsheet!$C$22-Mainsheet!$C$24)/100</f>
        <v>8594.9578542162344</v>
      </c>
      <c r="F36" s="15">
        <f t="shared" si="8"/>
        <v>9.1744929609355146E-3</v>
      </c>
      <c r="G36" s="15">
        <f>G35-(Mainsheet!$C$24-Mainsheet!$C$26)/100</f>
        <v>1489.1267435508819</v>
      </c>
      <c r="H36" s="16">
        <f t="shared" si="4"/>
        <v>2.87E-2</v>
      </c>
      <c r="I36" s="15"/>
      <c r="J36" s="15"/>
      <c r="K36" s="15">
        <f t="shared" si="9"/>
        <v>137.23627037296077</v>
      </c>
      <c r="L36" s="16">
        <f t="shared" si="5"/>
        <v>1</v>
      </c>
      <c r="M36" s="15">
        <f>M35+(Mainsheet!$D$22-Mainsheet!$D$20)/100</f>
        <v>217.98140087779524</v>
      </c>
      <c r="N36" s="16">
        <f>N35+Mainsheet!$I$6*LN(Data!M36/M35)</f>
        <v>1.1612378998509816</v>
      </c>
      <c r="O36" s="15">
        <f t="shared" si="10"/>
        <v>274.75393844266296</v>
      </c>
      <c r="P36" s="16">
        <f t="shared" si="6"/>
        <v>1.3978664816414081</v>
      </c>
      <c r="Q36" s="15">
        <f>Q35-(Mainsheet!$D$24-Mainsheet!$D$26)/100</f>
        <v>148.91267435508857</v>
      </c>
      <c r="R36" s="15">
        <f>R35+Mainsheet!$I$6*LN(Data!Q36/Data!Q35)</f>
        <v>1.2857012317197369</v>
      </c>
      <c r="S36" s="15"/>
      <c r="T36" s="15"/>
    </row>
    <row r="37" spans="1:20" x14ac:dyDescent="0.3">
      <c r="A37" s="15">
        <f>A36+(Mainsheet!$C$20-Mainsheet!$C$18)/100</f>
        <v>3087.5415772291494</v>
      </c>
      <c r="B37" s="18">
        <f t="shared" si="7"/>
        <v>1.2827985423149375E-2</v>
      </c>
      <c r="C37" s="16">
        <f>C36+(Mainsheet!$C$22-Mainsheet!$C$20)/100</f>
        <v>8770.8693153689492</v>
      </c>
      <c r="D37" s="16">
        <f>Mainsheet!$E$20</f>
        <v>7.175E-3</v>
      </c>
      <c r="E37" s="15">
        <f>E36-(Mainsheet!$C$22-Mainsheet!$C$24)/100</f>
        <v>8491.1115401613242</v>
      </c>
      <c r="F37" s="15">
        <f t="shared" si="8"/>
        <v>9.2544994282530574E-3</v>
      </c>
      <c r="G37" s="15">
        <f>G36-(Mainsheet!$C$24-Mainsheet!$C$26)/100</f>
        <v>1481.7157322849594</v>
      </c>
      <c r="H37" s="16">
        <f t="shared" si="4"/>
        <v>2.87E-2</v>
      </c>
      <c r="I37" s="15"/>
      <c r="J37" s="15"/>
      <c r="K37" s="15">
        <f t="shared" si="9"/>
        <v>138.00326949847792</v>
      </c>
      <c r="L37" s="16">
        <f t="shared" si="5"/>
        <v>1</v>
      </c>
      <c r="M37" s="15">
        <f>M36+(Mainsheet!$D$22-Mainsheet!$D$20)/100</f>
        <v>219.27173288422378</v>
      </c>
      <c r="N37" s="16">
        <f>N36+Mainsheet!$I$6*LN(Data!M37/M36)</f>
        <v>1.1654725906082719</v>
      </c>
      <c r="O37" s="15">
        <f t="shared" si="10"/>
        <v>273.80134806151892</v>
      </c>
      <c r="P37" s="16">
        <f t="shared" si="6"/>
        <v>1.3978664816414081</v>
      </c>
      <c r="Q37" s="15">
        <f>Q36-(Mainsheet!$D$24-Mainsheet!$D$26)/100</f>
        <v>148.17157322849633</v>
      </c>
      <c r="R37" s="15">
        <f>R36+Mainsheet!$I$6*LN(Data!Q37/Data!Q36)</f>
        <v>1.2821214985924856</v>
      </c>
      <c r="S37" s="15"/>
      <c r="T37" s="15"/>
    </row>
    <row r="38" spans="1:20" x14ac:dyDescent="0.3">
      <c r="A38" s="15">
        <f>A37+(Mainsheet!$C$20-Mainsheet!$C$18)/100</f>
        <v>3147.1856222928395</v>
      </c>
      <c r="B38" s="18">
        <f t="shared" si="7"/>
        <v>1.2653861282435988E-2</v>
      </c>
      <c r="C38" s="16">
        <f>C37+(Mainsheet!$C$22-Mainsheet!$C$20)/100</f>
        <v>8822.4825956260902</v>
      </c>
      <c r="D38" s="16">
        <f>Mainsheet!$E$20</f>
        <v>7.175E-3</v>
      </c>
      <c r="E38" s="15">
        <f>E37-(Mainsheet!$C$22-Mainsheet!$C$24)/100</f>
        <v>8387.265226106414</v>
      </c>
      <c r="F38" s="15">
        <f t="shared" si="8"/>
        <v>9.3362010753448282E-3</v>
      </c>
      <c r="G38" s="15">
        <f>G37-(Mainsheet!$C$24-Mainsheet!$C$26)/100</f>
        <v>1474.3047210190368</v>
      </c>
      <c r="H38" s="16">
        <f t="shared" si="4"/>
        <v>2.87E-2</v>
      </c>
      <c r="I38" s="15"/>
      <c r="J38" s="15"/>
      <c r="K38" s="15">
        <f t="shared" si="9"/>
        <v>138.75975712393929</v>
      </c>
      <c r="L38" s="16">
        <f t="shared" si="5"/>
        <v>1</v>
      </c>
      <c r="M38" s="15">
        <f>M37+(Mainsheet!$D$22-Mainsheet!$D$20)/100</f>
        <v>220.56206489065232</v>
      </c>
      <c r="N38" s="16">
        <f>N37+Mainsheet!$I$6*LN(Data!M38/M37)</f>
        <v>1.1696824347598975</v>
      </c>
      <c r="O38" s="15">
        <f t="shared" si="10"/>
        <v>272.84039938389196</v>
      </c>
      <c r="P38" s="16">
        <f t="shared" si="6"/>
        <v>1.3978664816414081</v>
      </c>
      <c r="Q38" s="15">
        <f>Q37-(Mainsheet!$D$24-Mainsheet!$D$26)/100</f>
        <v>147.43047210190409</v>
      </c>
      <c r="R38" s="15">
        <f>R37+Mainsheet!$I$6*LN(Data!Q38/Data!Q37)</f>
        <v>1.278523815959238</v>
      </c>
      <c r="S38" s="15"/>
      <c r="T38" s="15"/>
    </row>
    <row r="39" spans="1:20" x14ac:dyDescent="0.3">
      <c r="A39" s="15">
        <f>A38+(Mainsheet!$C$20-Mainsheet!$C$18)/100</f>
        <v>3206.8296673565296</v>
      </c>
      <c r="B39" s="18">
        <f t="shared" si="7"/>
        <v>1.2485303853940855E-2</v>
      </c>
      <c r="C39" s="16">
        <f>C38+(Mainsheet!$C$22-Mainsheet!$C$20)/100</f>
        <v>8874.0958758832312</v>
      </c>
      <c r="D39" s="16">
        <f>Mainsheet!$E$20</f>
        <v>7.175E-3</v>
      </c>
      <c r="E39" s="15">
        <f>E38-(Mainsheet!$C$22-Mainsheet!$C$24)/100</f>
        <v>8283.4189120515039</v>
      </c>
      <c r="F39" s="15">
        <f t="shared" si="8"/>
        <v>9.4196554835279788E-3</v>
      </c>
      <c r="G39" s="15">
        <f>G38-(Mainsheet!$C$24-Mainsheet!$C$26)/100</f>
        <v>1466.8937097531143</v>
      </c>
      <c r="H39" s="16">
        <f t="shared" si="4"/>
        <v>2.87E-2</v>
      </c>
      <c r="I39" s="15"/>
      <c r="J39" s="15"/>
      <c r="K39" s="15">
        <f t="shared" si="9"/>
        <v>139.50607249051691</v>
      </c>
      <c r="L39" s="16">
        <f t="shared" si="5"/>
        <v>1</v>
      </c>
      <c r="M39" s="15">
        <f>M38+(Mainsheet!$D$22-Mainsheet!$D$20)/100</f>
        <v>221.85239689708087</v>
      </c>
      <c r="N39" s="16">
        <f>N38+Mainsheet!$I$6*LN(Data!M39/M38)</f>
        <v>1.1738677221756311</v>
      </c>
      <c r="O39" s="15">
        <f t="shared" si="10"/>
        <v>271.87091420649938</v>
      </c>
      <c r="P39" s="16">
        <f t="shared" si="6"/>
        <v>1.3978664816414081</v>
      </c>
      <c r="Q39" s="15">
        <f>Q38-(Mainsheet!$D$24-Mainsheet!$D$26)/100</f>
        <v>146.68937097531185</v>
      </c>
      <c r="R39" s="15">
        <f>R38+Mainsheet!$I$6*LN(Data!Q39/Data!Q38)</f>
        <v>1.2749080029075743</v>
      </c>
      <c r="S39" s="15"/>
      <c r="T39" s="15"/>
    </row>
    <row r="40" spans="1:20" x14ac:dyDescent="0.3">
      <c r="A40" s="15">
        <f>A39+(Mainsheet!$C$20-Mainsheet!$C$18)/100</f>
        <v>3266.4737124202197</v>
      </c>
      <c r="B40" s="18">
        <f t="shared" si="7"/>
        <v>1.2322036513705406E-2</v>
      </c>
      <c r="C40" s="16">
        <f>C39+(Mainsheet!$C$22-Mainsheet!$C$20)/100</f>
        <v>8925.7091561403722</v>
      </c>
      <c r="D40" s="16">
        <f>Mainsheet!$E$20</f>
        <v>7.175E-3</v>
      </c>
      <c r="E40" s="15">
        <f>E39-(Mainsheet!$C$22-Mainsheet!$C$24)/100</f>
        <v>8179.5725979965946</v>
      </c>
      <c r="F40" s="15">
        <f t="shared" si="8"/>
        <v>9.50492294454886E-3</v>
      </c>
      <c r="G40" s="15">
        <f>G39-(Mainsheet!$C$24-Mainsheet!$C$26)/100</f>
        <v>1459.4826984871918</v>
      </c>
      <c r="H40" s="16">
        <f t="shared" si="4"/>
        <v>2.87E-2</v>
      </c>
      <c r="I40" s="15"/>
      <c r="J40" s="15"/>
      <c r="K40" s="15">
        <f t="shared" si="9"/>
        <v>140.2425378240446</v>
      </c>
      <c r="L40" s="16">
        <f t="shared" si="5"/>
        <v>1</v>
      </c>
      <c r="M40" s="15">
        <f>M39+(Mainsheet!$D$22-Mainsheet!$D$20)/100</f>
        <v>223.14272890350941</v>
      </c>
      <c r="N40" s="16">
        <f>N39+Mainsheet!$I$6*LN(Data!M40/M39)</f>
        <v>1.1780287376820555</v>
      </c>
      <c r="O40" s="15">
        <f t="shared" si="10"/>
        <v>270.89270823449812</v>
      </c>
      <c r="P40" s="16">
        <f t="shared" si="6"/>
        <v>1.3978664816414081</v>
      </c>
      <c r="Q40" s="15">
        <f>Q39-(Mainsheet!$D$24-Mainsheet!$D$26)/100</f>
        <v>145.9482698487196</v>
      </c>
      <c r="R40" s="15">
        <f>R39+Mainsheet!$I$6*LN(Data!Q40/Data!Q39)</f>
        <v>1.2712738757761004</v>
      </c>
      <c r="S40" s="15"/>
      <c r="T40" s="15"/>
    </row>
    <row r="41" spans="1:20" x14ac:dyDescent="0.3">
      <c r="A41" s="15">
        <f>A40+(Mainsheet!$C$20-Mainsheet!$C$18)/100</f>
        <v>3326.1177574839098</v>
      </c>
      <c r="B41" s="18">
        <f t="shared" si="7"/>
        <v>1.2163801110235696E-2</v>
      </c>
      <c r="C41" s="16">
        <f>C40+(Mainsheet!$C$22-Mainsheet!$C$20)/100</f>
        <v>8977.3224363975132</v>
      </c>
      <c r="D41" s="16">
        <f>Mainsheet!$E$20</f>
        <v>7.175E-3</v>
      </c>
      <c r="E41" s="15">
        <f>E40-(Mainsheet!$C$22-Mainsheet!$C$24)/100</f>
        <v>8075.7262839416853</v>
      </c>
      <c r="F41" s="15">
        <f t="shared" si="8"/>
        <v>9.5920666245951046E-3</v>
      </c>
      <c r="G41" s="15">
        <f>G40-(Mainsheet!$C$24-Mainsheet!$C$26)/100</f>
        <v>1452.0716872212693</v>
      </c>
      <c r="H41" s="16">
        <f t="shared" si="4"/>
        <v>2.87E-2</v>
      </c>
      <c r="I41" s="15"/>
      <c r="J41" s="15"/>
      <c r="K41" s="15">
        <f t="shared" si="9"/>
        <v>140.96945948173328</v>
      </c>
      <c r="L41" s="16">
        <f t="shared" si="5"/>
        <v>1</v>
      </c>
      <c r="M41" s="15">
        <f>M40+(Mainsheet!$D$22-Mainsheet!$D$20)/100</f>
        <v>224.43306090993795</v>
      </c>
      <c r="N41" s="16">
        <f>N40+Mainsheet!$I$6*LN(Data!M41/M40)</f>
        <v>1.1821657611788792</v>
      </c>
      <c r="O41" s="15">
        <f t="shared" si="10"/>
        <v>269.90559079290068</v>
      </c>
      <c r="P41" s="16">
        <f t="shared" si="6"/>
        <v>1.3978664816414081</v>
      </c>
      <c r="Q41" s="15">
        <f>Q40-(Mainsheet!$D$24-Mainsheet!$D$26)/100</f>
        <v>145.20716872212736</v>
      </c>
      <c r="R41" s="15">
        <f>R40+Mainsheet!$I$6*LN(Data!Q41/Data!Q40)</f>
        <v>1.2676212480984708</v>
      </c>
      <c r="S41" s="15"/>
      <c r="T41" s="15"/>
    </row>
    <row r="42" spans="1:20" x14ac:dyDescent="0.3">
      <c r="A42" s="15">
        <f>A41+(Mainsheet!$C$20-Mainsheet!$C$18)/100</f>
        <v>3385.7618025475999</v>
      </c>
      <c r="B42" s="18">
        <f t="shared" si="7"/>
        <v>1.201035642647176E-2</v>
      </c>
      <c r="C42" s="16">
        <f>C41+(Mainsheet!$C$22-Mainsheet!$C$20)/100</f>
        <v>9028.9357166546542</v>
      </c>
      <c r="D42" s="16">
        <f>Mainsheet!$E$20</f>
        <v>7.175E-3</v>
      </c>
      <c r="E42" s="15">
        <f>E41-(Mainsheet!$C$22-Mainsheet!$C$24)/100</f>
        <v>7971.8799698867761</v>
      </c>
      <c r="F42" s="15">
        <f t="shared" si="8"/>
        <v>9.6811527404940152E-3</v>
      </c>
      <c r="G42" s="15">
        <f>G41-(Mainsheet!$C$24-Mainsheet!$C$26)/100</f>
        <v>1444.6606759553467</v>
      </c>
      <c r="H42" s="16">
        <f t="shared" si="4"/>
        <v>2.87E-2</v>
      </c>
      <c r="I42" s="15"/>
      <c r="J42" s="15"/>
      <c r="K42" s="15">
        <f t="shared" si="9"/>
        <v>141.6871290025442</v>
      </c>
      <c r="L42" s="16">
        <f t="shared" si="5"/>
        <v>1</v>
      </c>
      <c r="M42" s="15">
        <f>M41+(Mainsheet!$D$22-Mainsheet!$D$20)/100</f>
        <v>225.72339291636649</v>
      </c>
      <c r="N42" s="16">
        <f>N41+Mainsheet!$I$6*LN(Data!M42/M41)</f>
        <v>1.1862790677519168</v>
      </c>
      <c r="O42" s="15">
        <f t="shared" si="10"/>
        <v>268.90936452041365</v>
      </c>
      <c r="P42" s="16">
        <f t="shared" si="6"/>
        <v>1.3978664816414081</v>
      </c>
      <c r="Q42" s="15">
        <f>Q41-(Mainsheet!$D$24-Mainsheet!$D$26)/100</f>
        <v>144.46606759553512</v>
      </c>
      <c r="R42" s="15">
        <f>R41+Mainsheet!$I$6*LN(Data!Q42/Data!Q41)</f>
        <v>1.2639499305459772</v>
      </c>
      <c r="S42" s="15"/>
      <c r="T42" s="15"/>
    </row>
    <row r="43" spans="1:20" x14ac:dyDescent="0.3">
      <c r="A43" s="15">
        <f>A42+(Mainsheet!$C$20-Mainsheet!$C$18)/100</f>
        <v>3445.40584761129</v>
      </c>
      <c r="B43" s="18">
        <f t="shared" si="7"/>
        <v>1.1861476794285439E-2</v>
      </c>
      <c r="C43" s="16">
        <f>C42+(Mainsheet!$C$22-Mainsheet!$C$20)/100</f>
        <v>9080.5489969117953</v>
      </c>
      <c r="D43" s="16">
        <f>Mainsheet!$E$20</f>
        <v>7.175E-3</v>
      </c>
      <c r="E43" s="15">
        <f>E42-(Mainsheet!$C$22-Mainsheet!$C$24)/100</f>
        <v>7868.0336558318668</v>
      </c>
      <c r="F43" s="15">
        <f t="shared" si="8"/>
        <v>9.7722507491751816E-3</v>
      </c>
      <c r="G43" s="15">
        <f>G42-(Mainsheet!$C$24-Mainsheet!$C$26)/100</f>
        <v>1437.2496646894242</v>
      </c>
      <c r="H43" s="16">
        <f t="shared" si="4"/>
        <v>2.87E-2</v>
      </c>
      <c r="I43" s="15"/>
      <c r="J43" s="15"/>
      <c r="K43" s="15">
        <f t="shared" si="9"/>
        <v>142.39582407085948</v>
      </c>
      <c r="L43" s="16">
        <f t="shared" si="5"/>
        <v>1</v>
      </c>
      <c r="M43" s="15">
        <f>M42+(Mainsheet!$D$22-Mainsheet!$D$20)/100</f>
        <v>227.01372492279503</v>
      </c>
      <c r="N43" s="16">
        <f>N42+Mainsheet!$I$6*LN(Data!M43/M42)</f>
        <v>1.1903689277828506</v>
      </c>
      <c r="O43" s="15">
        <f t="shared" si="10"/>
        <v>267.90382504438503</v>
      </c>
      <c r="P43" s="16">
        <f t="shared" si="6"/>
        <v>1.3978664816414081</v>
      </c>
      <c r="Q43" s="15">
        <f>Q42-(Mainsheet!$D$24-Mainsheet!$D$26)/100</f>
        <v>143.72496646894288</v>
      </c>
      <c r="R43" s="15">
        <f>R42+Mainsheet!$I$6*LN(Data!Q43/Data!Q42)</f>
        <v>1.2602597308686632</v>
      </c>
      <c r="S43" s="15"/>
      <c r="T43" s="15"/>
    </row>
    <row r="44" spans="1:20" x14ac:dyDescent="0.3">
      <c r="A44" s="15">
        <f>A43+(Mainsheet!$C$20-Mainsheet!$C$18)/100</f>
        <v>3505.0498926749801</v>
      </c>
      <c r="B44" s="18">
        <f t="shared" si="7"/>
        <v>1.1716950844036234E-2</v>
      </c>
      <c r="C44" s="16">
        <f>C43+(Mainsheet!$C$22-Mainsheet!$C$20)/100</f>
        <v>9132.1622771689363</v>
      </c>
      <c r="D44" s="16">
        <f>Mainsheet!$E$20</f>
        <v>7.175E-3</v>
      </c>
      <c r="E44" s="15">
        <f>E43-(Mainsheet!$C$22-Mainsheet!$C$24)/100</f>
        <v>7764.1873417769575</v>
      </c>
      <c r="F44" s="15">
        <f t="shared" si="8"/>
        <v>9.8654335515862938E-3</v>
      </c>
      <c r="G44" s="15">
        <f>G43-(Mainsheet!$C$24-Mainsheet!$C$26)/100</f>
        <v>1429.8386534235017</v>
      </c>
      <c r="H44" s="16">
        <f t="shared" si="4"/>
        <v>2.87E-2</v>
      </c>
      <c r="I44" s="15"/>
      <c r="J44" s="15"/>
      <c r="K44" s="15">
        <f t="shared" si="9"/>
        <v>143.0958094019764</v>
      </c>
      <c r="L44" s="16">
        <f t="shared" si="5"/>
        <v>1</v>
      </c>
      <c r="M44" s="15">
        <f>M43+(Mainsheet!$D$22-Mainsheet!$D$20)/100</f>
        <v>228.30405692922358</v>
      </c>
      <c r="N44" s="16">
        <f>N43+Mainsheet!$I$6*LN(Data!M44/M43)</f>
        <v>1.1944356070558804</v>
      </c>
      <c r="O44" s="15">
        <f t="shared" si="10"/>
        <v>266.88876063542858</v>
      </c>
      <c r="P44" s="16">
        <f t="shared" si="6"/>
        <v>1.3978664816414081</v>
      </c>
      <c r="Q44" s="15">
        <f>Q43-(Mainsheet!$D$24-Mainsheet!$D$26)/100</f>
        <v>142.98386534235064</v>
      </c>
      <c r="R44" s="15">
        <f>R43+Mainsheet!$I$6*LN(Data!Q44/Data!Q43)</f>
        <v>1.2565504538349148</v>
      </c>
      <c r="S44" s="15"/>
      <c r="T44" s="15"/>
    </row>
    <row r="45" spans="1:20" x14ac:dyDescent="0.3">
      <c r="A45" s="15">
        <f>A44+(Mainsheet!$C$20-Mainsheet!$C$18)/100</f>
        <v>3564.6939377386702</v>
      </c>
      <c r="B45" s="18">
        <f t="shared" si="7"/>
        <v>1.1576580373975206E-2</v>
      </c>
      <c r="C45" s="16">
        <f>C44+(Mainsheet!$C$22-Mainsheet!$C$20)/100</f>
        <v>9183.7755574260773</v>
      </c>
      <c r="D45" s="16">
        <f>Mainsheet!$E$20</f>
        <v>7.175E-3</v>
      </c>
      <c r="E45" s="15">
        <f>E44-(Mainsheet!$C$22-Mainsheet!$C$24)/100</f>
        <v>7660.3410277220482</v>
      </c>
      <c r="F45" s="15">
        <f t="shared" si="8"/>
        <v>9.9607777123751733E-3</v>
      </c>
      <c r="G45" s="15">
        <f>G44-(Mainsheet!$C$24-Mainsheet!$C$26)/100</f>
        <v>1422.4276421575792</v>
      </c>
      <c r="H45" s="16">
        <f t="shared" si="4"/>
        <v>2.87E-2</v>
      </c>
      <c r="I45" s="15"/>
      <c r="J45" s="15"/>
      <c r="K45" s="15">
        <f t="shared" si="9"/>
        <v>143.78733755698221</v>
      </c>
      <c r="L45" s="16">
        <f t="shared" si="5"/>
        <v>1</v>
      </c>
      <c r="M45" s="15">
        <f>M44+(Mainsheet!$D$22-Mainsheet!$D$20)/100</f>
        <v>229.59438893565212</v>
      </c>
      <c r="N45" s="16">
        <f>N44+Mainsheet!$I$6*LN(Data!M45/M44)</f>
        <v>1.1984793668613685</v>
      </c>
      <c r="O45" s="15">
        <f t="shared" si="10"/>
        <v>265.86395184016345</v>
      </c>
      <c r="P45" s="16">
        <f t="shared" si="6"/>
        <v>1.3978664816414081</v>
      </c>
      <c r="Q45" s="15">
        <f>Q44-(Mainsheet!$D$24-Mainsheet!$D$26)/100</f>
        <v>142.2427642157584</v>
      </c>
      <c r="R45" s="15">
        <f>R44+Mainsheet!$I$6*LN(Data!Q45/Data!Q44)</f>
        <v>1.2528219011694823</v>
      </c>
      <c r="S45" s="15"/>
      <c r="T45" s="15"/>
    </row>
    <row r="46" spans="1:20" x14ac:dyDescent="0.3">
      <c r="A46" s="15">
        <f>A45+(Mainsheet!$C$20-Mainsheet!$C$18)/100</f>
        <v>3624.3379828023603</v>
      </c>
      <c r="B46" s="18">
        <f t="shared" si="7"/>
        <v>1.1440179326222521E-2</v>
      </c>
      <c r="C46" s="16">
        <f>C45+(Mainsheet!$C$22-Mainsheet!$C$20)/100</f>
        <v>9235.3888376832183</v>
      </c>
      <c r="D46" s="16">
        <f>Mainsheet!$E$20</f>
        <v>7.175E-3</v>
      </c>
      <c r="E46" s="15">
        <f>E45-(Mainsheet!$C$22-Mainsheet!$C$24)/100</f>
        <v>7556.494713667139</v>
      </c>
      <c r="F46" s="15">
        <f t="shared" si="8"/>
        <v>1.0058363696790015E-2</v>
      </c>
      <c r="G46" s="15">
        <f>G45-(Mainsheet!$C$24-Mainsheet!$C$26)/100</f>
        <v>1415.0166308916566</v>
      </c>
      <c r="H46" s="16">
        <f t="shared" si="4"/>
        <v>2.87E-2</v>
      </c>
      <c r="I46" s="15"/>
      <c r="J46" s="15"/>
      <c r="K46" s="15">
        <f t="shared" si="9"/>
        <v>144.47064969372335</v>
      </c>
      <c r="L46" s="16">
        <f t="shared" si="5"/>
        <v>1</v>
      </c>
      <c r="M46" s="15">
        <f>M45+(Mainsheet!$D$22-Mainsheet!$D$20)/100</f>
        <v>230.88472094208066</v>
      </c>
      <c r="N46" s="16">
        <f>N45+Mainsheet!$I$6*LN(Data!M46/M45)</f>
        <v>1.2025004640965808</v>
      </c>
      <c r="O46" s="15">
        <f t="shared" si="10"/>
        <v>264.82917109036663</v>
      </c>
      <c r="P46" s="16">
        <f t="shared" si="6"/>
        <v>1.3978664816414081</v>
      </c>
      <c r="Q46" s="15">
        <f>Q45-(Mainsheet!$D$24-Mainsheet!$D$26)/100</f>
        <v>141.50166308916616</v>
      </c>
      <c r="R46" s="15">
        <f>R45+Mainsheet!$I$6*LN(Data!Q46/Data!Q45)</f>
        <v>1.2490738714898828</v>
      </c>
      <c r="S46" s="15"/>
      <c r="T46" s="15"/>
    </row>
    <row r="47" spans="1:20" x14ac:dyDescent="0.3">
      <c r="A47" s="15">
        <f>A46+(Mainsheet!$C$20-Mainsheet!$C$18)/100</f>
        <v>3683.9820278660504</v>
      </c>
      <c r="B47" s="18">
        <f t="shared" si="7"/>
        <v>1.1307572857706109E-2</v>
      </c>
      <c r="C47" s="16">
        <f>C46+(Mainsheet!$C$22-Mainsheet!$C$20)/100</f>
        <v>9287.0021179403593</v>
      </c>
      <c r="D47" s="16">
        <f>Mainsheet!$E$20</f>
        <v>7.175E-3</v>
      </c>
      <c r="E47" s="15">
        <f>E46-(Mainsheet!$C$22-Mainsheet!$C$24)/100</f>
        <v>7452.6483996122297</v>
      </c>
      <c r="F47" s="15">
        <f t="shared" si="8"/>
        <v>1.0158276126405599E-2</v>
      </c>
      <c r="G47" s="15">
        <f>G46-(Mainsheet!$C$24-Mainsheet!$C$26)/100</f>
        <v>1407.6056196257341</v>
      </c>
      <c r="H47" s="16">
        <f t="shared" si="4"/>
        <v>2.87E-2</v>
      </c>
      <c r="I47" s="15"/>
      <c r="J47" s="15"/>
      <c r="K47" s="15">
        <f t="shared" si="9"/>
        <v>145.14597625984413</v>
      </c>
      <c r="L47" s="16">
        <f t="shared" si="5"/>
        <v>1</v>
      </c>
      <c r="M47" s="15">
        <f>M46+(Mainsheet!$D$22-Mainsheet!$D$20)/100</f>
        <v>232.1750529485092</v>
      </c>
      <c r="N47" s="16">
        <f>N46+Mainsheet!$I$6*LN(Data!M47/M46)</f>
        <v>1.2064991513636198</v>
      </c>
      <c r="O47" s="15">
        <f t="shared" si="10"/>
        <v>263.78418228667533</v>
      </c>
      <c r="P47" s="16">
        <f t="shared" si="6"/>
        <v>1.3978664816414081</v>
      </c>
      <c r="Q47" s="15">
        <f>Q46-(Mainsheet!$D$24-Mainsheet!$D$26)/100</f>
        <v>140.76056196257392</v>
      </c>
      <c r="R47" s="15">
        <f>R46+Mainsheet!$I$6*LN(Data!Q47/Data!Q46)</f>
        <v>1.2453061602411339</v>
      </c>
      <c r="S47" s="15"/>
      <c r="T47" s="15"/>
    </row>
    <row r="48" spans="1:20" x14ac:dyDescent="0.3">
      <c r="A48" s="15">
        <f>A47+(Mainsheet!$C$20-Mainsheet!$C$18)/100</f>
        <v>3743.6260729297405</v>
      </c>
      <c r="B48" s="18">
        <f t="shared" si="7"/>
        <v>1.1178596495879524E-2</v>
      </c>
      <c r="C48" s="16">
        <f>C47+(Mainsheet!$C$22-Mainsheet!$C$20)/100</f>
        <v>9338.6153981975003</v>
      </c>
      <c r="D48" s="16">
        <f>Mainsheet!$E$20</f>
        <v>7.175E-3</v>
      </c>
      <c r="E48" s="15">
        <f>E47-(Mainsheet!$C$22-Mainsheet!$C$24)/100</f>
        <v>7348.8020855573204</v>
      </c>
      <c r="F48" s="15">
        <f t="shared" si="8"/>
        <v>1.0260604055458122E-2</v>
      </c>
      <c r="G48" s="15">
        <f>G47-(Mainsheet!$C$24-Mainsheet!$C$26)/100</f>
        <v>1400.1946083598116</v>
      </c>
      <c r="H48" s="16">
        <f t="shared" si="4"/>
        <v>2.87E-2</v>
      </c>
      <c r="I48" s="15"/>
      <c r="J48" s="15"/>
      <c r="K48" s="15">
        <f t="shared" si="9"/>
        <v>145.81353763322517</v>
      </c>
      <c r="L48" s="16">
        <f t="shared" si="5"/>
        <v>1</v>
      </c>
      <c r="M48" s="15">
        <f>M47+(Mainsheet!$D$22-Mainsheet!$D$20)/100</f>
        <v>233.46538495493775</v>
      </c>
      <c r="N48" s="16">
        <f>N47+Mainsheet!$I$6*LN(Data!M48/M47)</f>
        <v>1.2104756770646443</v>
      </c>
      <c r="O48" s="15">
        <f t="shared" si="10"/>
        <v>262.72874035480334</v>
      </c>
      <c r="P48" s="16">
        <f t="shared" si="6"/>
        <v>1.3978664816414081</v>
      </c>
      <c r="Q48" s="15">
        <f>Q47-(Mainsheet!$D$24-Mainsheet!$D$26)/100</f>
        <v>140.01946083598168</v>
      </c>
      <c r="R48" s="15">
        <f>R47+Mainsheet!$I$6*LN(Data!Q48/Data!Q47)</f>
        <v>1.2415185596287637</v>
      </c>
      <c r="S48" s="15"/>
      <c r="T48" s="15"/>
    </row>
    <row r="49" spans="1:20" x14ac:dyDescent="0.3">
      <c r="A49" s="15">
        <f>A48+(Mainsheet!$C$20-Mainsheet!$C$18)/100</f>
        <v>3803.2701179934306</v>
      </c>
      <c r="B49" s="18">
        <f t="shared" si="7"/>
        <v>1.1053095370271583E-2</v>
      </c>
      <c r="C49" s="16">
        <f>C48+(Mainsheet!$C$22-Mainsheet!$C$20)/100</f>
        <v>9390.2286784546413</v>
      </c>
      <c r="D49" s="16">
        <f>Mainsheet!$E$20</f>
        <v>7.175E-3</v>
      </c>
      <c r="E49" s="15">
        <f>E48-(Mainsheet!$C$22-Mainsheet!$C$24)/100</f>
        <v>7244.9557715024112</v>
      </c>
      <c r="F49" s="15">
        <f t="shared" si="8"/>
        <v>1.0365441269768065E-2</v>
      </c>
      <c r="G49" s="15">
        <f>G48-(Mainsheet!$C$24-Mainsheet!$C$26)/100</f>
        <v>1392.7835970938891</v>
      </c>
      <c r="H49" s="16">
        <f t="shared" si="4"/>
        <v>2.87E-2</v>
      </c>
      <c r="I49" s="15"/>
      <c r="J49" s="15"/>
      <c r="K49" s="15">
        <f t="shared" si="9"/>
        <v>146.47354471458343</v>
      </c>
      <c r="L49" s="16">
        <f t="shared" si="5"/>
        <v>1</v>
      </c>
      <c r="M49" s="15">
        <f>M48+(Mainsheet!$D$22-Mainsheet!$D$20)/100</f>
        <v>234.75571696136629</v>
      </c>
      <c r="N49" s="16">
        <f>N48+Mainsheet!$I$6*LN(Data!M49/M48)</f>
        <v>1.2144302854944644</v>
      </c>
      <c r="O49" s="15">
        <f t="shared" si="10"/>
        <v>261.66259077203983</v>
      </c>
      <c r="P49" s="16">
        <f t="shared" si="6"/>
        <v>1.3978664816414081</v>
      </c>
      <c r="Q49" s="15">
        <f>Q48-(Mainsheet!$D$24-Mainsheet!$D$26)/100</f>
        <v>139.27835970938943</v>
      </c>
      <c r="R49" s="15">
        <f>R48+Mainsheet!$I$6*LN(Data!Q49/Data!Q48)</f>
        <v>1.2377108585500429</v>
      </c>
      <c r="S49" s="15"/>
      <c r="T49" s="15"/>
    </row>
    <row r="50" spans="1:20" x14ac:dyDescent="0.3">
      <c r="A50" s="15">
        <f>A49+(Mainsheet!$C$20-Mainsheet!$C$18)/100</f>
        <v>3862.9141630571207</v>
      </c>
      <c r="B50" s="18">
        <f t="shared" si="7"/>
        <v>1.0930923511988648E-2</v>
      </c>
      <c r="C50" s="16">
        <f>C49+(Mainsheet!$C$22-Mainsheet!$C$20)/100</f>
        <v>9441.8419587117824</v>
      </c>
      <c r="D50" s="16">
        <f>Mainsheet!$E$20</f>
        <v>7.175E-3</v>
      </c>
      <c r="E50" s="15">
        <f>E49-(Mainsheet!$C$22-Mainsheet!$C$24)/100</f>
        <v>7141.1094574475019</v>
      </c>
      <c r="F50" s="15">
        <f t="shared" si="8"/>
        <v>1.0472886610452063E-2</v>
      </c>
      <c r="G50" s="15">
        <f>G49-(Mainsheet!$C$24-Mainsheet!$C$26)/100</f>
        <v>1385.3725858279665</v>
      </c>
      <c r="H50" s="16">
        <f t="shared" si="4"/>
        <v>2.87E-2</v>
      </c>
      <c r="I50" s="15"/>
      <c r="J50" s="15"/>
      <c r="K50" s="15">
        <f t="shared" si="9"/>
        <v>147.12619947649836</v>
      </c>
      <c r="L50" s="16">
        <f t="shared" si="5"/>
        <v>1</v>
      </c>
      <c r="M50" s="15">
        <f>M49+(Mainsheet!$D$22-Mainsheet!$D$20)/100</f>
        <v>236.04604896779483</v>
      </c>
      <c r="N50" s="16">
        <f>N49+Mainsheet!$I$6*LN(Data!M50/M49)</f>
        <v>1.2183632169306</v>
      </c>
      <c r="O50" s="15">
        <f t="shared" si="10"/>
        <v>260.58546906158375</v>
      </c>
      <c r="P50" s="16">
        <f t="shared" si="6"/>
        <v>1.3978664816414081</v>
      </c>
      <c r="Q50" s="15">
        <f>Q49-(Mainsheet!$D$24-Mainsheet!$D$26)/100</f>
        <v>138.53725858279719</v>
      </c>
      <c r="R50" s="15">
        <f>R49+Mainsheet!$I$6*LN(Data!Q50/Data!Q49)</f>
        <v>1.2338828425233843</v>
      </c>
      <c r="S50" s="15"/>
      <c r="T50" s="15"/>
    </row>
    <row r="51" spans="1:20" x14ac:dyDescent="0.3">
      <c r="A51" s="15">
        <f>A50+(Mainsheet!$C$20-Mainsheet!$C$18)/100</f>
        <v>3922.5582081208108</v>
      </c>
      <c r="B51" s="18">
        <f t="shared" si="7"/>
        <v>1.0811943214216595E-2</v>
      </c>
      <c r="C51" s="16">
        <f>C50+(Mainsheet!$C$22-Mainsheet!$C$20)/100</f>
        <v>9493.4552389689234</v>
      </c>
      <c r="D51" s="16">
        <f>Mainsheet!$E$20</f>
        <v>7.175E-3</v>
      </c>
      <c r="E51" s="15">
        <f>E50-(Mainsheet!$C$22-Mainsheet!$C$24)/100</f>
        <v>7037.2631433925926</v>
      </c>
      <c r="F51" s="15">
        <f t="shared" si="8"/>
        <v>1.0583044324874818E-2</v>
      </c>
      <c r="G51" s="15">
        <f>G50-(Mainsheet!$C$24-Mainsheet!$C$26)/100</f>
        <v>1377.961574562044</v>
      </c>
      <c r="H51" s="16">
        <f t="shared" si="4"/>
        <v>2.87E-2</v>
      </c>
      <c r="I51" s="15"/>
      <c r="J51" s="15"/>
      <c r="K51" s="15">
        <f t="shared" si="9"/>
        <v>147.77169547268784</v>
      </c>
      <c r="L51" s="16">
        <f t="shared" si="5"/>
        <v>1</v>
      </c>
      <c r="M51" s="15">
        <f>M50+(Mainsheet!$D$22-Mainsheet!$D$20)/100</f>
        <v>237.33638097422337</v>
      </c>
      <c r="N51" s="16">
        <f>N50+Mainsheet!$I$6*LN(Data!M51/M50)</f>
        <v>1.2222747077208824</v>
      </c>
      <c r="O51" s="15">
        <f t="shared" si="10"/>
        <v>259.49710025202688</v>
      </c>
      <c r="P51" s="16">
        <f t="shared" si="6"/>
        <v>1.3978664816414081</v>
      </c>
      <c r="Q51" s="15">
        <f>Q50-(Mainsheet!$D$24-Mainsheet!$D$26)/100</f>
        <v>137.79615745620495</v>
      </c>
      <c r="R51" s="15">
        <f>R50+Mainsheet!$I$6*LN(Data!Q51/Data!Q50)</f>
        <v>1.230034293615847</v>
      </c>
      <c r="S51" s="15"/>
      <c r="T51" s="15"/>
    </row>
    <row r="52" spans="1:20" x14ac:dyDescent="0.3">
      <c r="A52" s="15">
        <f>A51+(Mainsheet!$C$20-Mainsheet!$C$18)/100</f>
        <v>3982.2022531845009</v>
      </c>
      <c r="B52" s="18">
        <f t="shared" si="7"/>
        <v>1.0696024447574677E-2</v>
      </c>
      <c r="C52" s="16">
        <f>C51+(Mainsheet!$C$22-Mainsheet!$C$20)/100</f>
        <v>9545.0685192260644</v>
      </c>
      <c r="D52" s="16">
        <f>Mainsheet!$E$20</f>
        <v>7.175E-3</v>
      </c>
      <c r="E52" s="15">
        <f>E51-(Mainsheet!$C$22-Mainsheet!$C$24)/100</f>
        <v>6933.4168293376833</v>
      </c>
      <c r="F52" s="15">
        <f t="shared" si="8"/>
        <v>1.069602444757471E-2</v>
      </c>
      <c r="G52" s="15">
        <f>G51-(Mainsheet!$C$24-Mainsheet!$C$26)/100</f>
        <v>1370.5505632961215</v>
      </c>
      <c r="H52" s="16">
        <f t="shared" si="4"/>
        <v>2.87E-2</v>
      </c>
      <c r="I52" s="15"/>
      <c r="J52" s="15"/>
      <c r="K52" s="15">
        <f t="shared" si="9"/>
        <v>148.41021831097001</v>
      </c>
      <c r="L52" s="16">
        <f t="shared" si="5"/>
        <v>1</v>
      </c>
      <c r="M52" s="15">
        <f>M51+(Mainsheet!$D$22-Mainsheet!$D$20)/100</f>
        <v>238.62671298065192</v>
      </c>
      <c r="N52" s="16">
        <f>N51+Mainsheet!$I$6*LN(Data!M52/M51)</f>
        <v>1.2261649903686835</v>
      </c>
      <c r="O52" s="15">
        <f t="shared" si="10"/>
        <v>258.39719829903066</v>
      </c>
      <c r="P52" s="16">
        <f t="shared" si="6"/>
        <v>1.3978664816414081</v>
      </c>
      <c r="Q52" s="15">
        <f>Q51-(Mainsheet!$D$24-Mainsheet!$D$26)/100</f>
        <v>137.05505632961271</v>
      </c>
      <c r="R52" s="15">
        <f>R51+Mainsheet!$I$6*LN(Data!Q52/Data!Q51)</f>
        <v>1.2261649903686862</v>
      </c>
      <c r="S52" s="15"/>
      <c r="T52" s="15"/>
    </row>
    <row r="53" spans="1:20" x14ac:dyDescent="0.3">
      <c r="A53" s="15">
        <f>A52+(Mainsheet!$C$20-Mainsheet!$C$18)/100</f>
        <v>4041.846298248191</v>
      </c>
      <c r="B53" s="18">
        <f t="shared" si="7"/>
        <v>1.058304432487479E-2</v>
      </c>
      <c r="C53" s="16">
        <f>C52+(Mainsheet!$C$22-Mainsheet!$C$20)/100</f>
        <v>9596.6817994832054</v>
      </c>
      <c r="D53" s="16">
        <f>Mainsheet!$E$20</f>
        <v>7.175E-3</v>
      </c>
      <c r="E53" s="15">
        <f>E52-(Mainsheet!$C$22-Mainsheet!$C$24)/100</f>
        <v>6829.5705152827741</v>
      </c>
      <c r="F53" s="15">
        <f t="shared" si="8"/>
        <v>1.0811943214216628E-2</v>
      </c>
      <c r="G53" s="15">
        <f>G52-(Mainsheet!$C$24-Mainsheet!$C$26)/100</f>
        <v>1363.139552030199</v>
      </c>
      <c r="H53" s="16">
        <f t="shared" si="4"/>
        <v>2.87E-2</v>
      </c>
      <c r="I53" s="15"/>
      <c r="J53" s="15"/>
      <c r="K53" s="15">
        <f t="shared" si="9"/>
        <v>149.04194609300242</v>
      </c>
      <c r="L53" s="16">
        <f t="shared" si="5"/>
        <v>1</v>
      </c>
      <c r="M53" s="15">
        <f>M52+(Mainsheet!$D$22-Mainsheet!$D$20)/100</f>
        <v>239.91704498708046</v>
      </c>
      <c r="N53" s="16">
        <f>N52+Mainsheet!$I$6*LN(Data!M53/M52)</f>
        <v>1.2300342936158444</v>
      </c>
      <c r="O53" s="15">
        <f t="shared" si="10"/>
        <v>257.28546546594271</v>
      </c>
      <c r="P53" s="16">
        <f t="shared" si="6"/>
        <v>1.3978664816414081</v>
      </c>
      <c r="Q53" s="15">
        <f>Q52-(Mainsheet!$D$24-Mainsheet!$D$26)/100</f>
        <v>136.31395520302047</v>
      </c>
      <c r="R53" s="15">
        <f>R52+Mainsheet!$I$6*LN(Data!Q53/Data!Q52)</f>
        <v>1.2222747077208853</v>
      </c>
      <c r="S53" s="15"/>
      <c r="T53" s="15"/>
    </row>
    <row r="54" spans="1:20" x14ac:dyDescent="0.3">
      <c r="A54" s="15">
        <f>A53+(Mainsheet!$C$20-Mainsheet!$C$18)/100</f>
        <v>4101.4903433118807</v>
      </c>
      <c r="B54" s="18">
        <f t="shared" si="7"/>
        <v>1.047288661045203E-2</v>
      </c>
      <c r="C54" s="16">
        <f>C53+(Mainsheet!$C$22-Mainsheet!$C$20)/100</f>
        <v>9648.2950797403464</v>
      </c>
      <c r="D54" s="16">
        <f>Mainsheet!$E$20</f>
        <v>7.175E-3</v>
      </c>
      <c r="E54" s="15">
        <f>E53-(Mainsheet!$C$22-Mainsheet!$C$24)/100</f>
        <v>6725.7242012278648</v>
      </c>
      <c r="F54" s="15">
        <f t="shared" si="8"/>
        <v>1.0930923511988679E-2</v>
      </c>
      <c r="G54" s="15">
        <f>G53-(Mainsheet!$C$24-Mainsheet!$C$26)/100</f>
        <v>1355.7285407642764</v>
      </c>
      <c r="H54" s="16">
        <f t="shared" si="4"/>
        <v>2.87E-2</v>
      </c>
      <c r="I54" s="15"/>
      <c r="J54" s="15"/>
      <c r="K54" s="15">
        <f t="shared" si="9"/>
        <v>149.66704982358641</v>
      </c>
      <c r="L54" s="16">
        <f t="shared" si="5"/>
        <v>1</v>
      </c>
      <c r="M54" s="15">
        <f>M53+(Mainsheet!$D$22-Mainsheet!$D$20)/100</f>
        <v>241.207376993509</v>
      </c>
      <c r="N54" s="16">
        <f>N53+Mainsheet!$I$6*LN(Data!M54/M53)</f>
        <v>1.2338828425233817</v>
      </c>
      <c r="O54" s="15">
        <f t="shared" si="10"/>
        <v>256.16159165976637</v>
      </c>
      <c r="P54" s="16">
        <f t="shared" si="6"/>
        <v>1.3978664816414081</v>
      </c>
      <c r="Q54" s="15">
        <f>Q53-(Mainsheet!$D$24-Mainsheet!$D$26)/100</f>
        <v>135.57285407642823</v>
      </c>
      <c r="R54" s="15">
        <f>R53+Mainsheet!$I$6*LN(Data!Q54/Data!Q53)</f>
        <v>1.2183632169306029</v>
      </c>
      <c r="S54" s="15"/>
      <c r="T54" s="15"/>
    </row>
    <row r="55" spans="1:20" x14ac:dyDescent="0.3">
      <c r="A55" s="15">
        <f>A54+(Mainsheet!$C$20-Mainsheet!$C$18)/100</f>
        <v>4161.1343883755708</v>
      </c>
      <c r="B55" s="18">
        <f t="shared" si="7"/>
        <v>1.0365441269768034E-2</v>
      </c>
      <c r="C55" s="16">
        <f>C54+(Mainsheet!$C$22-Mainsheet!$C$20)/100</f>
        <v>9699.9083599974874</v>
      </c>
      <c r="D55" s="16">
        <f>Mainsheet!$E$20</f>
        <v>7.175E-3</v>
      </c>
      <c r="E55" s="15">
        <f>E54-(Mainsheet!$C$22-Mainsheet!$C$24)/100</f>
        <v>6621.8778871729555</v>
      </c>
      <c r="F55" s="15">
        <f t="shared" si="8"/>
        <v>1.1053095370271616E-2</v>
      </c>
      <c r="G55" s="15">
        <f>G54-(Mainsheet!$C$24-Mainsheet!$C$26)/100</f>
        <v>1348.3175294983539</v>
      </c>
      <c r="H55" s="16">
        <f t="shared" si="4"/>
        <v>2.87E-2</v>
      </c>
      <c r="I55" s="15"/>
      <c r="J55" s="15"/>
      <c r="K55" s="15">
        <f t="shared" si="9"/>
        <v>150.28569379205265</v>
      </c>
      <c r="L55" s="16">
        <f t="shared" si="5"/>
        <v>1</v>
      </c>
      <c r="M55" s="15">
        <f>M54+(Mainsheet!$D$22-Mainsheet!$D$20)/100</f>
        <v>242.49770899993754</v>
      </c>
      <c r="N55" s="16">
        <f>N54+Mainsheet!$I$6*LN(Data!M55/M54)</f>
        <v>1.2377108585500403</v>
      </c>
      <c r="O55" s="15">
        <f t="shared" si="10"/>
        <v>255.02525371852053</v>
      </c>
      <c r="P55" s="16">
        <f t="shared" si="6"/>
        <v>1.3978664816414081</v>
      </c>
      <c r="Q55" s="15">
        <f>Q54-(Mainsheet!$D$24-Mainsheet!$D$26)/100</f>
        <v>134.83175294983599</v>
      </c>
      <c r="R55" s="15">
        <f>R54+Mainsheet!$I$6*LN(Data!Q55/Data!Q54)</f>
        <v>1.2144302854944675</v>
      </c>
      <c r="S55" s="15"/>
      <c r="T55" s="15"/>
    </row>
    <row r="56" spans="1:20" x14ac:dyDescent="0.3">
      <c r="A56" s="15">
        <f>A55+(Mainsheet!$C$20-Mainsheet!$C$18)/100</f>
        <v>4220.7784334392609</v>
      </c>
      <c r="B56" s="18">
        <f t="shared" si="7"/>
        <v>1.0260604055458093E-2</v>
      </c>
      <c r="C56" s="16">
        <f>C55+(Mainsheet!$C$22-Mainsheet!$C$20)/100</f>
        <v>9751.5216402546284</v>
      </c>
      <c r="D56" s="16">
        <f>Mainsheet!$E$20</f>
        <v>7.175E-3</v>
      </c>
      <c r="E56" s="15">
        <f>E55-(Mainsheet!$C$22-Mainsheet!$C$24)/100</f>
        <v>6518.0315731180463</v>
      </c>
      <c r="F56" s="15">
        <f t="shared" si="8"/>
        <v>1.117859649587956E-2</v>
      </c>
      <c r="G56" s="15">
        <f>G55-(Mainsheet!$C$24-Mainsheet!$C$26)/100</f>
        <v>1340.9065182324314</v>
      </c>
      <c r="H56" s="16">
        <f t="shared" si="4"/>
        <v>2.87E-2</v>
      </c>
      <c r="I56" s="15"/>
      <c r="J56" s="15"/>
      <c r="K56" s="15">
        <f t="shared" si="9"/>
        <v>150.89803592800325</v>
      </c>
      <c r="L56" s="16">
        <f t="shared" si="5"/>
        <v>1</v>
      </c>
      <c r="M56" s="15">
        <f>M55+(Mainsheet!$D$22-Mainsheet!$D$20)/100</f>
        <v>243.78804100636609</v>
      </c>
      <c r="N56" s="16">
        <f>N55+Mainsheet!$I$6*LN(Data!M56/M55)</f>
        <v>1.241518559628761</v>
      </c>
      <c r="O56" s="15">
        <f t="shared" si="10"/>
        <v>253.87611464560885</v>
      </c>
      <c r="P56" s="16">
        <f t="shared" si="6"/>
        <v>1.3978664816414081</v>
      </c>
      <c r="Q56" s="15">
        <f>Q55-(Mainsheet!$D$24-Mainsheet!$D$26)/100</f>
        <v>134.09065182324375</v>
      </c>
      <c r="R56" s="15">
        <f>R55+Mainsheet!$I$6*LN(Data!Q56/Data!Q55)</f>
        <v>1.2104756770646474</v>
      </c>
      <c r="S56" s="15"/>
      <c r="T56" s="15"/>
    </row>
    <row r="57" spans="1:20" x14ac:dyDescent="0.3">
      <c r="A57" s="15">
        <f>A56+(Mainsheet!$C$20-Mainsheet!$C$18)/100</f>
        <v>4280.422478502951</v>
      </c>
      <c r="B57" s="18">
        <f t="shared" si="7"/>
        <v>1.0158276126405569E-2</v>
      </c>
      <c r="C57" s="16">
        <f>C56+(Mainsheet!$C$22-Mainsheet!$C$20)/100</f>
        <v>9803.1349205117695</v>
      </c>
      <c r="D57" s="16">
        <f>Mainsheet!$E$20</f>
        <v>7.175E-3</v>
      </c>
      <c r="E57" s="15">
        <f>E56-(Mainsheet!$C$22-Mainsheet!$C$24)/100</f>
        <v>6414.185259063137</v>
      </c>
      <c r="F57" s="15">
        <f t="shared" si="8"/>
        <v>1.1307572857706146E-2</v>
      </c>
      <c r="G57" s="15">
        <f>G56-(Mainsheet!$C$24-Mainsheet!$C$26)/100</f>
        <v>1333.4955069665089</v>
      </c>
      <c r="H57" s="16">
        <f t="shared" si="4"/>
        <v>2.87E-2</v>
      </c>
      <c r="I57" s="15"/>
      <c r="J57" s="15"/>
      <c r="K57" s="15">
        <f t="shared" si="9"/>
        <v>151.50422813347137</v>
      </c>
      <c r="L57" s="16">
        <f t="shared" si="5"/>
        <v>1</v>
      </c>
      <c r="M57" s="15">
        <f>M56+(Mainsheet!$D$22-Mainsheet!$D$20)/100</f>
        <v>245.07837301279463</v>
      </c>
      <c r="N57" s="16">
        <f>N56+Mainsheet!$I$6*LN(Data!M57/M56)</f>
        <v>1.2453061602411313</v>
      </c>
      <c r="O57" s="15">
        <f t="shared" si="10"/>
        <v>252.71382278634567</v>
      </c>
      <c r="P57" s="16">
        <f t="shared" si="6"/>
        <v>1.3978664816414081</v>
      </c>
      <c r="Q57" s="15">
        <f>Q56-(Mainsheet!$D$24-Mainsheet!$D$26)/100</f>
        <v>133.34955069665151</v>
      </c>
      <c r="R57" s="15">
        <f>R56+Mainsheet!$I$6*LN(Data!Q57/Data!Q56)</f>
        <v>1.206499151363623</v>
      </c>
      <c r="S57" s="15"/>
      <c r="T57" s="15"/>
    </row>
    <row r="58" spans="1:20" x14ac:dyDescent="0.3">
      <c r="A58" s="15">
        <f>A57+(Mainsheet!$C$20-Mainsheet!$C$18)/100</f>
        <v>4340.0665235666411</v>
      </c>
      <c r="B58" s="18">
        <f t="shared" si="7"/>
        <v>1.0058363696789986E-2</v>
      </c>
      <c r="C58" s="16">
        <f>C57+(Mainsheet!$C$22-Mainsheet!$C$20)/100</f>
        <v>9854.7482007689105</v>
      </c>
      <c r="D58" s="16">
        <f>Mainsheet!$E$20</f>
        <v>7.175E-3</v>
      </c>
      <c r="E58" s="15">
        <f>E57-(Mainsheet!$C$22-Mainsheet!$C$24)/100</f>
        <v>6310.3389450082277</v>
      </c>
      <c r="F58" s="15">
        <f t="shared" si="8"/>
        <v>1.1440179326222561E-2</v>
      </c>
      <c r="G58" s="15">
        <f>G57-(Mainsheet!$C$24-Mainsheet!$C$26)/100</f>
        <v>1326.0844957005863</v>
      </c>
      <c r="H58" s="16">
        <f t="shared" si="4"/>
        <v>2.87E-2</v>
      </c>
      <c r="I58" s="15"/>
      <c r="J58" s="15"/>
      <c r="K58" s="15">
        <f t="shared" si="9"/>
        <v>152.10441659336664</v>
      </c>
      <c r="L58" s="16">
        <f t="shared" si="5"/>
        <v>1</v>
      </c>
      <c r="M58" s="15">
        <f>M57+(Mainsheet!$D$22-Mainsheet!$D$20)/100</f>
        <v>246.36870501922317</v>
      </c>
      <c r="N58" s="16">
        <f>N57+Mainsheet!$I$6*LN(Data!M58/M57)</f>
        <v>1.2490738714898801</v>
      </c>
      <c r="O58" s="15">
        <f t="shared" si="10"/>
        <v>251.5380109412551</v>
      </c>
      <c r="P58" s="16">
        <f t="shared" si="6"/>
        <v>1.3978664816414081</v>
      </c>
      <c r="Q58" s="15">
        <f>Q57-(Mainsheet!$D$24-Mainsheet!$D$26)/100</f>
        <v>132.60844957005926</v>
      </c>
      <c r="R58" s="15">
        <f>R57+Mainsheet!$I$6*LN(Data!Q58/Data!Q57)</f>
        <v>1.202500464096584</v>
      </c>
      <c r="S58" s="15"/>
      <c r="T58" s="15"/>
    </row>
    <row r="59" spans="1:20" x14ac:dyDescent="0.3">
      <c r="A59" s="15">
        <f>A58+(Mainsheet!$C$20-Mainsheet!$C$18)/100</f>
        <v>4399.7105686303312</v>
      </c>
      <c r="B59" s="18">
        <f t="shared" si="7"/>
        <v>9.9607777123751438E-3</v>
      </c>
      <c r="C59" s="16">
        <f>C58+(Mainsheet!$C$22-Mainsheet!$C$20)/100</f>
        <v>9906.3614810260515</v>
      </c>
      <c r="D59" s="16">
        <f>Mainsheet!$E$20</f>
        <v>7.175E-3</v>
      </c>
      <c r="E59" s="15">
        <f>E58-(Mainsheet!$C$22-Mainsheet!$C$24)/100</f>
        <v>6206.4926309533184</v>
      </c>
      <c r="F59" s="15">
        <f t="shared" si="8"/>
        <v>1.157658037397525E-2</v>
      </c>
      <c r="G59" s="15">
        <f>G58-(Mainsheet!$C$24-Mainsheet!$C$26)/100</f>
        <v>1318.6734844346638</v>
      </c>
      <c r="H59" s="16">
        <f t="shared" si="4"/>
        <v>2.87E-2</v>
      </c>
      <c r="I59" s="15"/>
      <c r="J59" s="15"/>
      <c r="K59" s="15">
        <f t="shared" si="9"/>
        <v>152.69874206590376</v>
      </c>
      <c r="L59" s="16">
        <f t="shared" si="5"/>
        <v>1</v>
      </c>
      <c r="M59" s="15">
        <f>M58+(Mainsheet!$D$22-Mainsheet!$D$20)/100</f>
        <v>247.65903702565171</v>
      </c>
      <c r="N59" s="16">
        <f>N58+Mainsheet!$I$6*LN(Data!M59/M58)</f>
        <v>1.2528219011694794</v>
      </c>
      <c r="O59" s="15">
        <f t="shared" si="10"/>
        <v>250.348295410161</v>
      </c>
      <c r="P59" s="16">
        <f t="shared" si="6"/>
        <v>1.3978664816414081</v>
      </c>
      <c r="Q59" s="15">
        <f>Q58-(Mainsheet!$D$24-Mainsheet!$D$26)/100</f>
        <v>131.86734844346702</v>
      </c>
      <c r="R59" s="15">
        <f>R58+Mainsheet!$I$6*LN(Data!Q59/Data!Q58)</f>
        <v>1.1984793668613716</v>
      </c>
      <c r="S59" s="15"/>
      <c r="T59" s="15"/>
    </row>
    <row r="60" spans="1:20" x14ac:dyDescent="0.3">
      <c r="A60" s="15">
        <f>A59+(Mainsheet!$C$20-Mainsheet!$C$18)/100</f>
        <v>4459.3546136940213</v>
      </c>
      <c r="B60" s="18">
        <f t="shared" si="7"/>
        <v>9.8654335515862678E-3</v>
      </c>
      <c r="C60" s="16">
        <f>C59+(Mainsheet!$C$22-Mainsheet!$C$20)/100</f>
        <v>9957.9747612831925</v>
      </c>
      <c r="D60" s="16">
        <f>Mainsheet!$E$20</f>
        <v>7.175E-3</v>
      </c>
      <c r="E60" s="15">
        <f>E59-(Mainsheet!$C$22-Mainsheet!$C$24)/100</f>
        <v>6102.6463168984092</v>
      </c>
      <c r="F60" s="15">
        <f t="shared" si="8"/>
        <v>1.1716950844036277E-2</v>
      </c>
      <c r="G60" s="15">
        <f>G59-(Mainsheet!$C$24-Mainsheet!$C$26)/100</f>
        <v>1311.2624731687413</v>
      </c>
      <c r="H60" s="16">
        <f t="shared" si="4"/>
        <v>2.87E-2</v>
      </c>
      <c r="I60" s="15"/>
      <c r="J60" s="15"/>
      <c r="K60" s="15">
        <f t="shared" si="9"/>
        <v>153.28734015455754</v>
      </c>
      <c r="L60" s="16">
        <f t="shared" si="5"/>
        <v>1</v>
      </c>
      <c r="M60" s="15">
        <f>M59+(Mainsheet!$D$22-Mainsheet!$D$20)/100</f>
        <v>248.94936903208026</v>
      </c>
      <c r="N60" s="16">
        <f>N59+Mainsheet!$I$6*LN(Data!M60/M59)</f>
        <v>1.2565504538349122</v>
      </c>
      <c r="O60" s="15">
        <f t="shared" si="10"/>
        <v>249.14427496041012</v>
      </c>
      <c r="P60" s="16">
        <f t="shared" si="6"/>
        <v>1.3978664816414081</v>
      </c>
      <c r="Q60" s="15">
        <f>Q59-(Mainsheet!$D$24-Mainsheet!$D$26)/100</f>
        <v>131.12624731687478</v>
      </c>
      <c r="R60" s="15">
        <f>R59+Mainsheet!$I$6*LN(Data!Q60/Data!Q59)</f>
        <v>1.1944356070558835</v>
      </c>
      <c r="S60" s="15"/>
      <c r="T60" s="15"/>
    </row>
    <row r="61" spans="1:20" x14ac:dyDescent="0.3">
      <c r="A61" s="15">
        <f>A60+(Mainsheet!$C$20-Mainsheet!$C$18)/100</f>
        <v>4518.9986587577114</v>
      </c>
      <c r="B61" s="18">
        <f t="shared" si="7"/>
        <v>9.7722507491751539E-3</v>
      </c>
      <c r="C61" s="16">
        <f>C60+(Mainsheet!$C$22-Mainsheet!$C$20)/100</f>
        <v>10009.588041540334</v>
      </c>
      <c r="D61" s="16">
        <f>Mainsheet!$E$20</f>
        <v>7.175E-3</v>
      </c>
      <c r="E61" s="15">
        <f>E60-(Mainsheet!$C$22-Mainsheet!$C$24)/100</f>
        <v>5998.8000028434999</v>
      </c>
      <c r="F61" s="15">
        <f t="shared" si="8"/>
        <v>1.1861476794285482E-2</v>
      </c>
      <c r="G61" s="15">
        <f>G60-(Mainsheet!$C$24-Mainsheet!$C$26)/100</f>
        <v>1303.8514619028188</v>
      </c>
      <c r="H61" s="16">
        <f t="shared" si="4"/>
        <v>2.87E-2</v>
      </c>
      <c r="I61" s="15"/>
      <c r="J61" s="15"/>
      <c r="K61" s="15">
        <f t="shared" si="9"/>
        <v>153.8703415629497</v>
      </c>
      <c r="L61" s="16">
        <f t="shared" si="5"/>
        <v>1</v>
      </c>
      <c r="M61" s="15">
        <f>M60+(Mainsheet!$D$22-Mainsheet!$D$20)/100</f>
        <v>250.2397010385088</v>
      </c>
      <c r="N61" s="16">
        <f>N60+Mainsheet!$I$6*LN(Data!M61/M60)</f>
        <v>1.2602597308686605</v>
      </c>
      <c r="O61" s="15">
        <f t="shared" si="10"/>
        <v>247.92552971180442</v>
      </c>
      <c r="P61" s="16">
        <f t="shared" si="6"/>
        <v>1.3978664816414081</v>
      </c>
      <c r="Q61" s="15">
        <f>Q60-(Mainsheet!$D$24-Mainsheet!$D$26)/100</f>
        <v>130.38514619028254</v>
      </c>
      <c r="R61" s="15">
        <f>R60+Mainsheet!$I$6*LN(Data!Q61/Data!Q60)</f>
        <v>1.1903689277828537</v>
      </c>
      <c r="S61" s="15"/>
      <c r="T61" s="15"/>
    </row>
    <row r="62" spans="1:20" x14ac:dyDescent="0.3">
      <c r="A62" s="15">
        <f>A61+(Mainsheet!$C$20-Mainsheet!$C$18)/100</f>
        <v>4578.6427038214015</v>
      </c>
      <c r="B62" s="18">
        <f t="shared" si="7"/>
        <v>9.6811527404939875E-3</v>
      </c>
      <c r="C62" s="16">
        <f>C61+(Mainsheet!$C$22-Mainsheet!$C$20)/100</f>
        <v>10061.201321797475</v>
      </c>
      <c r="D62" s="16">
        <f>Mainsheet!$E$20</f>
        <v>7.175E-3</v>
      </c>
      <c r="E62" s="15">
        <f>E61-(Mainsheet!$C$22-Mainsheet!$C$24)/100</f>
        <v>5894.9536887885906</v>
      </c>
      <c r="F62" s="15">
        <f t="shared" si="8"/>
        <v>1.2010356426471806E-2</v>
      </c>
      <c r="G62" s="15">
        <f>G61-(Mainsheet!$C$24-Mainsheet!$C$26)/100</f>
        <v>1296.4404506368962</v>
      </c>
      <c r="H62" s="16">
        <f t="shared" si="4"/>
        <v>2.87E-2</v>
      </c>
      <c r="I62" s="15"/>
      <c r="J62" s="15"/>
      <c r="K62" s="15">
        <f t="shared" si="9"/>
        <v>154.44787233394899</v>
      </c>
      <c r="L62" s="16">
        <f t="shared" si="5"/>
        <v>1</v>
      </c>
      <c r="M62" s="15">
        <f>M61+(Mainsheet!$D$22-Mainsheet!$D$20)/100</f>
        <v>251.53003304493734</v>
      </c>
      <c r="N62" s="16">
        <f>N61+Mainsheet!$I$6*LN(Data!M62/M61)</f>
        <v>1.2639499305459745</v>
      </c>
      <c r="O62" s="15">
        <f t="shared" si="10"/>
        <v>246.69161992995029</v>
      </c>
      <c r="P62" s="16">
        <f t="shared" si="6"/>
        <v>1.3978664816414081</v>
      </c>
      <c r="Q62" s="15">
        <f>Q61-(Mainsheet!$D$24-Mainsheet!$D$26)/100</f>
        <v>129.6440450636903</v>
      </c>
      <c r="R62" s="15">
        <f>R61+Mainsheet!$I$6*LN(Data!Q62/Data!Q61)</f>
        <v>1.1862790677519199</v>
      </c>
      <c r="S62" s="15"/>
      <c r="T62" s="15"/>
    </row>
    <row r="63" spans="1:20" x14ac:dyDescent="0.3">
      <c r="A63" s="15">
        <f>A62+(Mainsheet!$C$20-Mainsheet!$C$18)/100</f>
        <v>4638.2867488850916</v>
      </c>
      <c r="B63" s="18">
        <f t="shared" si="7"/>
        <v>9.5920666245950768E-3</v>
      </c>
      <c r="C63" s="16">
        <f>C62+(Mainsheet!$C$22-Mainsheet!$C$20)/100</f>
        <v>10112.814602054616</v>
      </c>
      <c r="D63" s="16">
        <f>Mainsheet!$E$20</f>
        <v>7.175E-3</v>
      </c>
      <c r="E63" s="15">
        <f>E62-(Mainsheet!$C$22-Mainsheet!$C$24)/100</f>
        <v>5791.1073747336814</v>
      </c>
      <c r="F63" s="15">
        <f t="shared" si="8"/>
        <v>1.2163801110235744E-2</v>
      </c>
      <c r="G63" s="15">
        <f>G62-(Mainsheet!$C$24-Mainsheet!$C$26)/100</f>
        <v>1289.0294393709737</v>
      </c>
      <c r="H63" s="16">
        <f t="shared" si="4"/>
        <v>2.87E-2</v>
      </c>
      <c r="I63" s="15"/>
      <c r="J63" s="15"/>
      <c r="K63" s="15">
        <f t="shared" si="9"/>
        <v>155.02005407415436</v>
      </c>
      <c r="L63" s="16">
        <f t="shared" si="5"/>
        <v>1</v>
      </c>
      <c r="M63" s="15">
        <f>M62+(Mainsheet!$D$22-Mainsheet!$D$20)/100</f>
        <v>252.82036505136588</v>
      </c>
      <c r="N63" s="16">
        <f>N62+Mainsheet!$I$6*LN(Data!M63/M62)</f>
        <v>1.2676212480984681</v>
      </c>
      <c r="O63" s="15">
        <f t="shared" si="10"/>
        <v>245.44208471874552</v>
      </c>
      <c r="P63" s="16">
        <f t="shared" si="6"/>
        <v>1.3978664816414081</v>
      </c>
      <c r="Q63" s="15">
        <f>Q62-(Mainsheet!$D$24-Mainsheet!$D$26)/100</f>
        <v>128.90294393709806</v>
      </c>
      <c r="R63" s="15">
        <f>R62+Mainsheet!$I$6*LN(Data!Q63/Data!Q62)</f>
        <v>1.1821657611788823</v>
      </c>
      <c r="S63" s="15"/>
      <c r="T63" s="15"/>
    </row>
    <row r="64" spans="1:20" x14ac:dyDescent="0.3">
      <c r="A64" s="15">
        <f>A63+(Mainsheet!$C$20-Mainsheet!$C$18)/100</f>
        <v>4697.9307939487817</v>
      </c>
      <c r="B64" s="18">
        <f t="shared" si="7"/>
        <v>9.5049229445488322E-3</v>
      </c>
      <c r="C64" s="16">
        <f>C63+(Mainsheet!$C$22-Mainsheet!$C$20)/100</f>
        <v>10164.427882311757</v>
      </c>
      <c r="D64" s="16">
        <f>Mainsheet!$E$20</f>
        <v>7.175E-3</v>
      </c>
      <c r="E64" s="15">
        <f>E63-(Mainsheet!$C$22-Mainsheet!$C$24)/100</f>
        <v>5687.2610606787721</v>
      </c>
      <c r="F64" s="15">
        <f t="shared" si="8"/>
        <v>1.2322036513705453E-2</v>
      </c>
      <c r="G64" s="15">
        <f>G63-(Mainsheet!$C$24-Mainsheet!$C$26)/100</f>
        <v>1281.6184281050512</v>
      </c>
      <c r="H64" s="16">
        <f t="shared" si="4"/>
        <v>2.87E-2</v>
      </c>
      <c r="I64" s="15"/>
      <c r="J64" s="15"/>
      <c r="K64" s="15">
        <f t="shared" si="9"/>
        <v>155.58700416483029</v>
      </c>
      <c r="L64" s="16">
        <f t="shared" si="5"/>
        <v>1</v>
      </c>
      <c r="M64" s="15">
        <f>M63+(Mainsheet!$D$22-Mainsheet!$D$20)/100</f>
        <v>254.11069705779443</v>
      </c>
      <c r="N64" s="16">
        <f>N63+Mainsheet!$I$6*LN(Data!M64/M63)</f>
        <v>1.271273875776098</v>
      </c>
      <c r="O64" s="15">
        <f t="shared" si="10"/>
        <v>244.17644060159947</v>
      </c>
      <c r="P64" s="16">
        <f t="shared" si="6"/>
        <v>1.3978664816414081</v>
      </c>
      <c r="Q64" s="15">
        <f>Q63-(Mainsheet!$D$24-Mainsheet!$D$26)/100</f>
        <v>128.16184281050582</v>
      </c>
      <c r="R64" s="15">
        <f>R63+Mainsheet!$I$6*LN(Data!Q64/Data!Q63)</f>
        <v>1.1780287376820586</v>
      </c>
      <c r="S64" s="15"/>
      <c r="T64" s="15"/>
    </row>
    <row r="65" spans="1:20" x14ac:dyDescent="0.3">
      <c r="A65" s="15">
        <f>A64+(Mainsheet!$C$20-Mainsheet!$C$18)/100</f>
        <v>4757.5748390124718</v>
      </c>
      <c r="B65" s="18">
        <f t="shared" si="7"/>
        <v>9.4196554835279528E-3</v>
      </c>
      <c r="C65" s="16">
        <f>C64+(Mainsheet!$C$22-Mainsheet!$C$20)/100</f>
        <v>10216.041162568898</v>
      </c>
      <c r="D65" s="16">
        <f>Mainsheet!$E$20</f>
        <v>7.175E-3</v>
      </c>
      <c r="E65" s="15">
        <f>E64-(Mainsheet!$C$22-Mainsheet!$C$24)/100</f>
        <v>5583.4147466238628</v>
      </c>
      <c r="F65" s="15">
        <f t="shared" si="8"/>
        <v>1.2485303853940906E-2</v>
      </c>
      <c r="G65" s="15">
        <f>G64-(Mainsheet!$C$24-Mainsheet!$C$26)/100</f>
        <v>1274.2074168391287</v>
      </c>
      <c r="H65" s="16">
        <f t="shared" si="4"/>
        <v>2.87E-2</v>
      </c>
      <c r="I65" s="15"/>
      <c r="J65" s="15"/>
      <c r="K65" s="15">
        <f t="shared" si="9"/>
        <v>156.14883596027335</v>
      </c>
      <c r="L65" s="16">
        <f t="shared" si="5"/>
        <v>1</v>
      </c>
      <c r="M65" s="15">
        <f>M64+(Mainsheet!$D$22-Mainsheet!$D$20)/100</f>
        <v>255.40102906422297</v>
      </c>
      <c r="N65" s="16">
        <f>N64+Mainsheet!$I$6*LN(Data!M65/M64)</f>
        <v>1.2749080029075719</v>
      </c>
      <c r="O65" s="15">
        <f t="shared" si="10"/>
        <v>242.89417997969827</v>
      </c>
      <c r="P65" s="16">
        <f t="shared" si="6"/>
        <v>1.3978664816414081</v>
      </c>
      <c r="Q65" s="15">
        <f>Q64-(Mainsheet!$D$24-Mainsheet!$D$26)/100</f>
        <v>127.42074168391358</v>
      </c>
      <c r="R65" s="15">
        <f>R64+Mainsheet!$I$6*LN(Data!Q65/Data!Q64)</f>
        <v>1.1738677221756342</v>
      </c>
      <c r="S65" s="15"/>
      <c r="T65" s="15"/>
    </row>
    <row r="66" spans="1:20" x14ac:dyDescent="0.3">
      <c r="A66" s="15">
        <f>A65+(Mainsheet!$C$20-Mainsheet!$C$18)/100</f>
        <v>4817.2188840761619</v>
      </c>
      <c r="B66" s="18">
        <f t="shared" si="7"/>
        <v>9.3362010753448039E-3</v>
      </c>
      <c r="C66" s="16">
        <f>C65+(Mainsheet!$C$22-Mainsheet!$C$20)/100</f>
        <v>10267.654442826039</v>
      </c>
      <c r="D66" s="16">
        <f>Mainsheet!$E$20</f>
        <v>7.175E-3</v>
      </c>
      <c r="E66" s="15">
        <f>E65-(Mainsheet!$C$22-Mainsheet!$C$24)/100</f>
        <v>5479.5684325689535</v>
      </c>
      <c r="F66" s="15">
        <f t="shared" si="8"/>
        <v>1.2653861282436035E-2</v>
      </c>
      <c r="G66" s="15">
        <f>G65-(Mainsheet!$C$24-Mainsheet!$C$26)/100</f>
        <v>1266.7964055732061</v>
      </c>
      <c r="H66" s="16">
        <f t="shared" si="4"/>
        <v>2.87E-2</v>
      </c>
      <c r="I66" s="15"/>
      <c r="J66" s="15"/>
      <c r="K66" s="15">
        <f t="shared" si="9"/>
        <v>156.70565897450581</v>
      </c>
      <c r="L66" s="16">
        <f t="shared" si="5"/>
        <v>1</v>
      </c>
      <c r="M66" s="15">
        <f>M65+(Mainsheet!$D$22-Mainsheet!$D$20)/100</f>
        <v>256.69136107065151</v>
      </c>
      <c r="N66" s="16">
        <f>N65+Mainsheet!$I$6*LN(Data!M66/M65)</f>
        <v>1.2785238159592356</v>
      </c>
      <c r="O66" s="15">
        <f t="shared" si="10"/>
        <v>241.59476945415682</v>
      </c>
      <c r="P66" s="16">
        <f t="shared" si="6"/>
        <v>1.3978664816414081</v>
      </c>
      <c r="Q66" s="15">
        <f>Q65-(Mainsheet!$D$24-Mainsheet!$D$26)/100</f>
        <v>126.67964055732133</v>
      </c>
      <c r="R66" s="15">
        <f>R65+Mainsheet!$I$6*LN(Data!Q66/Data!Q65)</f>
        <v>1.1696824347599006</v>
      </c>
      <c r="S66" s="15"/>
      <c r="T66" s="15"/>
    </row>
    <row r="67" spans="1:20" x14ac:dyDescent="0.3">
      <c r="A67" s="15">
        <f>A66+(Mainsheet!$C$20-Mainsheet!$C$18)/100</f>
        <v>4876.862929139852</v>
      </c>
      <c r="B67" s="18">
        <f t="shared" ref="B67:B98" si="11">0.287*K67/A67</f>
        <v>9.2544994282530348E-3</v>
      </c>
      <c r="C67" s="16">
        <f>C66+(Mainsheet!$C$22-Mainsheet!$C$20)/100</f>
        <v>10319.26772308318</v>
      </c>
      <c r="D67" s="16">
        <f>Mainsheet!$E$20</f>
        <v>7.175E-3</v>
      </c>
      <c r="E67" s="15">
        <f>E66-(Mainsheet!$C$22-Mainsheet!$C$24)/100</f>
        <v>5375.7221185140443</v>
      </c>
      <c r="F67" s="15">
        <f t="shared" ref="F67:F98" si="12">0.287*O67/E67</f>
        <v>1.2827985423149425E-2</v>
      </c>
      <c r="G67" s="15">
        <f>G66-(Mainsheet!$C$24-Mainsheet!$C$26)/100</f>
        <v>1259.3853943072836</v>
      </c>
      <c r="H67" s="16">
        <f t="shared" si="4"/>
        <v>2.87E-2</v>
      </c>
      <c r="I67" s="15"/>
      <c r="J67" s="15"/>
      <c r="K67" s="15">
        <f t="shared" ref="K67:K102" si="13">K66*(A67/A66)^(0.4/1.4)</f>
        <v>157.25757905711913</v>
      </c>
      <c r="L67" s="16">
        <f t="shared" si="5"/>
        <v>1</v>
      </c>
      <c r="M67" s="15">
        <f>M66+(Mainsheet!$D$22-Mainsheet!$D$20)/100</f>
        <v>257.98169307708008</v>
      </c>
      <c r="N67" s="16">
        <f>N66+Mainsheet!$I$6*LN(Data!M67/M66)</f>
        <v>1.2821214985924834</v>
      </c>
      <c r="O67" s="15">
        <f t="shared" ref="O67:O102" si="14">O66*(E67/E66)^(0.4/1.4)</f>
        <v>240.27764799721291</v>
      </c>
      <c r="P67" s="16">
        <f t="shared" si="6"/>
        <v>1.3978664816414081</v>
      </c>
      <c r="Q67" s="15">
        <f>Q66-(Mainsheet!$D$24-Mainsheet!$D$26)/100</f>
        <v>125.93853943072909</v>
      </c>
      <c r="R67" s="15">
        <f>R66+Mainsheet!$I$6*LN(Data!Q67/Data!Q66)</f>
        <v>1.165472590608275</v>
      </c>
      <c r="S67" s="15"/>
      <c r="T67" s="15"/>
    </row>
    <row r="68" spans="1:20" x14ac:dyDescent="0.3">
      <c r="A68" s="15">
        <f>A67+(Mainsheet!$C$20-Mainsheet!$C$18)/100</f>
        <v>4936.5069742035421</v>
      </c>
      <c r="B68" s="18">
        <f t="shared" si="11"/>
        <v>9.174492960935492E-3</v>
      </c>
      <c r="C68" s="16">
        <f>C67+(Mainsheet!$C$22-Mainsheet!$C$20)/100</f>
        <v>10370.881003340321</v>
      </c>
      <c r="D68" s="16">
        <f>Mainsheet!$E$20</f>
        <v>7.175E-3</v>
      </c>
      <c r="E68" s="15">
        <f>E67-(Mainsheet!$C$22-Mainsheet!$C$24)/100</f>
        <v>5271.875804459135</v>
      </c>
      <c r="F68" s="15">
        <f t="shared" si="12"/>
        <v>1.3007973083181466E-2</v>
      </c>
      <c r="G68" s="15">
        <f>G67-(Mainsheet!$C$24-Mainsheet!$C$26)/100</f>
        <v>1251.9743830413611</v>
      </c>
      <c r="H68" s="16">
        <f t="shared" ref="H68:H102" si="15">H67</f>
        <v>2.87E-2</v>
      </c>
      <c r="I68" s="15"/>
      <c r="J68" s="15"/>
      <c r="K68" s="15">
        <f t="shared" si="13"/>
        <v>157.8046985590222</v>
      </c>
      <c r="L68" s="16">
        <f t="shared" ref="L68:L102" si="16">L67</f>
        <v>1</v>
      </c>
      <c r="M68" s="15">
        <f>M67+(Mainsheet!$D$22-Mainsheet!$D$20)/100</f>
        <v>259.27202508350865</v>
      </c>
      <c r="N68" s="16">
        <f>N67+Mainsheet!$I$6*LN(Data!M68/M67)</f>
        <v>1.2857012317197349</v>
      </c>
      <c r="O68" s="15">
        <f t="shared" si="14"/>
        <v>238.94222495567971</v>
      </c>
      <c r="P68" s="16">
        <f t="shared" ref="P68:P102" si="17">P67</f>
        <v>1.3978664816414081</v>
      </c>
      <c r="Q68" s="15">
        <f>Q67-(Mainsheet!$D$24-Mainsheet!$D$26)/100</f>
        <v>125.19743830413685</v>
      </c>
      <c r="R68" s="15">
        <f>R67+Mainsheet!$I$6*LN(Data!Q68/Data!Q67)</f>
        <v>1.1612378998509847</v>
      </c>
      <c r="S68" s="15"/>
      <c r="T68" s="15"/>
    </row>
    <row r="69" spans="1:20" x14ac:dyDescent="0.3">
      <c r="A69" s="15">
        <f>A68+(Mainsheet!$C$20-Mainsheet!$C$18)/100</f>
        <v>4996.1510192672322</v>
      </c>
      <c r="B69" s="18">
        <f t="shared" si="11"/>
        <v>9.0961266496999531E-3</v>
      </c>
      <c r="C69" s="16">
        <f>C68+(Mainsheet!$C$22-Mainsheet!$C$20)/100</f>
        <v>10422.494283597462</v>
      </c>
      <c r="D69" s="16">
        <f>Mainsheet!$E$20</f>
        <v>7.175E-3</v>
      </c>
      <c r="E69" s="15">
        <f>E68-(Mainsheet!$C$22-Mainsheet!$C$24)/100</f>
        <v>5168.0294904042257</v>
      </c>
      <c r="F69" s="15">
        <f t="shared" si="12"/>
        <v>1.3194143159325964E-2</v>
      </c>
      <c r="G69" s="15">
        <f>G68-(Mainsheet!$C$24-Mainsheet!$C$26)/100</f>
        <v>1244.5633717754386</v>
      </c>
      <c r="H69" s="16">
        <f t="shared" si="15"/>
        <v>2.87E-2</v>
      </c>
      <c r="I69" s="15"/>
      <c r="J69" s="15"/>
      <c r="K69" s="15">
        <f t="shared" si="13"/>
        <v>158.34711648878837</v>
      </c>
      <c r="L69" s="16">
        <f t="shared" si="16"/>
        <v>1</v>
      </c>
      <c r="M69" s="15">
        <f>M68+(Mainsheet!$D$22-Mainsheet!$D$20)/100</f>
        <v>260.56235708993722</v>
      </c>
      <c r="N69" s="16">
        <f>N68+Mainsheet!$I$6*LN(Data!M69/M68)</f>
        <v>1.2892631935590251</v>
      </c>
      <c r="O69" s="15">
        <f t="shared" si="14"/>
        <v>237.58787786763679</v>
      </c>
      <c r="P69" s="16">
        <f t="shared" si="17"/>
        <v>1.3978664816414081</v>
      </c>
      <c r="Q69" s="15">
        <f>Q68-(Mainsheet!$D$24-Mainsheet!$D$26)/100</f>
        <v>124.45633717754461</v>
      </c>
      <c r="R69" s="15">
        <f>R68+Mainsheet!$I$6*LN(Data!Q69/Data!Q68)</f>
        <v>1.1569780674552992</v>
      </c>
      <c r="S69" s="15"/>
      <c r="T69" s="15"/>
    </row>
    <row r="70" spans="1:20" x14ac:dyDescent="0.3">
      <c r="A70" s="15">
        <f>A69+(Mainsheet!$C$20-Mainsheet!$C$18)/100</f>
        <v>5055.7950643309223</v>
      </c>
      <c r="B70" s="18">
        <f t="shared" si="11"/>
        <v>9.0193478859933781E-3</v>
      </c>
      <c r="C70" s="16">
        <f>C69+(Mainsheet!$C$22-Mainsheet!$C$20)/100</f>
        <v>10474.107563854603</v>
      </c>
      <c r="D70" s="16">
        <f>Mainsheet!$E$20</f>
        <v>7.175E-3</v>
      </c>
      <c r="E70" s="15">
        <f>E69-(Mainsheet!$C$22-Mainsheet!$C$24)/100</f>
        <v>5064.1831763493165</v>
      </c>
      <c r="F70" s="15">
        <f t="shared" si="12"/>
        <v>1.3386838767387851E-2</v>
      </c>
      <c r="G70" s="15">
        <f>G69-(Mainsheet!$C$24-Mainsheet!$C$26)/100</f>
        <v>1237.152360509516</v>
      </c>
      <c r="H70" s="16">
        <f t="shared" si="15"/>
        <v>2.87E-2</v>
      </c>
      <c r="I70" s="15"/>
      <c r="J70" s="15"/>
      <c r="K70" s="15">
        <f t="shared" si="13"/>
        <v>158.88492866023995</v>
      </c>
      <c r="L70" s="16">
        <f t="shared" si="16"/>
        <v>1</v>
      </c>
      <c r="M70" s="15">
        <f>M69+(Mainsheet!$D$22-Mainsheet!$D$20)/100</f>
        <v>261.85268909636579</v>
      </c>
      <c r="N70" s="16">
        <f>N69+Mainsheet!$I$6*LN(Data!M70/M69)</f>
        <v>1.2928075596872437</v>
      </c>
      <c r="O70" s="15">
        <f t="shared" si="14"/>
        <v>236.21395007075392</v>
      </c>
      <c r="P70" s="16">
        <f t="shared" si="17"/>
        <v>1.3978664816414081</v>
      </c>
      <c r="Q70" s="15">
        <f>Q69-(Mainsheet!$D$24-Mainsheet!$D$26)/100</f>
        <v>123.71523605095237</v>
      </c>
      <c r="R70" s="15">
        <f>R69+Mainsheet!$I$6*LN(Data!Q70/Data!Q69)</f>
        <v>1.1526927931021855</v>
      </c>
      <c r="S70" s="15"/>
      <c r="T70" s="15"/>
    </row>
    <row r="71" spans="1:20" x14ac:dyDescent="0.3">
      <c r="A71" s="15">
        <f>A70+(Mainsheet!$C$20-Mainsheet!$C$18)/100</f>
        <v>5115.4391093946124</v>
      </c>
      <c r="B71" s="18">
        <f t="shared" si="11"/>
        <v>8.9441063434255348E-3</v>
      </c>
      <c r="C71" s="16">
        <f>C70+(Mainsheet!$C$22-Mainsheet!$C$20)/100</f>
        <v>10525.720844111744</v>
      </c>
      <c r="D71" s="16">
        <f>Mainsheet!$E$20</f>
        <v>7.175E-3</v>
      </c>
      <c r="E71" s="15">
        <f>E70-(Mainsheet!$C$22-Mainsheet!$C$24)/100</f>
        <v>4960.3368622944072</v>
      </c>
      <c r="F71" s="15">
        <f t="shared" si="12"/>
        <v>1.3586429625489428E-2</v>
      </c>
      <c r="G71" s="15">
        <f>G70-(Mainsheet!$C$24-Mainsheet!$C$26)/100</f>
        <v>1229.7413492435935</v>
      </c>
      <c r="H71" s="16">
        <f t="shared" si="15"/>
        <v>2.87E-2</v>
      </c>
      <c r="I71" s="15"/>
      <c r="J71" s="15"/>
      <c r="K71" s="15">
        <f t="shared" si="13"/>
        <v>159.41822783185862</v>
      </c>
      <c r="L71" s="16">
        <f t="shared" si="16"/>
        <v>1</v>
      </c>
      <c r="M71" s="15">
        <f>M70+(Mainsheet!$D$22-Mainsheet!$D$20)/100</f>
        <v>263.14302110279436</v>
      </c>
      <c r="N71" s="16">
        <f>N70+Mainsheet!$I$6*LN(Data!M71/M70)</f>
        <v>1.2963345030920672</v>
      </c>
      <c r="O71" s="15">
        <f t="shared" si="14"/>
        <v>234.81974807764465</v>
      </c>
      <c r="P71" s="16">
        <f t="shared" si="17"/>
        <v>1.3978664816414081</v>
      </c>
      <c r="Q71" s="15">
        <f>Q70-(Mainsheet!$D$24-Mainsheet!$D$26)/100</f>
        <v>122.97413492436013</v>
      </c>
      <c r="R71" s="15">
        <f>R70+Mainsheet!$I$6*LN(Data!Q71/Data!Q70)</f>
        <v>1.1483817710592583</v>
      </c>
      <c r="S71" s="15"/>
      <c r="T71" s="15"/>
    </row>
    <row r="72" spans="1:20" x14ac:dyDescent="0.3">
      <c r="A72" s="15">
        <f>A71+(Mainsheet!$C$20-Mainsheet!$C$18)/100</f>
        <v>5175.0831544583025</v>
      </c>
      <c r="B72" s="18">
        <f t="shared" si="11"/>
        <v>8.8703538535648708E-3</v>
      </c>
      <c r="C72" s="16">
        <f>C71+(Mainsheet!$C$22-Mainsheet!$C$20)/100</f>
        <v>10577.334124368885</v>
      </c>
      <c r="D72" s="16">
        <f>Mainsheet!$E$20</f>
        <v>7.175E-3</v>
      </c>
      <c r="E72" s="15">
        <f>E71-(Mainsheet!$C$22-Mainsheet!$C$24)/100</f>
        <v>4856.4905482394979</v>
      </c>
      <c r="F72" s="15">
        <f t="shared" si="12"/>
        <v>1.3793314727722317E-2</v>
      </c>
      <c r="G72" s="15">
        <f>G71-(Mainsheet!$C$24-Mainsheet!$C$26)/100</f>
        <v>1222.330337977671</v>
      </c>
      <c r="H72" s="16">
        <f t="shared" si="15"/>
        <v>2.87E-2</v>
      </c>
      <c r="I72" s="15"/>
      <c r="J72" s="15"/>
      <c r="K72" s="15">
        <f t="shared" si="13"/>
        <v>159.94710383856395</v>
      </c>
      <c r="L72" s="16">
        <f t="shared" si="16"/>
        <v>1</v>
      </c>
      <c r="M72" s="15">
        <f>M71+(Mainsheet!$D$22-Mainsheet!$D$20)/100</f>
        <v>264.43335310922294</v>
      </c>
      <c r="N72" s="16">
        <f>N71+Mainsheet!$I$6*LN(Data!M72/M71)</f>
        <v>1.29984419422262</v>
      </c>
      <c r="O72" s="15">
        <f t="shared" si="14"/>
        <v>233.40453869016062</v>
      </c>
      <c r="P72" s="16">
        <f t="shared" si="17"/>
        <v>1.3978664816414081</v>
      </c>
      <c r="Q72" s="15">
        <f>Q71-(Mainsheet!$D$24-Mainsheet!$D$26)/100</f>
        <v>122.23303379776789</v>
      </c>
      <c r="R72" s="15">
        <f>R71+Mainsheet!$I$6*LN(Data!Q72/Data!Q71)</f>
        <v>1.1440446900498891</v>
      </c>
      <c r="S72" s="15"/>
      <c r="T72" s="15"/>
    </row>
    <row r="73" spans="1:20" x14ac:dyDescent="0.3">
      <c r="A73" s="15">
        <f>A72+(Mainsheet!$C$20-Mainsheet!$C$18)/100</f>
        <v>5234.7271995219926</v>
      </c>
      <c r="B73" s="18">
        <f t="shared" si="11"/>
        <v>8.7980442898344374E-3</v>
      </c>
      <c r="C73" s="16">
        <f>C72+(Mainsheet!$C$22-Mainsheet!$C$20)/100</f>
        <v>10628.947404626026</v>
      </c>
      <c r="D73" s="16">
        <f>Mainsheet!$E$20</f>
        <v>7.175E-3</v>
      </c>
      <c r="E73" s="15">
        <f>E72-(Mainsheet!$C$22-Mainsheet!$C$24)/100</f>
        <v>4752.6442341845886</v>
      </c>
      <c r="F73" s="15">
        <f t="shared" si="12"/>
        <v>1.4007925350612316E-2</v>
      </c>
      <c r="G73" s="15">
        <f>G72-(Mainsheet!$C$24-Mainsheet!$C$26)/100</f>
        <v>1214.9193267117485</v>
      </c>
      <c r="H73" s="16">
        <f t="shared" si="15"/>
        <v>2.87E-2</v>
      </c>
      <c r="I73" s="15"/>
      <c r="J73" s="15"/>
      <c r="K73" s="15">
        <f t="shared" si="13"/>
        <v>160.47164371636057</v>
      </c>
      <c r="L73" s="16">
        <f t="shared" si="16"/>
        <v>1</v>
      </c>
      <c r="M73" s="15">
        <f>M72+(Mainsheet!$D$22-Mainsheet!$D$20)/100</f>
        <v>265.72368511565151</v>
      </c>
      <c r="N73" s="16">
        <f>N72+Mainsheet!$I$6*LN(Data!M73/M72)</f>
        <v>1.3033368010389033</v>
      </c>
      <c r="O73" s="15">
        <f t="shared" si="14"/>
        <v>231.96754582047302</v>
      </c>
      <c r="P73" s="16">
        <f t="shared" si="17"/>
        <v>1.3978664816414081</v>
      </c>
      <c r="Q73" s="15">
        <f>Q72-(Mainsheet!$D$24-Mainsheet!$D$26)/100</f>
        <v>121.49193267117565</v>
      </c>
      <c r="R73" s="15">
        <f>R72+Mainsheet!$I$6*LN(Data!Q73/Data!Q72)</f>
        <v>1.1396812331183359</v>
      </c>
      <c r="S73" s="15"/>
      <c r="T73" s="15"/>
    </row>
    <row r="74" spans="1:20" x14ac:dyDescent="0.3">
      <c r="A74" s="15">
        <f>A73+(Mainsheet!$C$20-Mainsheet!$C$18)/100</f>
        <v>5294.3712445856827</v>
      </c>
      <c r="B74" s="18">
        <f t="shared" si="11"/>
        <v>8.7271334588941915E-3</v>
      </c>
      <c r="C74" s="16">
        <f>C73+(Mainsheet!$C$22-Mainsheet!$C$20)/100</f>
        <v>10680.560684883167</v>
      </c>
      <c r="D74" s="16">
        <f>Mainsheet!$E$20</f>
        <v>7.175E-3</v>
      </c>
      <c r="E74" s="15">
        <f>E73-(Mainsheet!$C$22-Mainsheet!$C$24)/100</f>
        <v>4648.7979201296794</v>
      </c>
      <c r="F74" s="15">
        <f t="shared" si="12"/>
        <v>1.4230728442159793E-2</v>
      </c>
      <c r="G74" s="15">
        <f>G73-(Mainsheet!$C$24-Mainsheet!$C$26)/100</f>
        <v>1207.5083154458259</v>
      </c>
      <c r="H74" s="16">
        <f t="shared" si="15"/>
        <v>2.87E-2</v>
      </c>
      <c r="I74" s="15"/>
      <c r="J74" s="15"/>
      <c r="K74" s="15">
        <f t="shared" si="13"/>
        <v>160.99193182031706</v>
      </c>
      <c r="L74" s="16">
        <f t="shared" si="16"/>
        <v>1</v>
      </c>
      <c r="M74" s="15">
        <f>M73+(Mainsheet!$D$22-Mainsheet!$D$20)/100</f>
        <v>267.01401712208008</v>
      </c>
      <c r="N74" s="16">
        <f>N73+Mainsheet!$I$6*LN(Data!M74/M73)</f>
        <v>1.3068124890600261</v>
      </c>
      <c r="O74" s="15">
        <f t="shared" si="14"/>
        <v>230.5079469820304</v>
      </c>
      <c r="P74" s="16">
        <f t="shared" si="17"/>
        <v>1.3978664816414081</v>
      </c>
      <c r="Q74" s="15">
        <f>Q73-(Mainsheet!$D$24-Mainsheet!$D$26)/100</f>
        <v>120.75083154458341</v>
      </c>
      <c r="R74" s="15">
        <f>R73+Mainsheet!$I$6*LN(Data!Q74/Data!Q73)</f>
        <v>1.1352910774907476</v>
      </c>
      <c r="S74" s="15"/>
      <c r="T74" s="15"/>
    </row>
    <row r="75" spans="1:20" x14ac:dyDescent="0.3">
      <c r="A75" s="15">
        <f>A74+(Mainsheet!$C$20-Mainsheet!$C$18)/100</f>
        <v>5354.0152896493728</v>
      </c>
      <c r="B75" s="18">
        <f t="shared" si="11"/>
        <v>8.6575789989487648E-3</v>
      </c>
      <c r="C75" s="16">
        <f>C74+(Mainsheet!$C$22-Mainsheet!$C$20)/100</f>
        <v>10732.173965140308</v>
      </c>
      <c r="D75" s="16">
        <f>Mainsheet!$E$20</f>
        <v>7.175E-3</v>
      </c>
      <c r="E75" s="15">
        <f>E74-(Mainsheet!$C$22-Mainsheet!$C$24)/100</f>
        <v>4544.9516060747701</v>
      </c>
      <c r="F75" s="15">
        <f t="shared" si="12"/>
        <v>1.4462230451961844E-2</v>
      </c>
      <c r="G75" s="15">
        <f>G74-(Mainsheet!$C$24-Mainsheet!$C$26)/100</f>
        <v>1200.0973041799034</v>
      </c>
      <c r="H75" s="16">
        <f t="shared" si="15"/>
        <v>2.87E-2</v>
      </c>
      <c r="I75" s="15"/>
      <c r="J75" s="15"/>
      <c r="K75" s="15">
        <f t="shared" si="13"/>
        <v>161.50804993630314</v>
      </c>
      <c r="L75" s="16">
        <f t="shared" si="16"/>
        <v>1</v>
      </c>
      <c r="M75" s="15">
        <f>M74+(Mainsheet!$D$22-Mainsheet!$D$20)/100</f>
        <v>268.30434912850865</v>
      </c>
      <c r="N75" s="16">
        <f>N74+Mainsheet!$I$6*LN(Data!M75/M74)</f>
        <v>1.3102714214112743</v>
      </c>
      <c r="O75" s="15">
        <f t="shared" si="14"/>
        <v>229.02486940790047</v>
      </c>
      <c r="P75" s="16">
        <f t="shared" si="17"/>
        <v>1.3978664816414081</v>
      </c>
      <c r="Q75" s="15">
        <f>Q74-(Mainsheet!$D$24-Mainsheet!$D$26)/100</f>
        <v>120.00973041799116</v>
      </c>
      <c r="R75" s="15">
        <f>R74+Mainsheet!$I$6*LN(Data!Q75/Data!Q74)</f>
        <v>1.1308738944318881</v>
      </c>
      <c r="S75" s="15"/>
      <c r="T75" s="15"/>
    </row>
    <row r="76" spans="1:20" x14ac:dyDescent="0.3">
      <c r="A76" s="15">
        <f>A75+(Mainsheet!$C$20-Mainsheet!$C$18)/100</f>
        <v>5413.6593347130629</v>
      </c>
      <c r="B76" s="18">
        <f t="shared" si="11"/>
        <v>8.5893402844676257E-3</v>
      </c>
      <c r="C76" s="16">
        <f>C75+(Mainsheet!$C$22-Mainsheet!$C$20)/100</f>
        <v>10783.787245397449</v>
      </c>
      <c r="D76" s="16">
        <f>Mainsheet!$E$20</f>
        <v>7.175E-3</v>
      </c>
      <c r="E76" s="15">
        <f>E75-(Mainsheet!$C$22-Mainsheet!$C$24)/100</f>
        <v>4441.1052920198608</v>
      </c>
      <c r="F76" s="15">
        <f t="shared" si="12"/>
        <v>1.4702981671441902E-2</v>
      </c>
      <c r="G76" s="15">
        <f>G75-(Mainsheet!$C$24-Mainsheet!$C$26)/100</f>
        <v>1192.6862929139809</v>
      </c>
      <c r="H76" s="16">
        <f t="shared" si="15"/>
        <v>2.87E-2</v>
      </c>
      <c r="I76" s="15"/>
      <c r="J76" s="15"/>
      <c r="K76" s="15">
        <f t="shared" si="13"/>
        <v>162.02007738688195</v>
      </c>
      <c r="L76" s="16">
        <f t="shared" si="16"/>
        <v>1</v>
      </c>
      <c r="M76" s="15">
        <f>M75+(Mainsheet!$D$22-Mainsheet!$D$20)/100</f>
        <v>269.59468113493722</v>
      </c>
      <c r="N76" s="16">
        <f>N75+Mainsheet!$I$6*LN(Data!M76/M75)</f>
        <v>1.3137137588700498</v>
      </c>
      <c r="O76" s="15">
        <f t="shared" si="14"/>
        <v>227.5173857474274</v>
      </c>
      <c r="P76" s="16">
        <f t="shared" si="17"/>
        <v>1.3978664816414081</v>
      </c>
      <c r="Q76" s="15">
        <f>Q75-(Mainsheet!$D$24-Mainsheet!$D$26)/100</f>
        <v>119.26862929139892</v>
      </c>
      <c r="R76" s="15">
        <f>R75+Mainsheet!$I$6*LN(Data!Q76/Data!Q75)</f>
        <v>1.1264293490974235</v>
      </c>
      <c r="S76" s="15"/>
      <c r="T76" s="15"/>
    </row>
    <row r="77" spans="1:20" x14ac:dyDescent="0.3">
      <c r="A77" s="15">
        <f>A76+(Mainsheet!$C$20-Mainsheet!$C$18)/100</f>
        <v>5473.303379776753</v>
      </c>
      <c r="B77" s="18">
        <f t="shared" si="11"/>
        <v>8.5223783368476805E-3</v>
      </c>
      <c r="C77" s="16">
        <f>C76+(Mainsheet!$C$22-Mainsheet!$C$20)/100</f>
        <v>10835.40052565459</v>
      </c>
      <c r="D77" s="16">
        <f>Mainsheet!$E$20</f>
        <v>7.175E-3</v>
      </c>
      <c r="E77" s="15">
        <f>E76-(Mainsheet!$C$22-Mainsheet!$C$24)/100</f>
        <v>4337.2589779649516</v>
      </c>
      <c r="F77" s="15">
        <f t="shared" si="12"/>
        <v>1.4953581165919666E-2</v>
      </c>
      <c r="G77" s="15">
        <f>G76-(Mainsheet!$C$24-Mainsheet!$C$26)/100</f>
        <v>1185.2752816480584</v>
      </c>
      <c r="H77" s="16">
        <f t="shared" si="15"/>
        <v>2.87E-2</v>
      </c>
      <c r="I77" s="15"/>
      <c r="J77" s="15"/>
      <c r="K77" s="15">
        <f t="shared" si="13"/>
        <v>162.52809113172333</v>
      </c>
      <c r="L77" s="16">
        <f t="shared" si="16"/>
        <v>1</v>
      </c>
      <c r="M77" s="15">
        <f>M76+(Mainsheet!$D$22-Mainsheet!$D$20)/100</f>
        <v>270.88501314136579</v>
      </c>
      <c r="N77" s="16">
        <f>N76+Mainsheet!$I$6*LN(Data!M77/M76)</f>
        <v>1.3171396599107135</v>
      </c>
      <c r="O77" s="15">
        <f t="shared" si="14"/>
        <v>225.98450928436475</v>
      </c>
      <c r="P77" s="16">
        <f t="shared" si="17"/>
        <v>1.3978664816414081</v>
      </c>
      <c r="Q77" s="15">
        <f>Q76-(Mainsheet!$D$24-Mainsheet!$D$26)/100</f>
        <v>118.52752816480668</v>
      </c>
      <c r="R77" s="15">
        <f>R76+Mainsheet!$I$6*LN(Data!Q77/Data!Q76)</f>
        <v>1.1219571003816062</v>
      </c>
      <c r="S77" s="15"/>
      <c r="T77" s="15"/>
    </row>
    <row r="78" spans="1:20" x14ac:dyDescent="0.3">
      <c r="A78" s="15">
        <f>A77+(Mainsheet!$C$20-Mainsheet!$C$18)/100</f>
        <v>5532.9474248404431</v>
      </c>
      <c r="B78" s="18">
        <f t="shared" si="11"/>
        <v>8.4566557405875552E-3</v>
      </c>
      <c r="C78" s="16">
        <f>C77+(Mainsheet!$C$22-Mainsheet!$C$20)/100</f>
        <v>10887.013805911731</v>
      </c>
      <c r="D78" s="16">
        <f>Mainsheet!$E$20</f>
        <v>7.175E-3</v>
      </c>
      <c r="E78" s="15">
        <f>E77-(Mainsheet!$C$22-Mainsheet!$C$24)/100</f>
        <v>4233.4126639100423</v>
      </c>
      <c r="F78" s="15">
        <f t="shared" si="12"/>
        <v>1.5214682395668325E-2</v>
      </c>
      <c r="G78" s="15">
        <f>G77-(Mainsheet!$C$24-Mainsheet!$C$26)/100</f>
        <v>1177.8642703821358</v>
      </c>
      <c r="H78" s="16">
        <f t="shared" si="15"/>
        <v>2.87E-2</v>
      </c>
      <c r="I78" s="15"/>
      <c r="J78" s="15"/>
      <c r="K78" s="15">
        <f t="shared" si="13"/>
        <v>163.03216586287829</v>
      </c>
      <c r="L78" s="16">
        <f t="shared" si="16"/>
        <v>1</v>
      </c>
      <c r="M78" s="15">
        <f>M77+(Mainsheet!$D$22-Mainsheet!$D$20)/100</f>
        <v>272.17534514779436</v>
      </c>
      <c r="N78" s="16">
        <f>N77+Mainsheet!$I$6*LN(Data!M78/M77)</f>
        <v>1.3205492807483625</v>
      </c>
      <c r="O78" s="15">
        <f t="shared" si="14"/>
        <v>224.42518861042325</v>
      </c>
      <c r="P78" s="16">
        <f t="shared" si="17"/>
        <v>1.3978664816414081</v>
      </c>
      <c r="Q78" s="15">
        <f>Q77-(Mainsheet!$D$24-Mainsheet!$D$26)/100</f>
        <v>117.78642703821444</v>
      </c>
      <c r="R78" s="15">
        <f>R77+Mainsheet!$I$6*LN(Data!Q78/Data!Q77)</f>
        <v>1.1174568007601815</v>
      </c>
      <c r="S78" s="15"/>
      <c r="T78" s="15"/>
    </row>
    <row r="79" spans="1:20" x14ac:dyDescent="0.3">
      <c r="A79" s="15">
        <f>A78+(Mainsheet!$C$20-Mainsheet!$C$18)/100</f>
        <v>5592.5914699041332</v>
      </c>
      <c r="B79" s="18">
        <f t="shared" si="11"/>
        <v>8.3921365645782623E-3</v>
      </c>
      <c r="C79" s="16">
        <f>C78+(Mainsheet!$C$22-Mainsheet!$C$20)/100</f>
        <v>10938.627086168872</v>
      </c>
      <c r="D79" s="16">
        <f>Mainsheet!$E$20</f>
        <v>7.175E-3</v>
      </c>
      <c r="E79" s="15">
        <f>E78-(Mainsheet!$C$22-Mainsheet!$C$24)/100</f>
        <v>4129.566349855133</v>
      </c>
      <c r="F79" s="15">
        <f t="shared" si="12"/>
        <v>1.5486999641886729E-2</v>
      </c>
      <c r="G79" s="15">
        <f>G78-(Mainsheet!$C$24-Mainsheet!$C$26)/100</f>
        <v>1170.4532591162133</v>
      </c>
      <c r="H79" s="16">
        <f t="shared" si="15"/>
        <v>2.87E-2</v>
      </c>
      <c r="I79" s="15"/>
      <c r="J79" s="15"/>
      <c r="K79" s="15">
        <f t="shared" si="13"/>
        <v>163.53237409522987</v>
      </c>
      <c r="L79" s="16">
        <f t="shared" si="16"/>
        <v>1</v>
      </c>
      <c r="M79" s="15">
        <f>M78+(Mainsheet!$D$22-Mainsheet!$D$20)/100</f>
        <v>273.46567715422293</v>
      </c>
      <c r="N79" s="16">
        <f>N78+Mainsheet!$I$6*LN(Data!M79/M78)</f>
        <v>1.3239427753815725</v>
      </c>
      <c r="O79" s="15">
        <f t="shared" si="14"/>
        <v>222.83830167719142</v>
      </c>
      <c r="P79" s="16">
        <f t="shared" si="17"/>
        <v>1.3978664816414081</v>
      </c>
      <c r="Q79" s="15">
        <f>Q78-(Mainsheet!$D$24-Mainsheet!$D$26)/100</f>
        <v>117.0453259116222</v>
      </c>
      <c r="R79" s="15">
        <f>R78+Mainsheet!$I$6*LN(Data!Q79/Data!Q78)</f>
        <v>1.1129280961283359</v>
      </c>
      <c r="S79" s="15"/>
      <c r="T79" s="15"/>
    </row>
    <row r="80" spans="1:20" x14ac:dyDescent="0.3">
      <c r="A80" s="15">
        <f>A79+(Mainsheet!$C$20-Mainsheet!$C$18)/100</f>
        <v>5652.2355149678233</v>
      </c>
      <c r="B80" s="18">
        <f t="shared" si="11"/>
        <v>8.3287862881472052E-3</v>
      </c>
      <c r="C80" s="16">
        <f>C79+(Mainsheet!$C$22-Mainsheet!$C$20)/100</f>
        <v>10990.240366426013</v>
      </c>
      <c r="D80" s="16">
        <f>Mainsheet!$E$20</f>
        <v>7.175E-3</v>
      </c>
      <c r="E80" s="15">
        <f>E79-(Mainsheet!$C$22-Mainsheet!$C$24)/100</f>
        <v>4025.7200358002237</v>
      </c>
      <c r="F80" s="15">
        <f t="shared" si="12"/>
        <v>1.5771315376501182E-2</v>
      </c>
      <c r="G80" s="15">
        <f>G79-(Mainsheet!$C$24-Mainsheet!$C$26)/100</f>
        <v>1163.0422478502908</v>
      </c>
      <c r="H80" s="16">
        <f t="shared" si="15"/>
        <v>2.87E-2</v>
      </c>
      <c r="I80" s="15"/>
      <c r="J80" s="15"/>
      <c r="K80" s="15">
        <f t="shared" si="13"/>
        <v>164.02878625241348</v>
      </c>
      <c r="L80" s="16">
        <f t="shared" si="16"/>
        <v>1</v>
      </c>
      <c r="M80" s="15">
        <f>M79+(Mainsheet!$D$22-Mainsheet!$D$20)/100</f>
        <v>274.7560091606515</v>
      </c>
      <c r="N80" s="16">
        <f>N79+Mainsheet!$I$6*LN(Data!M80/M79)</f>
        <v>1.3273202956341335</v>
      </c>
      <c r="O80" s="15">
        <f t="shared" si="14"/>
        <v>221.2226491362542</v>
      </c>
      <c r="P80" s="16">
        <f t="shared" si="17"/>
        <v>1.3978664816414081</v>
      </c>
      <c r="Q80" s="15">
        <f>Q79-(Mainsheet!$D$24-Mainsheet!$D$26)/100</f>
        <v>116.30422478502996</v>
      </c>
      <c r="R80" s="15">
        <f>R79+Mainsheet!$I$6*LN(Data!Q80/Data!Q79)</f>
        <v>1.1083706256335002</v>
      </c>
      <c r="S80" s="15"/>
      <c r="T80" s="15"/>
    </row>
    <row r="81" spans="1:20" x14ac:dyDescent="0.3">
      <c r="A81" s="15">
        <f>A80+(Mainsheet!$C$20-Mainsheet!$C$18)/100</f>
        <v>5711.8795600315134</v>
      </c>
      <c r="B81" s="18">
        <f t="shared" si="11"/>
        <v>8.2665717315217411E-3</v>
      </c>
      <c r="C81" s="16">
        <f>C80+(Mainsheet!$C$22-Mainsheet!$C$20)/100</f>
        <v>11041.853646683154</v>
      </c>
      <c r="D81" s="16">
        <f>Mainsheet!$E$20</f>
        <v>7.175E-3</v>
      </c>
      <c r="E81" s="15">
        <f>E80-(Mainsheet!$C$22-Mainsheet!$C$24)/100</f>
        <v>3921.8737217453145</v>
      </c>
      <c r="F81" s="15">
        <f t="shared" si="12"/>
        <v>1.606848874298384E-2</v>
      </c>
      <c r="G81" s="15">
        <f>G80-(Mainsheet!$C$24-Mainsheet!$C$26)/100</f>
        <v>1155.6312365843683</v>
      </c>
      <c r="H81" s="16">
        <f t="shared" si="15"/>
        <v>2.87E-2</v>
      </c>
      <c r="I81" s="15"/>
      <c r="J81" s="15"/>
      <c r="K81" s="15">
        <f t="shared" si="13"/>
        <v>164.52147074847858</v>
      </c>
      <c r="L81" s="16">
        <f t="shared" si="16"/>
        <v>1</v>
      </c>
      <c r="M81" s="15">
        <f>M80+(Mainsheet!$D$22-Mainsheet!$D$20)/100</f>
        <v>276.04634116708007</v>
      </c>
      <c r="N81" s="16">
        <f>N80+Mainsheet!$I$6*LN(Data!M81/M80)</f>
        <v>1.3306819911958081</v>
      </c>
      <c r="O81" s="15">
        <f t="shared" si="14"/>
        <v>219.5769468615635</v>
      </c>
      <c r="P81" s="16">
        <f t="shared" si="17"/>
        <v>1.3978664816414081</v>
      </c>
      <c r="Q81" s="15">
        <f>Q80-(Mainsheet!$D$24-Mainsheet!$D$26)/100</f>
        <v>115.56312365843772</v>
      </c>
      <c r="R81" s="15">
        <f>R80+Mainsheet!$I$6*LN(Data!Q81/Data!Q80)</f>
        <v>1.1037840215028074</v>
      </c>
      <c r="S81" s="15"/>
      <c r="T81" s="15"/>
    </row>
    <row r="82" spans="1:20" x14ac:dyDescent="0.3">
      <c r="A82" s="15">
        <f>A81+(Mainsheet!$C$20-Mainsheet!$C$18)/100</f>
        <v>5771.5236050952035</v>
      </c>
      <c r="B82" s="18">
        <f t="shared" si="11"/>
        <v>8.2054609904051931E-3</v>
      </c>
      <c r="C82" s="16">
        <f>C81+(Mainsheet!$C$22-Mainsheet!$C$20)/100</f>
        <v>11093.466926940295</v>
      </c>
      <c r="D82" s="16">
        <f>Mainsheet!$E$20</f>
        <v>7.175E-3</v>
      </c>
      <c r="E82" s="15">
        <f>E81-(Mainsheet!$C$22-Mainsheet!$C$24)/100</f>
        <v>3818.0274076904052</v>
      </c>
      <c r="F82" s="15">
        <f t="shared" si="12"/>
        <v>1.637946535032294E-2</v>
      </c>
      <c r="G82" s="15">
        <f>G81-(Mainsheet!$C$24-Mainsheet!$C$26)/100</f>
        <v>1148.2202253184457</v>
      </c>
      <c r="H82" s="16">
        <f t="shared" si="15"/>
        <v>2.87E-2</v>
      </c>
      <c r="I82" s="15"/>
      <c r="J82" s="15"/>
      <c r="K82" s="15">
        <f t="shared" si="13"/>
        <v>165.01049406554509</v>
      </c>
      <c r="L82" s="16">
        <f t="shared" si="16"/>
        <v>1</v>
      </c>
      <c r="M82" s="15">
        <f>M81+(Mainsheet!$D$22-Mainsheet!$D$20)/100</f>
        <v>277.33667317350864</v>
      </c>
      <c r="N82" s="16">
        <f>N81+Mainsheet!$I$6*LN(Data!M82/M81)</f>
        <v>1.3340280096621402</v>
      </c>
      <c r="O82" s="15">
        <f t="shared" si="14"/>
        <v>217.89981752908821</v>
      </c>
      <c r="P82" s="16">
        <f t="shared" si="17"/>
        <v>1.3978664816414081</v>
      </c>
      <c r="Q82" s="15">
        <f>Q81-(Mainsheet!$D$24-Mainsheet!$D$26)/100</f>
        <v>114.82202253184548</v>
      </c>
      <c r="R82" s="15">
        <f>R81+Mainsheet!$I$6*LN(Data!Q82/Data!Q81)</f>
        <v>1.0991679088650002</v>
      </c>
      <c r="S82" s="15"/>
      <c r="T82" s="15"/>
    </row>
    <row r="83" spans="1:20" x14ac:dyDescent="0.3">
      <c r="A83" s="15">
        <f>A82+(Mainsheet!$C$20-Mainsheet!$C$18)/100</f>
        <v>5831.1676501588936</v>
      </c>
      <c r="B83" s="18">
        <f t="shared" si="11"/>
        <v>8.1454233743824666E-3</v>
      </c>
      <c r="C83" s="16">
        <f>C82+(Mainsheet!$C$22-Mainsheet!$C$20)/100</f>
        <v>11145.080207197436</v>
      </c>
      <c r="D83" s="16">
        <f>Mainsheet!$E$20</f>
        <v>7.175E-3</v>
      </c>
      <c r="E83" s="15">
        <f>E82-(Mainsheet!$C$22-Mainsheet!$C$24)/100</f>
        <v>3714.1810936354959</v>
      </c>
      <c r="F83" s="15">
        <f t="shared" si="12"/>
        <v>1.6705288625710846E-2</v>
      </c>
      <c r="G83" s="15">
        <f>G82-(Mainsheet!$C$24-Mainsheet!$C$26)/100</f>
        <v>1140.8092140525232</v>
      </c>
      <c r="H83" s="16">
        <f t="shared" si="15"/>
        <v>2.87E-2</v>
      </c>
      <c r="I83" s="15"/>
      <c r="J83" s="15"/>
      <c r="K83" s="15">
        <f t="shared" si="13"/>
        <v>165.49592082769036</v>
      </c>
      <c r="L83" s="16">
        <f t="shared" si="16"/>
        <v>1</v>
      </c>
      <c r="M83" s="15">
        <f>M82+(Mainsheet!$D$22-Mainsheet!$D$20)/100</f>
        <v>278.62700517993721</v>
      </c>
      <c r="N83" s="16">
        <f>N82+Mainsheet!$I$6*LN(Data!M83/M82)</f>
        <v>1.3373584965733376</v>
      </c>
      <c r="O83" s="15">
        <f t="shared" si="14"/>
        <v>216.18978110571194</v>
      </c>
      <c r="P83" s="16">
        <f t="shared" si="17"/>
        <v>1.3978664816414081</v>
      </c>
      <c r="Q83" s="15">
        <f>Q82-(Mainsheet!$D$24-Mainsheet!$D$26)/100</f>
        <v>114.08092140525324</v>
      </c>
      <c r="R83" s="15">
        <f>R82+Mainsheet!$I$6*LN(Data!Q83/Data!Q82)</f>
        <v>1.0945219055665727</v>
      </c>
      <c r="S83" s="15"/>
      <c r="T83" s="15"/>
    </row>
    <row r="84" spans="1:20" x14ac:dyDescent="0.3">
      <c r="A84" s="15">
        <f>A83+(Mainsheet!$C$20-Mainsheet!$C$18)/100</f>
        <v>5890.8116952225837</v>
      </c>
      <c r="B84" s="18">
        <f t="shared" si="11"/>
        <v>8.0864293488945235E-3</v>
      </c>
      <c r="C84" s="16">
        <f>C83+(Mainsheet!$C$22-Mainsheet!$C$20)/100</f>
        <v>11196.693487454577</v>
      </c>
      <c r="D84" s="16">
        <f>Mainsheet!$E$20</f>
        <v>7.175E-3</v>
      </c>
      <c r="E84" s="15">
        <f>E83-(Mainsheet!$C$22-Mainsheet!$C$24)/100</f>
        <v>3610.3347795805867</v>
      </c>
      <c r="F84" s="15">
        <f t="shared" si="12"/>
        <v>1.7047113025790168E-2</v>
      </c>
      <c r="G84" s="15">
        <f>G83-(Mainsheet!$C$24-Mainsheet!$C$26)/100</f>
        <v>1133.3982027866007</v>
      </c>
      <c r="H84" s="16">
        <f t="shared" si="15"/>
        <v>2.87E-2</v>
      </c>
      <c r="I84" s="15"/>
      <c r="J84" s="15"/>
      <c r="K84" s="15">
        <f t="shared" si="13"/>
        <v>165.97781387128575</v>
      </c>
      <c r="L84" s="16">
        <f t="shared" si="16"/>
        <v>1</v>
      </c>
      <c r="M84" s="15">
        <f>M83+(Mainsheet!$D$22-Mainsheet!$D$20)/100</f>
        <v>279.91733718636578</v>
      </c>
      <c r="N84" s="16">
        <f>N83+Mainsheet!$I$6*LN(Data!M84/M83)</f>
        <v>1.3406735954522588</v>
      </c>
      <c r="O84" s="15">
        <f t="shared" si="14"/>
        <v>214.44524407125959</v>
      </c>
      <c r="P84" s="16">
        <f t="shared" si="17"/>
        <v>1.3978664816414081</v>
      </c>
      <c r="Q84" s="15">
        <f>Q83-(Mainsheet!$D$24-Mainsheet!$D$26)/100</f>
        <v>113.33982027866099</v>
      </c>
      <c r="R84" s="15">
        <f>R83+Mainsheet!$I$6*LN(Data!Q84/Data!Q83)</f>
        <v>1.0898456219819206</v>
      </c>
      <c r="S84" s="15"/>
      <c r="T84" s="15"/>
    </row>
    <row r="85" spans="1:20" x14ac:dyDescent="0.3">
      <c r="A85" s="15">
        <f>A84+(Mainsheet!$C$20-Mainsheet!$C$18)/100</f>
        <v>5950.4557402862738</v>
      </c>
      <c r="B85" s="18">
        <f t="shared" si="11"/>
        <v>8.0284504805412105E-3</v>
      </c>
      <c r="C85" s="16">
        <f>C84+(Mainsheet!$C$22-Mainsheet!$C$20)/100</f>
        <v>11248.306767711718</v>
      </c>
      <c r="D85" s="16">
        <f>Mainsheet!$E$20</f>
        <v>7.175E-3</v>
      </c>
      <c r="E85" s="15">
        <f>E84-(Mainsheet!$C$22-Mainsheet!$C$24)/100</f>
        <v>3506.4884655256774</v>
      </c>
      <c r="F85" s="15">
        <f t="shared" si="12"/>
        <v>1.7406219474522852E-2</v>
      </c>
      <c r="G85" s="15">
        <f>G84-(Mainsheet!$C$24-Mainsheet!$C$26)/100</f>
        <v>1125.9871915206782</v>
      </c>
      <c r="H85" s="16">
        <f t="shared" si="15"/>
        <v>2.87E-2</v>
      </c>
      <c r="I85" s="15"/>
      <c r="J85" s="15"/>
      <c r="K85" s="15">
        <f t="shared" si="13"/>
        <v>166.45623431198794</v>
      </c>
      <c r="L85" s="16">
        <f t="shared" si="16"/>
        <v>1</v>
      </c>
      <c r="M85" s="15">
        <f>M84+(Mainsheet!$D$22-Mainsheet!$D$20)/100</f>
        <v>281.20766919279436</v>
      </c>
      <c r="N85" s="16">
        <f>N84+Mainsheet!$I$6*LN(Data!M85/M84)</f>
        <v>1.3439734478415251</v>
      </c>
      <c r="O85" s="15">
        <f t="shared" si="14"/>
        <v>212.66448716314565</v>
      </c>
      <c r="P85" s="16">
        <f t="shared" si="17"/>
        <v>1.3978664816414081</v>
      </c>
      <c r="Q85" s="15">
        <f>Q84-(Mainsheet!$D$24-Mainsheet!$D$26)/100</f>
        <v>112.59871915206875</v>
      </c>
      <c r="R85" s="15">
        <f>R84+Mainsheet!$I$6*LN(Data!Q85/Data!Q84)</f>
        <v>1.0851386608172635</v>
      </c>
      <c r="S85" s="15"/>
      <c r="T85" s="15"/>
    </row>
    <row r="86" spans="1:20" x14ac:dyDescent="0.3">
      <c r="A86" s="15">
        <f>A85+(Mainsheet!$C$20-Mainsheet!$C$18)/100</f>
        <v>6010.0997853499639</v>
      </c>
      <c r="B86" s="18">
        <f t="shared" si="11"/>
        <v>7.9714593854903169E-3</v>
      </c>
      <c r="C86" s="16">
        <f>C85+(Mainsheet!$C$22-Mainsheet!$C$20)/100</f>
        <v>11299.920047968859</v>
      </c>
      <c r="D86" s="16">
        <f>Mainsheet!$E$20</f>
        <v>7.175E-3</v>
      </c>
      <c r="E86" s="15">
        <f>E85-(Mainsheet!$C$22-Mainsheet!$C$24)/100</f>
        <v>3402.6421514707681</v>
      </c>
      <c r="F86" s="15">
        <f t="shared" si="12"/>
        <v>1.7784033482041051E-2</v>
      </c>
      <c r="G86" s="15">
        <f>G85-(Mainsheet!$C$24-Mainsheet!$C$26)/100</f>
        <v>1118.5761802547556</v>
      </c>
      <c r="H86" s="16">
        <f t="shared" si="15"/>
        <v>2.87E-2</v>
      </c>
      <c r="I86" s="15"/>
      <c r="J86" s="15"/>
      <c r="K86" s="15">
        <f t="shared" si="13"/>
        <v>166.93124160857599</v>
      </c>
      <c r="L86" s="16">
        <f t="shared" si="16"/>
        <v>1</v>
      </c>
      <c r="M86" s="15">
        <f>M85+(Mainsheet!$D$22-Mainsheet!$D$20)/100</f>
        <v>282.49800119922293</v>
      </c>
      <c r="N86" s="16">
        <f>N85+Mainsheet!$I$6*LN(Data!M86/M85)</f>
        <v>1.3472581933397827</v>
      </c>
      <c r="O86" s="15">
        <f t="shared" si="14"/>
        <v>210.84565139080257</v>
      </c>
      <c r="P86" s="16">
        <f t="shared" si="17"/>
        <v>1.3978664816414081</v>
      </c>
      <c r="Q86" s="15">
        <f>Q85-(Mainsheet!$D$24-Mainsheet!$D$26)/100</f>
        <v>111.85761802547651</v>
      </c>
      <c r="R86" s="15">
        <f>R85+Mainsheet!$I$6*LN(Data!Q86/Data!Q85)</f>
        <v>1.0804006169080937</v>
      </c>
      <c r="S86" s="15"/>
      <c r="T86" s="15"/>
    </row>
    <row r="87" spans="1:20" x14ac:dyDescent="0.3">
      <c r="A87" s="15">
        <f>A86+(Mainsheet!$C$20-Mainsheet!$C$18)/100</f>
        <v>6069.743830413654</v>
      </c>
      <c r="B87" s="18">
        <f t="shared" si="11"/>
        <v>7.9154296807876466E-3</v>
      </c>
      <c r="C87" s="16">
        <f>C86+(Mainsheet!$C$22-Mainsheet!$C$20)/100</f>
        <v>11351.533328226</v>
      </c>
      <c r="D87" s="16">
        <f>Mainsheet!$E$20</f>
        <v>7.175E-3</v>
      </c>
      <c r="E87" s="15">
        <f>E86-(Mainsheet!$C$22-Mainsheet!$C$24)/100</f>
        <v>3298.7958374158588</v>
      </c>
      <c r="F87" s="15">
        <f t="shared" si="12"/>
        <v>1.8182146508704013E-2</v>
      </c>
      <c r="G87" s="15">
        <f>G86-(Mainsheet!$C$24-Mainsheet!$C$26)/100</f>
        <v>1111.1651689888331</v>
      </c>
      <c r="H87" s="16">
        <f t="shared" si="15"/>
        <v>2.87E-2</v>
      </c>
      <c r="I87" s="15"/>
      <c r="J87" s="15"/>
      <c r="K87" s="15">
        <f t="shared" si="13"/>
        <v>167.40289362381165</v>
      </c>
      <c r="L87" s="16">
        <f t="shared" si="16"/>
        <v>1</v>
      </c>
      <c r="M87" s="15">
        <f>M86+(Mainsheet!$D$22-Mainsheet!$D$20)/100</f>
        <v>283.7883332056515</v>
      </c>
      <c r="N87" s="16">
        <f>N86+Mainsheet!$I$6*LN(Data!M87/M86)</f>
        <v>1.3505279696371397</v>
      </c>
      <c r="O87" s="15">
        <f t="shared" si="14"/>
        <v>208.9867220146275</v>
      </c>
      <c r="P87" s="16">
        <f t="shared" si="17"/>
        <v>1.3978664816414081</v>
      </c>
      <c r="Q87" s="15">
        <f>Q86-(Mainsheet!$D$24-Mainsheet!$D$26)/100</f>
        <v>111.11651689888427</v>
      </c>
      <c r="R87" s="15">
        <f>R86+Mainsheet!$I$6*LN(Data!Q87/Data!Q86)</f>
        <v>1.0756310770098922</v>
      </c>
      <c r="S87" s="15"/>
      <c r="T87" s="15"/>
    </row>
    <row r="88" spans="1:20" x14ac:dyDescent="0.3">
      <c r="A88" s="15">
        <f>A87+(Mainsheet!$C$20-Mainsheet!$C$18)/100</f>
        <v>6129.3878754773441</v>
      </c>
      <c r="B88" s="18">
        <f t="shared" si="11"/>
        <v>7.8603359383783052E-3</v>
      </c>
      <c r="C88" s="16">
        <f>C87+(Mainsheet!$C$22-Mainsheet!$C$20)/100</f>
        <v>11403.146608483141</v>
      </c>
      <c r="D88" s="16">
        <f>Mainsheet!$E$20</f>
        <v>7.175E-3</v>
      </c>
      <c r="E88" s="15">
        <f>E87-(Mainsheet!$C$22-Mainsheet!$C$24)/100</f>
        <v>3194.9495233609496</v>
      </c>
      <c r="F88" s="15">
        <f t="shared" si="12"/>
        <v>1.8602341279431944E-2</v>
      </c>
      <c r="G88" s="15">
        <f>G87-(Mainsheet!$C$24-Mainsheet!$C$26)/100</f>
        <v>1103.7541577229106</v>
      </c>
      <c r="H88" s="16">
        <f t="shared" si="15"/>
        <v>2.87E-2</v>
      </c>
      <c r="I88" s="15"/>
      <c r="J88" s="15"/>
      <c r="K88" s="15">
        <f t="shared" si="13"/>
        <v>167.87124668249066</v>
      </c>
      <c r="L88" s="16">
        <f t="shared" si="16"/>
        <v>1</v>
      </c>
      <c r="M88" s="15">
        <f>M87+(Mainsheet!$D$22-Mainsheet!$D$20)/100</f>
        <v>285.07866521208007</v>
      </c>
      <c r="N88" s="16">
        <f>N87+Mainsheet!$I$6*LN(Data!M88/M87)</f>
        <v>1.3537829125497989</v>
      </c>
      <c r="O88" s="15">
        <f t="shared" si="14"/>
        <v>207.08551011888088</v>
      </c>
      <c r="P88" s="16">
        <f t="shared" si="17"/>
        <v>1.3978664816414081</v>
      </c>
      <c r="Q88" s="15">
        <f>Q87-(Mainsheet!$D$24-Mainsheet!$D$26)/100</f>
        <v>110.37541577229203</v>
      </c>
      <c r="R88" s="15">
        <f>R87+Mainsheet!$I$6*LN(Data!Q88/Data!Q87)</f>
        <v>1.0708296195818425</v>
      </c>
      <c r="S88" s="15"/>
      <c r="T88" s="15"/>
    </row>
    <row r="89" spans="1:20" x14ac:dyDescent="0.3">
      <c r="A89" s="15">
        <f>A88+(Mainsheet!$C$20-Mainsheet!$C$18)/100</f>
        <v>6189.0319205410342</v>
      </c>
      <c r="B89" s="18">
        <f t="shared" si="11"/>
        <v>7.8061536416634842E-3</v>
      </c>
      <c r="C89" s="16">
        <f>C88+(Mainsheet!$C$22-Mainsheet!$C$20)/100</f>
        <v>11454.759888740282</v>
      </c>
      <c r="D89" s="16">
        <f>Mainsheet!$E$20</f>
        <v>7.175E-3</v>
      </c>
      <c r="E89" s="15">
        <f>E88-(Mainsheet!$C$22-Mainsheet!$C$24)/100</f>
        <v>3091.1032093060403</v>
      </c>
      <c r="F89" s="15">
        <f t="shared" si="12"/>
        <v>1.9046621935280967E-2</v>
      </c>
      <c r="G89" s="15">
        <f>G88-(Mainsheet!$C$24-Mainsheet!$C$26)/100</f>
        <v>1096.3431464569881</v>
      </c>
      <c r="H89" s="16">
        <f t="shared" si="15"/>
        <v>2.87E-2</v>
      </c>
      <c r="I89" s="15"/>
      <c r="J89" s="15"/>
      <c r="K89" s="15">
        <f t="shared" si="13"/>
        <v>168.33635562683952</v>
      </c>
      <c r="L89" s="16">
        <f t="shared" si="16"/>
        <v>1</v>
      </c>
      <c r="M89" s="15">
        <f>M88+(Mainsheet!$D$22-Mainsheet!$D$20)/100</f>
        <v>286.36899721850864</v>
      </c>
      <c r="N89" s="16">
        <f>N88+Mainsheet!$I$6*LN(Data!M89/M88)</f>
        <v>1.3570231560539077</v>
      </c>
      <c r="O89" s="15">
        <f t="shared" si="14"/>
        <v>205.13963132608302</v>
      </c>
      <c r="P89" s="16">
        <f t="shared" si="17"/>
        <v>1.3978664816414081</v>
      </c>
      <c r="Q89" s="15">
        <f>Q88-(Mainsheet!$D$24-Mainsheet!$D$26)/100</f>
        <v>109.63431464569979</v>
      </c>
      <c r="R89" s="15">
        <f>R88+Mainsheet!$I$6*LN(Data!Q89/Data!Q88)</f>
        <v>1.0659958145632578</v>
      </c>
      <c r="S89" s="15"/>
      <c r="T89" s="15"/>
    </row>
    <row r="90" spans="1:20" x14ac:dyDescent="0.3">
      <c r="A90" s="15">
        <f>A89+(Mainsheet!$C$20-Mainsheet!$C$18)/100</f>
        <v>6248.6759656047243</v>
      </c>
      <c r="B90" s="18">
        <f t="shared" si="11"/>
        <v>7.7528591444300798E-3</v>
      </c>
      <c r="C90" s="16">
        <f>C89+(Mainsheet!$C$22-Mainsheet!$C$20)/100</f>
        <v>11506.373168997423</v>
      </c>
      <c r="D90" s="16">
        <f>Mainsheet!$E$20</f>
        <v>7.175E-3</v>
      </c>
      <c r="E90" s="15">
        <f>E89-(Mainsheet!$C$22-Mainsheet!$C$24)/100</f>
        <v>2987.256895251131</v>
      </c>
      <c r="F90" s="15">
        <f t="shared" si="12"/>
        <v>1.9517250145959415E-2</v>
      </c>
      <c r="G90" s="15">
        <f>G89-(Mainsheet!$C$24-Mainsheet!$C$26)/100</f>
        <v>1088.9321351910655</v>
      </c>
      <c r="H90" s="16">
        <f t="shared" si="15"/>
        <v>2.87E-2</v>
      </c>
      <c r="I90" s="15"/>
      <c r="J90" s="15"/>
      <c r="K90" s="15">
        <f t="shared" si="13"/>
        <v>168.79827386940434</v>
      </c>
      <c r="L90" s="16">
        <f t="shared" si="16"/>
        <v>1</v>
      </c>
      <c r="M90" s="15">
        <f>M89+(Mainsheet!$D$22-Mainsheet!$D$20)/100</f>
        <v>287.65932922493721</v>
      </c>
      <c r="N90" s="16">
        <f>N89+Mainsheet!$I$6*LN(Data!M90/M89)</f>
        <v>1.3602488323186479</v>
      </c>
      <c r="O90" s="15">
        <f t="shared" si="14"/>
        <v>203.14648109706761</v>
      </c>
      <c r="P90" s="16">
        <f t="shared" si="17"/>
        <v>1.3978664816414081</v>
      </c>
      <c r="Q90" s="15">
        <f>Q89-(Mainsheet!$D$24-Mainsheet!$D$26)/100</f>
        <v>108.89321351910755</v>
      </c>
      <c r="R90" s="15">
        <f>R89+Mainsheet!$I$6*LN(Data!Q90/Data!Q89)</f>
        <v>1.0611292231424263</v>
      </c>
      <c r="S90" s="15"/>
      <c r="T90" s="15"/>
    </row>
    <row r="91" spans="1:20" x14ac:dyDescent="0.3">
      <c r="A91" s="15">
        <f>A90+(Mainsheet!$C$20-Mainsheet!$C$18)/100</f>
        <v>6308.3200106684144</v>
      </c>
      <c r="B91" s="18">
        <f t="shared" si="11"/>
        <v>7.700429632002263E-3</v>
      </c>
      <c r="C91" s="16">
        <f>C90+(Mainsheet!$C$22-Mainsheet!$C$20)/100</f>
        <v>11557.986449254564</v>
      </c>
      <c r="D91" s="16">
        <f>Mainsheet!$E$20</f>
        <v>7.175E-3</v>
      </c>
      <c r="E91" s="15">
        <f>E90-(Mainsheet!$C$22-Mainsheet!$C$24)/100</f>
        <v>2883.4105811962218</v>
      </c>
      <c r="F91" s="15">
        <f t="shared" si="12"/>
        <v>2.0016788617659105E-2</v>
      </c>
      <c r="G91" s="15">
        <f>G90-(Mainsheet!$C$24-Mainsheet!$C$26)/100</f>
        <v>1081.521123925143</v>
      </c>
      <c r="H91" s="16">
        <f t="shared" si="15"/>
        <v>2.87E-2</v>
      </c>
      <c r="I91" s="15"/>
      <c r="J91" s="15"/>
      <c r="K91" s="15">
        <f t="shared" si="13"/>
        <v>169.25705344356757</v>
      </c>
      <c r="L91" s="16">
        <f t="shared" si="16"/>
        <v>1</v>
      </c>
      <c r="M91" s="15">
        <f>M90+(Mainsheet!$D$22-Mainsheet!$D$20)/100</f>
        <v>288.94966123136578</v>
      </c>
      <c r="N91" s="16">
        <f>N90+Mainsheet!$I$6*LN(Data!M91/M90)</f>
        <v>1.3634600717385856</v>
      </c>
      <c r="O91" s="15">
        <f t="shared" si="14"/>
        <v>201.10320592936014</v>
      </c>
      <c r="P91" s="16">
        <f t="shared" si="17"/>
        <v>1.3978664816414081</v>
      </c>
      <c r="Q91" s="15">
        <f>Q90-(Mainsheet!$D$24-Mainsheet!$D$26)/100</f>
        <v>108.15211239251531</v>
      </c>
      <c r="R91" s="15">
        <f>R90+Mainsheet!$I$6*LN(Data!Q91/Data!Q90)</f>
        <v>1.0562293975175647</v>
      </c>
      <c r="S91" s="15"/>
      <c r="T91" s="15"/>
    </row>
    <row r="92" spans="1:20" x14ac:dyDescent="0.3">
      <c r="A92" s="15">
        <f>A91+(Mainsheet!$C$20-Mainsheet!$C$18)/100</f>
        <v>6367.9640557321045</v>
      </c>
      <c r="B92" s="18">
        <f t="shared" si="11"/>
        <v>7.6488430844751003E-3</v>
      </c>
      <c r="C92" s="16">
        <f>C91+(Mainsheet!$C$22-Mainsheet!$C$20)/100</f>
        <v>11609.599729511705</v>
      </c>
      <c r="D92" s="16">
        <f>Mainsheet!$E$20</f>
        <v>7.175E-3</v>
      </c>
      <c r="E92" s="15">
        <f>E91-(Mainsheet!$C$22-Mainsheet!$C$24)/100</f>
        <v>2779.5642671413125</v>
      </c>
      <c r="F92" s="15">
        <f t="shared" si="12"/>
        <v>2.0548153841886057E-2</v>
      </c>
      <c r="G92" s="15">
        <f>G91-(Mainsheet!$C$24-Mainsheet!$C$26)/100</f>
        <v>1074.1101126592205</v>
      </c>
      <c r="H92" s="16">
        <f t="shared" si="15"/>
        <v>2.87E-2</v>
      </c>
      <c r="I92" s="15"/>
      <c r="J92" s="15"/>
      <c r="K92" s="15">
        <f t="shared" si="13"/>
        <v>169.71274505182063</v>
      </c>
      <c r="L92" s="16">
        <f t="shared" si="16"/>
        <v>1</v>
      </c>
      <c r="M92" s="15">
        <f>M91+(Mainsheet!$D$22-Mainsheet!$D$20)/100</f>
        <v>290.23999323779435</v>
      </c>
      <c r="N92" s="16">
        <f>N91+Mainsheet!$I$6*LN(Data!M92/M91)</f>
        <v>1.3666570029652991</v>
      </c>
      <c r="O92" s="15">
        <f t="shared" si="14"/>
        <v>199.00666959801035</v>
      </c>
      <c r="P92" s="16">
        <f t="shared" si="17"/>
        <v>1.3978664816414081</v>
      </c>
      <c r="Q92" s="15">
        <f>Q91-(Mainsheet!$D$24-Mainsheet!$D$26)/100</f>
        <v>107.41101126592307</v>
      </c>
      <c r="R92" s="15">
        <f>R91+Mainsheet!$I$6*LN(Data!Q92/Data!Q91)</f>
        <v>1.0512958806495512</v>
      </c>
      <c r="S92" s="15"/>
      <c r="T92" s="15"/>
    </row>
    <row r="93" spans="1:20" x14ac:dyDescent="0.3">
      <c r="A93" s="15">
        <f>A92+(Mainsheet!$C$20-Mainsheet!$C$18)/100</f>
        <v>6427.6081007957946</v>
      </c>
      <c r="B93" s="18">
        <f t="shared" si="11"/>
        <v>7.5980782419003082E-3</v>
      </c>
      <c r="C93" s="16">
        <f>C92+(Mainsheet!$C$22-Mainsheet!$C$20)/100</f>
        <v>11661.213009768846</v>
      </c>
      <c r="D93" s="16">
        <f>Mainsheet!$E$20</f>
        <v>7.175E-3</v>
      </c>
      <c r="E93" s="15">
        <f>E92-(Mainsheet!$C$22-Mainsheet!$C$24)/100</f>
        <v>2675.7179530864032</v>
      </c>
      <c r="F93" s="15">
        <f t="shared" si="12"/>
        <v>2.1114680480667947E-2</v>
      </c>
      <c r="G93" s="15">
        <f>G92-(Mainsheet!$C$24-Mainsheet!$C$26)/100</f>
        <v>1066.699101393298</v>
      </c>
      <c r="H93" s="16">
        <f t="shared" si="15"/>
        <v>2.87E-2</v>
      </c>
      <c r="I93" s="15"/>
      <c r="J93" s="15"/>
      <c r="K93" s="15">
        <f t="shared" si="13"/>
        <v>170.16539811191183</v>
      </c>
      <c r="L93" s="16">
        <f t="shared" si="16"/>
        <v>1</v>
      </c>
      <c r="M93" s="15">
        <f>M92+(Mainsheet!$D$22-Mainsheet!$D$20)/100</f>
        <v>291.53032524422292</v>
      </c>
      <c r="N93" s="16">
        <f>N92+Mainsheet!$I$6*LN(Data!M93/M92)</f>
        <v>1.3698397529383062</v>
      </c>
      <c r="O93" s="15">
        <f t="shared" si="14"/>
        <v>196.85341336517868</v>
      </c>
      <c r="P93" s="16">
        <f t="shared" si="17"/>
        <v>1.3978664816414081</v>
      </c>
      <c r="Q93" s="15">
        <f>Q92-(Mainsheet!$D$24-Mainsheet!$D$26)/100</f>
        <v>106.66991013933082</v>
      </c>
      <c r="R93" s="15">
        <f>R92+Mainsheet!$I$6*LN(Data!Q93/Data!Q92)</f>
        <v>1.046328206006099</v>
      </c>
      <c r="S93" s="15"/>
      <c r="T93" s="15"/>
    </row>
    <row r="94" spans="1:20" x14ac:dyDescent="0.3">
      <c r="A94" s="15">
        <f>A93+(Mainsheet!$C$20-Mainsheet!$C$18)/100</f>
        <v>6487.2521458594847</v>
      </c>
      <c r="B94" s="18">
        <f t="shared" si="11"/>
        <v>7.5481145713035087E-3</v>
      </c>
      <c r="C94" s="16">
        <f>C93+(Mainsheet!$C$22-Mainsheet!$C$20)/100</f>
        <v>11712.826290025987</v>
      </c>
      <c r="D94" s="16">
        <f>Mainsheet!$E$20</f>
        <v>7.175E-3</v>
      </c>
      <c r="E94" s="15">
        <f>E93-(Mainsheet!$C$22-Mainsheet!$C$24)/100</f>
        <v>2571.8716390314939</v>
      </c>
      <c r="F94" s="15">
        <f t="shared" si="12"/>
        <v>2.1720200525577452E-2</v>
      </c>
      <c r="G94" s="15">
        <f>G93-(Mainsheet!$C$24-Mainsheet!$C$26)/100</f>
        <v>1059.2880901273754</v>
      </c>
      <c r="H94" s="16">
        <f t="shared" si="15"/>
        <v>2.87E-2</v>
      </c>
      <c r="I94" s="15"/>
      <c r="J94" s="15"/>
      <c r="K94" s="15">
        <f t="shared" si="13"/>
        <v>170.61506080098235</v>
      </c>
      <c r="L94" s="16">
        <f t="shared" si="16"/>
        <v>1</v>
      </c>
      <c r="M94" s="15">
        <f>M93+(Mainsheet!$D$22-Mainsheet!$D$20)/100</f>
        <v>292.82065725065149</v>
      </c>
      <c r="N94" s="16">
        <f>N93+Mainsheet!$I$6*LN(Data!M94/M93)</f>
        <v>1.3730084469153074</v>
      </c>
      <c r="O94" s="15">
        <f t="shared" si="14"/>
        <v>194.63960880073031</v>
      </c>
      <c r="P94" s="16">
        <f t="shared" si="17"/>
        <v>1.3978664816414081</v>
      </c>
      <c r="Q94" s="15">
        <f>Q93-(Mainsheet!$D$24-Mainsheet!$D$26)/100</f>
        <v>105.92880901273858</v>
      </c>
      <c r="R94" s="15">
        <f>R93+Mainsheet!$I$6*LN(Data!Q94/Data!Q93)</f>
        <v>1.0413258972970134</v>
      </c>
      <c r="S94" s="15"/>
      <c r="T94" s="15"/>
    </row>
    <row r="95" spans="1:20" x14ac:dyDescent="0.3">
      <c r="A95" s="15">
        <f>A94+(Mainsheet!$C$20-Mainsheet!$C$18)/100</f>
        <v>6546.8961909231748</v>
      </c>
      <c r="B95" s="18">
        <f t="shared" si="11"/>
        <v>7.4989322354207634E-3</v>
      </c>
      <c r="C95" s="16">
        <f>C94+(Mainsheet!$C$22-Mainsheet!$C$20)/100</f>
        <v>11764.439570283128</v>
      </c>
      <c r="D95" s="16">
        <f>Mainsheet!$E$20</f>
        <v>7.175E-3</v>
      </c>
      <c r="E95" s="15">
        <f>E94-(Mainsheet!$C$22-Mainsheet!$C$24)/100</f>
        <v>2468.0253249765847</v>
      </c>
      <c r="F95" s="15">
        <f t="shared" si="12"/>
        <v>2.2369141380630272E-2</v>
      </c>
      <c r="G95" s="15">
        <f>G94-(Mainsheet!$C$24-Mainsheet!$C$26)/100</f>
        <v>1051.8770788614529</v>
      </c>
      <c r="H95" s="16">
        <f t="shared" si="15"/>
        <v>2.87E-2</v>
      </c>
      <c r="I95" s="15"/>
      <c r="J95" s="15"/>
      <c r="K95" s="15">
        <f t="shared" si="13"/>
        <v>171.06178009779515</v>
      </c>
      <c r="L95" s="16">
        <f t="shared" si="16"/>
        <v>1</v>
      </c>
      <c r="M95" s="15">
        <f>M94+(Mainsheet!$D$22-Mainsheet!$D$20)/100</f>
        <v>294.11098925708006</v>
      </c>
      <c r="N95" s="16">
        <f>N94+Mainsheet!$I$6*LN(Data!M95/M94)</f>
        <v>1.376163208501767</v>
      </c>
      <c r="O95" s="15">
        <f t="shared" si="14"/>
        <v>192.36100148215053</v>
      </c>
      <c r="P95" s="16">
        <f t="shared" si="17"/>
        <v>1.3978664816414081</v>
      </c>
      <c r="Q95" s="15">
        <f>Q94-(Mainsheet!$D$24-Mainsheet!$D$26)/100</f>
        <v>105.18770788614634</v>
      </c>
      <c r="R95" s="15">
        <f>R94+Mainsheet!$I$6*LN(Data!Q95/Data!Q94)</f>
        <v>1.0362884682001523</v>
      </c>
      <c r="S95" s="15"/>
      <c r="T95" s="15"/>
    </row>
    <row r="96" spans="1:20" x14ac:dyDescent="0.3">
      <c r="A96" s="15">
        <f>A95+(Mainsheet!$C$20-Mainsheet!$C$18)/100</f>
        <v>6606.5402359868649</v>
      </c>
      <c r="B96" s="18">
        <f t="shared" si="11"/>
        <v>7.4505120630500741E-3</v>
      </c>
      <c r="C96" s="16">
        <f>C95+(Mainsheet!$C$22-Mainsheet!$C$20)/100</f>
        <v>11816.052850540269</v>
      </c>
      <c r="D96" s="16">
        <f>Mainsheet!$E$20</f>
        <v>7.175E-3</v>
      </c>
      <c r="E96" s="15">
        <f>E95-(Mainsheet!$C$22-Mainsheet!$C$24)/100</f>
        <v>2364.1790109216754</v>
      </c>
      <c r="F96" s="15">
        <f t="shared" si="12"/>
        <v>2.3066648417067879E-2</v>
      </c>
      <c r="G96" s="15">
        <f>G95-(Mainsheet!$C$24-Mainsheet!$C$26)/100</f>
        <v>1044.4660675955304</v>
      </c>
      <c r="H96" s="16">
        <f t="shared" si="15"/>
        <v>2.87E-2</v>
      </c>
      <c r="I96" s="15"/>
      <c r="J96" s="15"/>
      <c r="K96" s="15">
        <f t="shared" si="13"/>
        <v>171.50560182315618</v>
      </c>
      <c r="L96" s="16">
        <f t="shared" si="16"/>
        <v>1</v>
      </c>
      <c r="M96" s="15">
        <f>M95+(Mainsheet!$D$22-Mainsheet!$D$20)/100</f>
        <v>295.40132126350863</v>
      </c>
      <c r="N96" s="16">
        <f>N95+Mainsheet!$I$6*LN(Data!M96/M95)</f>
        <v>1.3793041596798425</v>
      </c>
      <c r="O96" s="15">
        <f t="shared" si="14"/>
        <v>190.01284334474414</v>
      </c>
      <c r="P96" s="16">
        <f t="shared" si="17"/>
        <v>1.3978664816414081</v>
      </c>
      <c r="Q96" s="15">
        <f>Q95-(Mainsheet!$D$24-Mainsheet!$D$26)/100</f>
        <v>104.4466067595541</v>
      </c>
      <c r="R96" s="15">
        <f>R95+Mainsheet!$I$6*LN(Data!Q96/Data!Q95)</f>
        <v>1.0312154220777017</v>
      </c>
      <c r="S96" s="15"/>
      <c r="T96" s="15"/>
    </row>
    <row r="97" spans="1:20" x14ac:dyDescent="0.3">
      <c r="A97" s="15">
        <f>A96+(Mainsheet!$C$20-Mainsheet!$C$18)/100</f>
        <v>6666.184281050555</v>
      </c>
      <c r="B97" s="18">
        <f t="shared" si="11"/>
        <v>7.4028355209206772E-3</v>
      </c>
      <c r="C97" s="16">
        <f>C96+(Mainsheet!$C$22-Mainsheet!$C$20)/100</f>
        <v>11867.66613079741</v>
      </c>
      <c r="D97" s="16">
        <f>Mainsheet!$E$20</f>
        <v>7.175E-3</v>
      </c>
      <c r="E97" s="15">
        <f>E96-(Mainsheet!$C$22-Mainsheet!$C$24)/100</f>
        <v>2260.3326968667661</v>
      </c>
      <c r="F97" s="15">
        <f t="shared" si="12"/>
        <v>2.3818739502245567E-2</v>
      </c>
      <c r="G97" s="15">
        <f>G96-(Mainsheet!$C$24-Mainsheet!$C$26)/100</f>
        <v>1037.0550563296079</v>
      </c>
      <c r="H97" s="16">
        <f t="shared" si="15"/>
        <v>2.87E-2</v>
      </c>
      <c r="I97" s="15"/>
      <c r="J97" s="15"/>
      <c r="K97" s="15">
        <f t="shared" si="13"/>
        <v>171.94657067862062</v>
      </c>
      <c r="L97" s="16">
        <f t="shared" si="16"/>
        <v>1</v>
      </c>
      <c r="M97" s="15">
        <f>M96+(Mainsheet!$D$22-Mainsheet!$D$20)/100</f>
        <v>296.69165326993721</v>
      </c>
      <c r="N97" s="16">
        <f>N96+Mainsheet!$I$6*LN(Data!M97/M96)</f>
        <v>1.3824314208366879</v>
      </c>
      <c r="O97" s="15">
        <f t="shared" si="14"/>
        <v>187.58981078424287</v>
      </c>
      <c r="P97" s="16">
        <f t="shared" si="17"/>
        <v>1.3978664816414081</v>
      </c>
      <c r="Q97" s="15">
        <f>Q96-(Mainsheet!$D$24-Mainsheet!$D$26)/100</f>
        <v>103.70550563296186</v>
      </c>
      <c r="R97" s="15">
        <f>R96+Mainsheet!$I$6*LN(Data!Q97/Data!Q96)</f>
        <v>1.026106251682346</v>
      </c>
      <c r="S97" s="15"/>
      <c r="T97" s="15"/>
    </row>
    <row r="98" spans="1:20" x14ac:dyDescent="0.3">
      <c r="A98" s="15">
        <f>A97+(Mainsheet!$C$20-Mainsheet!$C$18)/100</f>
        <v>6725.8283261142451</v>
      </c>
      <c r="B98" s="18">
        <f t="shared" si="11"/>
        <v>7.3558846869896492E-3</v>
      </c>
      <c r="C98" s="16">
        <f>C97+(Mainsheet!$C$22-Mainsheet!$C$20)/100</f>
        <v>11919.279411054551</v>
      </c>
      <c r="D98" s="16">
        <f>Mainsheet!$E$20</f>
        <v>7.175E-3</v>
      </c>
      <c r="E98" s="15">
        <f>E97-(Mainsheet!$C$22-Mainsheet!$C$24)/100</f>
        <v>2156.4863828118569</v>
      </c>
      <c r="F98" s="15">
        <f t="shared" si="12"/>
        <v>2.4632501773878268E-2</v>
      </c>
      <c r="G98" s="15">
        <f>G97-(Mainsheet!$C$24-Mainsheet!$C$26)/100</f>
        <v>1029.6440450636853</v>
      </c>
      <c r="H98" s="16">
        <f t="shared" si="15"/>
        <v>2.87E-2</v>
      </c>
      <c r="I98" s="15"/>
      <c r="J98" s="15"/>
      <c r="K98" s="15">
        <f t="shared" si="13"/>
        <v>172.38473028357143</v>
      </c>
      <c r="L98" s="16">
        <f t="shared" si="16"/>
        <v>1</v>
      </c>
      <c r="M98" s="15">
        <f>M97+(Mainsheet!$D$22-Mainsheet!$D$20)/100</f>
        <v>297.98198527636578</v>
      </c>
      <c r="N98" s="16">
        <f>N97+Mainsheet!$I$6*LN(Data!M98/M97)</f>
        <v>1.3855451107921393</v>
      </c>
      <c r="O98" s="15">
        <f t="shared" si="14"/>
        <v>185.08590470368432</v>
      </c>
      <c r="P98" s="16">
        <f t="shared" si="17"/>
        <v>1.3978664816414081</v>
      </c>
      <c r="Q98" s="15">
        <f>Q97-(Mainsheet!$D$24-Mainsheet!$D$26)/100</f>
        <v>102.96440450636962</v>
      </c>
      <c r="R98" s="15">
        <f>R97+Mainsheet!$I$6*LN(Data!Q98/Data!Q97)</f>
        <v>1.0209604388529048</v>
      </c>
      <c r="S98" s="15"/>
      <c r="T98" s="15"/>
    </row>
    <row r="99" spans="1:20" x14ac:dyDescent="0.3">
      <c r="A99" s="15">
        <f>A98+(Mainsheet!$C$20-Mainsheet!$C$18)/100</f>
        <v>6785.4723711779352</v>
      </c>
      <c r="B99" s="18">
        <f t="shared" ref="B99:B102" si="18">0.287*K99/A99</f>
        <v>7.3096422250814976E-3</v>
      </c>
      <c r="C99" s="16">
        <f>C98+(Mainsheet!$C$22-Mainsheet!$C$20)/100</f>
        <v>11970.892691311692</v>
      </c>
      <c r="D99" s="16">
        <f>Mainsheet!$E$20</f>
        <v>7.175E-3</v>
      </c>
      <c r="E99" s="15">
        <f>E98-(Mainsheet!$C$22-Mainsheet!$C$24)/100</f>
        <v>2052.6400687569476</v>
      </c>
      <c r="F99" s="15">
        <f t="shared" ref="F99:F102" si="19">0.287*O99/E99</f>
        <v>2.5516344912536258E-2</v>
      </c>
      <c r="G99" s="15">
        <f>G98-(Mainsheet!$C$24-Mainsheet!$C$26)/100</f>
        <v>1022.2330337977628</v>
      </c>
      <c r="H99" s="16">
        <f t="shared" si="15"/>
        <v>2.87E-2</v>
      </c>
      <c r="I99" s="15"/>
      <c r="J99" s="15"/>
      <c r="K99" s="15">
        <f t="shared" si="13"/>
        <v>172.82012321075302</v>
      </c>
      <c r="L99" s="16">
        <f t="shared" si="16"/>
        <v>1</v>
      </c>
      <c r="M99" s="15">
        <f>M98+(Mainsheet!$D$22-Mainsheet!$D$20)/100</f>
        <v>299.27231728279435</v>
      </c>
      <c r="N99" s="16">
        <f>N98+Mainsheet!$I$6*LN(Data!M99/M98)</f>
        <v>1.3886453468258044</v>
      </c>
      <c r="O99" s="15">
        <f t="shared" si="14"/>
        <v>182.49432744144397</v>
      </c>
      <c r="P99" s="16">
        <f t="shared" si="17"/>
        <v>1.3978664816414081</v>
      </c>
      <c r="Q99" s="15">
        <f>Q98-(Mainsheet!$D$24-Mainsheet!$D$26)/100</f>
        <v>102.22330337977738</v>
      </c>
      <c r="R99" s="15">
        <f>R98+Mainsheet!$I$6*LN(Data!Q99/Data!Q98)</f>
        <v>1.0157774541989735</v>
      </c>
      <c r="S99" s="15"/>
      <c r="T99" s="15"/>
    </row>
    <row r="100" spans="1:20" x14ac:dyDescent="0.3">
      <c r="A100" s="15">
        <f>A99+(Mainsheet!$C$20-Mainsheet!$C$18)/100</f>
        <v>6845.1164162416253</v>
      </c>
      <c r="B100" s="18">
        <f t="shared" si="18"/>
        <v>7.2640913607920441E-3</v>
      </c>
      <c r="C100" s="16">
        <f>C99+(Mainsheet!$C$22-Mainsheet!$C$20)/100</f>
        <v>12022.505971568833</v>
      </c>
      <c r="D100" s="16">
        <f>Mainsheet!$E$20</f>
        <v>7.175E-3</v>
      </c>
      <c r="E100" s="15">
        <f>E99-(Mainsheet!$C$22-Mainsheet!$C$24)/100</f>
        <v>1948.7937547020383</v>
      </c>
      <c r="F100" s="15">
        <f t="shared" si="19"/>
        <v>2.6480330982854329E-2</v>
      </c>
      <c r="G100" s="15">
        <f>G99-(Mainsheet!$C$24-Mainsheet!$C$26)/100</f>
        <v>1014.8220225318403</v>
      </c>
      <c r="H100" s="16">
        <f t="shared" si="15"/>
        <v>2.87E-2</v>
      </c>
      <c r="I100" s="15"/>
      <c r="J100" s="15"/>
      <c r="K100" s="15">
        <f t="shared" si="13"/>
        <v>173.25279102033656</v>
      </c>
      <c r="L100" s="16">
        <f t="shared" si="16"/>
        <v>1</v>
      </c>
      <c r="M100" s="15">
        <f>M99+(Mainsheet!$D$22-Mainsheet!$D$20)/100</f>
        <v>300.56264928922292</v>
      </c>
      <c r="N100" s="16">
        <f>N99+Mainsheet!$I$6*LN(Data!M100/M99)</f>
        <v>1.3917322447035694</v>
      </c>
      <c r="O100" s="15">
        <f t="shared" si="14"/>
        <v>179.8073297624718</v>
      </c>
      <c r="P100" s="16">
        <f t="shared" si="17"/>
        <v>1.3978664816414081</v>
      </c>
      <c r="Q100" s="15">
        <f>Q99-(Mainsheet!$D$24-Mainsheet!$D$26)/100</f>
        <v>101.48220225318514</v>
      </c>
      <c r="R100" s="15">
        <f>R99+Mainsheet!$I$6*LN(Data!Q100/Data!Q99)</f>
        <v>1.0105567567740927</v>
      </c>
      <c r="S100" s="15"/>
      <c r="T100" s="15"/>
    </row>
    <row r="101" spans="1:20" x14ac:dyDescent="0.3">
      <c r="A101" s="15">
        <f>A100+(Mainsheet!$C$20-Mainsheet!$C$18)/100</f>
        <v>6904.7604613053154</v>
      </c>
      <c r="B101" s="18">
        <f t="shared" si="18"/>
        <v>7.2192158585831874E-3</v>
      </c>
      <c r="C101" s="16">
        <f>C100+(Mainsheet!$C$22-Mainsheet!$C$20)/100</f>
        <v>12074.119251825974</v>
      </c>
      <c r="D101" s="16">
        <f>Mainsheet!$E$20</f>
        <v>7.175E-3</v>
      </c>
      <c r="E101" s="15">
        <f>E100-(Mainsheet!$C$22-Mainsheet!$C$24)/100</f>
        <v>1844.947440647129</v>
      </c>
      <c r="F101" s="15">
        <f t="shared" si="19"/>
        <v>2.753660956390775E-2</v>
      </c>
      <c r="G101" s="15">
        <f>G100-(Mainsheet!$C$24-Mainsheet!$C$26)/100</f>
        <v>1007.4110112659178</v>
      </c>
      <c r="H101" s="16">
        <f t="shared" si="15"/>
        <v>2.87E-2</v>
      </c>
      <c r="I101" s="15"/>
      <c r="J101" s="15"/>
      <c r="K101" s="15">
        <f t="shared" si="13"/>
        <v>173.68277429259061</v>
      </c>
      <c r="L101" s="16">
        <f t="shared" si="16"/>
        <v>1</v>
      </c>
      <c r="M101" s="15">
        <f>M100+(Mainsheet!$D$22-Mainsheet!$D$20)/100</f>
        <v>301.85298129565149</v>
      </c>
      <c r="N101" s="16">
        <f>N100+Mainsheet!$I$6*LN(Data!M101/M100)</f>
        <v>1.3948059187035364</v>
      </c>
      <c r="O101" s="15">
        <f t="shared" si="14"/>
        <v>177.016018602895</v>
      </c>
      <c r="P101" s="16">
        <f t="shared" si="17"/>
        <v>1.3978664816414081</v>
      </c>
      <c r="Q101" s="15">
        <f>Q100-(Mainsheet!$D$24-Mainsheet!$D$26)/100</f>
        <v>100.74110112659289</v>
      </c>
      <c r="R101" s="15">
        <f>R100+Mainsheet!$I$6*LN(Data!Q101/Data!Q100)</f>
        <v>1.0052977937369385</v>
      </c>
      <c r="S101" s="15"/>
      <c r="T101" s="15"/>
    </row>
    <row r="102" spans="1:20" x14ac:dyDescent="0.3">
      <c r="A102" s="15">
        <f>A101+(Mainsheet!$C$20-Mainsheet!$C$18)/100</f>
        <v>6964.4045063690055</v>
      </c>
      <c r="B102" s="18">
        <f t="shared" si="18"/>
        <v>7.1749999999999965E-3</v>
      </c>
      <c r="C102" s="16">
        <f>C101+(Mainsheet!$C$22-Mainsheet!$C$20)/100</f>
        <v>12125.732532083115</v>
      </c>
      <c r="D102" s="16">
        <f>Mainsheet!$E$20</f>
        <v>7.175E-3</v>
      </c>
      <c r="E102" s="15">
        <f>E101-(Mainsheet!$C$22-Mainsheet!$C$24)/100</f>
        <v>1741.1011265922198</v>
      </c>
      <c r="F102" s="15">
        <f t="shared" si="19"/>
        <v>2.8700000000000309E-2</v>
      </c>
      <c r="G102" s="15">
        <f>G101-(Mainsheet!$C$24-Mainsheet!$C$26)/100</f>
        <v>999.99999999999523</v>
      </c>
      <c r="H102" s="16">
        <f t="shared" si="15"/>
        <v>2.87E-2</v>
      </c>
      <c r="I102" s="15"/>
      <c r="J102" s="15"/>
      <c r="K102" s="15">
        <f t="shared" si="13"/>
        <v>174.11011265922508</v>
      </c>
      <c r="L102" s="16">
        <f t="shared" si="16"/>
        <v>1</v>
      </c>
      <c r="M102" s="15">
        <f>M101+(Mainsheet!$D$22-Mainsheet!$D$20)/100</f>
        <v>303.14331330208006</v>
      </c>
      <c r="N102" s="16">
        <f>N101+Mainsheet!$I$6*LN(Data!M102/M101)</f>
        <v>1.3978664816414097</v>
      </c>
      <c r="O102" s="15">
        <f t="shared" si="14"/>
        <v>174.11011265922386</v>
      </c>
      <c r="P102" s="16">
        <f t="shared" si="17"/>
        <v>1.3978664816414081</v>
      </c>
      <c r="Q102" s="15">
        <f>Q101-(Mainsheet!$D$24-Mainsheet!$D$26)/100</f>
        <v>100.00000000000065</v>
      </c>
      <c r="R102" s="15">
        <f>R101+Mainsheet!$I$6*LN(Data!Q102/Data!Q101)</f>
        <v>1.0000000000000044</v>
      </c>
      <c r="S102" s="15"/>
      <c r="T102" s="15"/>
    </row>
    <row r="103" spans="1:20" x14ac:dyDescent="0.3">
      <c r="A103" s="15"/>
      <c r="B103" s="19"/>
      <c r="C103" s="16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</row>
    <row r="104" spans="1:20" x14ac:dyDescent="0.3">
      <c r="A104" s="15"/>
      <c r="B104" s="19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</row>
    <row r="105" spans="1:20" x14ac:dyDescent="0.3">
      <c r="A105" s="15"/>
      <c r="B105" s="19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Mainsheet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Alpish</dc:creator>
  <cp:lastModifiedBy>Alpish</cp:lastModifiedBy>
  <dcterms:created xsi:type="dcterms:W3CDTF">2019-07-22T06:38:14Z</dcterms:created>
  <dcterms:modified xsi:type="dcterms:W3CDTF">2020-01-16T15:20:16Z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85a298a7-6f0f-42a2-a9f3-cf6084102202</vt:lpwstr>
  </property>
</Properties>
</file>