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ish\Documents\excel applications\tools\"/>
    </mc:Choice>
  </mc:AlternateContent>
  <xr:revisionPtr revIDLastSave="0" documentId="13_ncr:1_{D80F3285-3BEA-46BA-995F-6CFD21CB001A}" xr6:coauthVersionLast="45" xr6:coauthVersionMax="45" xr10:uidLastSave="{00000000-0000-0000-0000-000000000000}"/>
  <workbookProtection workbookAlgorithmName="SHA-512" workbookHashValue="Kot6hbDdGGqHZngD5wngH5UTpBE4jCYWqAEyepveHBYvZb/5RDWnsHsogCHYFrnfaiHkZpJHVgX1BswdjaFQSw==" workbookSaltValue="aPkGVnhRAPmb+G90Rl1+og==" workbookSpinCount="100000" lockStructure="1"/>
  <bookViews>
    <workbookView xWindow="-108" yWindow="-108" windowWidth="23256" windowHeight="12576" xr2:uid="{955D344F-8562-4FCF-8141-68FC6836A6E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0" i="1" l="1"/>
  <c r="Q23" i="1" l="1"/>
  <c r="S9" i="1"/>
  <c r="R14" i="1" l="1"/>
  <c r="R15" i="1" s="1"/>
  <c r="L20" i="1" l="1"/>
  <c r="Q19" i="1"/>
  <c r="S21" i="1" s="1"/>
  <c r="S25" i="1" s="1"/>
  <c r="L23" i="1" s="1"/>
  <c r="U26" i="1" l="1"/>
  <c r="S28" i="1" s="1"/>
  <c r="L22" i="1"/>
</calcChain>
</file>

<file path=xl/sharedStrings.xml><?xml version="1.0" encoding="utf-8"?>
<sst xmlns="http://schemas.openxmlformats.org/spreadsheetml/2006/main" count="19" uniqueCount="19">
  <si>
    <t xml:space="preserve">  </t>
  </si>
  <si>
    <t>Length of pipe, L</t>
  </si>
  <si>
    <r>
      <t xml:space="preserve">Number of passes, </t>
    </r>
    <r>
      <rPr>
        <i/>
        <sz val="12"/>
        <color theme="1"/>
        <rFont val="Times New Roman"/>
        <family val="1"/>
      </rPr>
      <t>n</t>
    </r>
    <r>
      <rPr>
        <sz val="12"/>
        <color theme="1"/>
        <rFont val="Times New Roman"/>
        <family val="1"/>
      </rPr>
      <t xml:space="preserve"> =</t>
    </r>
  </si>
  <si>
    <r>
      <rPr>
        <i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 xml:space="preserve"> (m) =</t>
    </r>
  </si>
  <si>
    <r>
      <rPr>
        <i/>
        <sz val="12"/>
        <color theme="1"/>
        <rFont val="Times New Roman"/>
        <family val="1"/>
      </rPr>
      <t>L</t>
    </r>
    <r>
      <rPr>
        <sz val="12"/>
        <color theme="1"/>
        <rFont val="Times New Roman"/>
        <family val="1"/>
      </rPr>
      <t xml:space="preserve"> (m) =</t>
    </r>
  </si>
  <si>
    <t>Multi-pass Shell and Tube Heat Exchanger Performance Analysis using Goal-Seek (U known)</t>
  </si>
  <si>
    <t>HOT FLUID, Oil (o)</t>
  </si>
  <si>
    <t>COLD FLUID, Water (w)</t>
  </si>
  <si>
    <r>
      <t>T</t>
    </r>
    <r>
      <rPr>
        <vertAlign val="subscript"/>
        <sz val="12"/>
        <rFont val="Times New Roman"/>
        <family val="1"/>
      </rPr>
      <t>ow</t>
    </r>
    <r>
      <rPr>
        <sz val="12"/>
        <rFont val="Times New Roman"/>
        <family val="1"/>
      </rPr>
      <t>=</t>
    </r>
  </si>
  <si>
    <r>
      <t xml:space="preserve">Overall Heat transfer coeff., </t>
    </r>
    <r>
      <rPr>
        <i/>
        <sz val="11"/>
        <color theme="1"/>
        <rFont val="Times New Roman"/>
        <family val="1"/>
      </rPr>
      <t>U</t>
    </r>
    <r>
      <rPr>
        <sz val="11"/>
        <color theme="1"/>
        <rFont val="Times New Roman"/>
        <family val="1"/>
      </rPr>
      <t>(W/m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-K) =</t>
    </r>
  </si>
  <si>
    <r>
      <t>T</t>
    </r>
    <r>
      <rPr>
        <vertAlign val="subscript"/>
        <sz val="12"/>
        <rFont val="Times New Roman"/>
        <family val="1"/>
      </rPr>
      <t>oo</t>
    </r>
    <r>
      <rPr>
        <sz val="12"/>
        <rFont val="Times New Roman"/>
        <family val="1"/>
      </rPr>
      <t>=</t>
    </r>
  </si>
  <si>
    <r>
      <rPr>
        <sz val="12"/>
        <rFont val="Times New Roman"/>
        <family val="1"/>
      </rPr>
      <t>Q</t>
    </r>
    <r>
      <rPr>
        <vertAlign val="subscript"/>
        <sz val="12"/>
        <rFont val="Times New Roman"/>
        <family val="1"/>
      </rPr>
      <t>Hx</t>
    </r>
    <r>
      <rPr>
        <sz val="12"/>
        <rFont val="Times New Roman"/>
        <family val="1"/>
      </rPr>
      <t>=</t>
    </r>
  </si>
  <si>
    <r>
      <rPr>
        <i/>
        <sz val="12"/>
        <color rgb="FFFF0000"/>
        <rFont val="Times New Roman"/>
        <family val="1"/>
      </rPr>
      <t>C</t>
    </r>
    <r>
      <rPr>
        <vertAlign val="subscript"/>
        <sz val="12"/>
        <color rgb="FFFF0000"/>
        <rFont val="Times New Roman"/>
        <family val="1"/>
      </rPr>
      <t>po</t>
    </r>
    <r>
      <rPr>
        <sz val="12"/>
        <color rgb="FFFF0000"/>
        <rFont val="Times New Roman"/>
        <family val="1"/>
      </rPr>
      <t xml:space="preserve"> =</t>
    </r>
  </si>
  <si>
    <r>
      <rPr>
        <i/>
        <sz val="14"/>
        <color rgb="FFFF0000"/>
        <rFont val="Times New Roman"/>
        <family val="1"/>
      </rPr>
      <t>m</t>
    </r>
    <r>
      <rPr>
        <vertAlign val="subscript"/>
        <sz val="14"/>
        <color rgb="FFFF0000"/>
        <rFont val="Times New Roman"/>
        <family val="1"/>
      </rPr>
      <t>o</t>
    </r>
    <r>
      <rPr>
        <sz val="14"/>
        <color rgb="FFFF0000"/>
        <rFont val="Times New Roman"/>
        <family val="1"/>
      </rPr>
      <t>=</t>
    </r>
  </si>
  <si>
    <r>
      <rPr>
        <i/>
        <sz val="12"/>
        <color rgb="FFFF0000"/>
        <rFont val="Times New Roman"/>
        <family val="1"/>
      </rPr>
      <t>T</t>
    </r>
    <r>
      <rPr>
        <vertAlign val="subscript"/>
        <sz val="12"/>
        <color rgb="FFFF0000"/>
        <rFont val="Times New Roman"/>
        <family val="1"/>
      </rPr>
      <t>io</t>
    </r>
    <r>
      <rPr>
        <sz val="12"/>
        <color rgb="FFFF0000"/>
        <rFont val="Times New Roman"/>
        <family val="1"/>
      </rPr>
      <t xml:space="preserve"> =</t>
    </r>
  </si>
  <si>
    <r>
      <rPr>
        <i/>
        <sz val="11"/>
        <color rgb="FF0070C0"/>
        <rFont val="Times New Roman"/>
        <family val="1"/>
      </rPr>
      <t>C</t>
    </r>
    <r>
      <rPr>
        <vertAlign val="subscript"/>
        <sz val="11"/>
        <color rgb="FF0070C0"/>
        <rFont val="Times New Roman"/>
        <family val="1"/>
      </rPr>
      <t>pw</t>
    </r>
    <r>
      <rPr>
        <sz val="11"/>
        <color rgb="FF0070C0"/>
        <rFont val="Times New Roman"/>
        <family val="1"/>
      </rPr>
      <t xml:space="preserve"> =</t>
    </r>
  </si>
  <si>
    <r>
      <rPr>
        <i/>
        <sz val="14"/>
        <color rgb="FF0070C0"/>
        <rFont val="Times New Roman"/>
        <family val="1"/>
      </rPr>
      <t>m</t>
    </r>
    <r>
      <rPr>
        <vertAlign val="subscript"/>
        <sz val="14"/>
        <color rgb="FF0070C0"/>
        <rFont val="Times New Roman"/>
        <family val="1"/>
      </rPr>
      <t xml:space="preserve">w </t>
    </r>
    <r>
      <rPr>
        <sz val="14"/>
        <color rgb="FF0070C0"/>
        <rFont val="Times New Roman"/>
        <family val="1"/>
      </rPr>
      <t>=</t>
    </r>
  </si>
  <si>
    <r>
      <rPr>
        <i/>
        <sz val="12"/>
        <color rgb="FF0070C0"/>
        <rFont val="Times New Roman"/>
        <family val="1"/>
      </rPr>
      <t>T</t>
    </r>
    <r>
      <rPr>
        <vertAlign val="subscript"/>
        <sz val="12"/>
        <color rgb="FF0070C0"/>
        <rFont val="Times New Roman"/>
        <family val="1"/>
      </rPr>
      <t>iw</t>
    </r>
    <r>
      <rPr>
        <sz val="12"/>
        <color rgb="FF0070C0"/>
        <rFont val="Times New Roman"/>
        <family val="1"/>
      </rPr>
      <t xml:space="preserve"> (</t>
    </r>
    <r>
      <rPr>
        <vertAlign val="superscript"/>
        <sz val="12"/>
        <color rgb="FF0070C0"/>
        <rFont val="Times New Roman"/>
        <family val="1"/>
      </rPr>
      <t>o</t>
    </r>
    <r>
      <rPr>
        <sz val="12"/>
        <color rgb="FF0070C0"/>
        <rFont val="Times New Roman"/>
        <family val="1"/>
      </rPr>
      <t>C) =</t>
    </r>
  </si>
  <si>
    <t>ͧε=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</si>
</sst>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b/>
      <sz val="14"/>
      <color rgb="FFC00000"/>
      <name val="Times New Roman"/>
      <family val="1"/>
    </font>
    <font>
      <sz val="11"/>
      <color rgb="FFC00000"/>
      <name val="Calibri"/>
      <family val="2"/>
      <scheme val="minor"/>
    </font>
    <font>
      <b/>
      <sz val="12"/>
      <color rgb="FFC00000"/>
      <name val="Times New Roman"/>
      <family val="1"/>
    </font>
    <font>
      <i/>
      <sz val="11"/>
      <color theme="1"/>
      <name val="Times New Roman"/>
      <family val="1"/>
    </font>
    <font>
      <i/>
      <sz val="12"/>
      <color theme="1"/>
      <name val="Times New Roman"/>
      <family val="1"/>
    </font>
    <font>
      <sz val="20"/>
      <color theme="0"/>
      <name val="Times New Roman"/>
      <family val="1"/>
    </font>
    <font>
      <sz val="11"/>
      <name val="Calibri"/>
      <family val="2"/>
      <scheme val="minor"/>
    </font>
    <font>
      <sz val="16"/>
      <color theme="0"/>
      <name val="Times New Roman"/>
      <family val="1"/>
    </font>
    <font>
      <sz val="12"/>
      <name val="Times New Roman"/>
      <family val="1"/>
    </font>
    <font>
      <vertAlign val="subscript"/>
      <sz val="12"/>
      <name val="Times New Roman"/>
      <family val="1"/>
    </font>
    <font>
      <b/>
      <sz val="11"/>
      <color rgb="FFC00000"/>
      <name val="Calibri"/>
      <family val="2"/>
      <scheme val="minor"/>
    </font>
    <font>
      <sz val="12"/>
      <color rgb="FFC00000"/>
      <name val="Times New Roman"/>
      <family val="1"/>
    </font>
    <font>
      <sz val="11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rgb="FFFF0000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FF0000"/>
      <name val="Times New Roman"/>
      <family val="1"/>
    </font>
    <font>
      <i/>
      <sz val="12"/>
      <color rgb="FFFF0000"/>
      <name val="Times New Roman"/>
      <family val="1"/>
    </font>
    <font>
      <vertAlign val="subscript"/>
      <sz val="12"/>
      <color rgb="FFFF0000"/>
      <name val="Times New Roman"/>
      <family val="1"/>
    </font>
    <font>
      <sz val="14"/>
      <color rgb="FFFF0000"/>
      <name val="Times New Roman"/>
      <family val="1"/>
    </font>
    <font>
      <i/>
      <sz val="14"/>
      <color rgb="FFFF0000"/>
      <name val="Times New Roman"/>
      <family val="1"/>
    </font>
    <font>
      <vertAlign val="subscript"/>
      <sz val="14"/>
      <color rgb="FFFF0000"/>
      <name val="Times New Roman"/>
      <family val="1"/>
    </font>
    <font>
      <i/>
      <sz val="11"/>
      <color rgb="FF0070C0"/>
      <name val="Times New Roman"/>
      <family val="1"/>
    </font>
    <font>
      <vertAlign val="subscript"/>
      <sz val="11"/>
      <color rgb="FF0070C0"/>
      <name val="Times New Roman"/>
      <family val="1"/>
    </font>
    <font>
      <sz val="14"/>
      <color rgb="FF0070C0"/>
      <name val="Times New Roman"/>
      <family val="1"/>
    </font>
    <font>
      <i/>
      <sz val="14"/>
      <color rgb="FF0070C0"/>
      <name val="Times New Roman"/>
      <family val="1"/>
    </font>
    <font>
      <vertAlign val="subscript"/>
      <sz val="14"/>
      <color rgb="FF0070C0"/>
      <name val="Times New Roman"/>
      <family val="1"/>
    </font>
    <font>
      <i/>
      <sz val="12"/>
      <color rgb="FF0070C0"/>
      <name val="Times New Roman"/>
      <family val="1"/>
    </font>
    <font>
      <vertAlign val="subscript"/>
      <sz val="12"/>
      <color rgb="FF0070C0"/>
      <name val="Times New Roman"/>
      <family val="1"/>
    </font>
    <font>
      <vertAlign val="superscript"/>
      <sz val="12"/>
      <color rgb="FF0070C0"/>
      <name val="Times New Roman"/>
      <family val="1"/>
    </font>
    <font>
      <sz val="14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rgb="FFC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5" fillId="0" borderId="0" xfId="0" applyFont="1"/>
    <xf numFmtId="0" fontId="3" fillId="0" borderId="0" xfId="0" applyFont="1"/>
    <xf numFmtId="0" fontId="1" fillId="0" borderId="0" xfId="0" applyFont="1"/>
    <xf numFmtId="0" fontId="0" fillId="0" borderId="0" xfId="0" applyFont="1"/>
    <xf numFmtId="0" fontId="2" fillId="0" borderId="0" xfId="0" applyFont="1" applyFill="1" applyAlignment="1"/>
    <xf numFmtId="0" fontId="10" fillId="4" borderId="0" xfId="0" applyFont="1" applyFill="1"/>
    <xf numFmtId="0" fontId="4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4" fillId="0" borderId="0" xfId="0" applyFont="1" applyFill="1"/>
    <xf numFmtId="0" fontId="0" fillId="0" borderId="0" xfId="0" applyFont="1" applyFill="1"/>
    <xf numFmtId="0" fontId="13" fillId="0" borderId="0" xfId="0" applyFont="1" applyFill="1" applyAlignment="1"/>
    <xf numFmtId="0" fontId="14" fillId="0" borderId="0" xfId="0" applyFont="1"/>
    <xf numFmtId="0" fontId="10" fillId="0" borderId="0" xfId="0" applyFont="1" applyFill="1"/>
    <xf numFmtId="0" fontId="9" fillId="0" borderId="0" xfId="0" applyFont="1"/>
    <xf numFmtId="0" fontId="18" fillId="0" borderId="0" xfId="0" applyFont="1"/>
    <xf numFmtId="0" fontId="19" fillId="0" borderId="0" xfId="0" applyFont="1"/>
    <xf numFmtId="0" fontId="9" fillId="0" borderId="0" xfId="0" applyFont="1" applyFill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15" fillId="0" borderId="0" xfId="0" applyFont="1" applyFill="1" applyAlignment="1">
      <alignment wrapText="1"/>
    </xf>
    <xf numFmtId="0" fontId="22" fillId="0" borderId="0" xfId="0" applyFont="1" applyAlignment="1">
      <alignment horizontal="right"/>
    </xf>
    <xf numFmtId="0" fontId="29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34" fillId="0" borderId="0" xfId="0" applyFont="1" applyAlignment="1">
      <alignment horizontal="right"/>
    </xf>
    <xf numFmtId="0" fontId="21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0" fontId="24" fillId="3" borderId="0" xfId="0" applyFont="1" applyFill="1" applyAlignment="1" applyProtection="1">
      <alignment horizontal="center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20" fillId="3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2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42" fillId="0" borderId="0" xfId="0" applyFont="1" applyFill="1"/>
    <xf numFmtId="0" fontId="43" fillId="0" borderId="0" xfId="0" applyFont="1"/>
    <xf numFmtId="0" fontId="41" fillId="0" borderId="0" xfId="0" applyFont="1"/>
    <xf numFmtId="0" fontId="15" fillId="2" borderId="0" xfId="0" applyFont="1" applyFill="1" applyAlignment="1">
      <alignment horizontal="center" wrapText="1"/>
    </xf>
    <xf numFmtId="0" fontId="3" fillId="0" borderId="0" xfId="0" applyFont="1" applyFill="1" applyAlignment="1">
      <alignment horizontal="right" wrapText="1"/>
    </xf>
    <xf numFmtId="0" fontId="0" fillId="0" borderId="0" xfId="0" applyFont="1" applyFill="1" applyAlignment="1">
      <alignment horizontal="right" wrapText="1"/>
    </xf>
    <xf numFmtId="0" fontId="25" fillId="0" borderId="0" xfId="0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8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434340</xdr:colOff>
      <xdr:row>6</xdr:row>
      <xdr:rowOff>7620</xdr:rowOff>
    </xdr:from>
    <xdr:to>
      <xdr:col>10</xdr:col>
      <xdr:colOff>160020</xdr:colOff>
      <xdr:row>6</xdr:row>
      <xdr:rowOff>7620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181DDAB-A108-4185-B0CD-A30ACBB08A19}"/>
            </a:ext>
          </a:extLst>
        </xdr:cNvPr>
        <xdr:cNvCxnSpPr/>
      </xdr:nvCxnSpPr>
      <xdr:spPr>
        <a:xfrm>
          <a:off x="3550920" y="1501140"/>
          <a:ext cx="399288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9</xdr:col>
      <xdr:colOff>304800</xdr:colOff>
      <xdr:row>21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46292002-09C6-4B79-ADA9-D70A68519688}"/>
            </a:ext>
          </a:extLst>
        </xdr:cNvPr>
        <xdr:cNvCxnSpPr/>
      </xdr:nvCxnSpPr>
      <xdr:spPr>
        <a:xfrm>
          <a:off x="3657600" y="4640580"/>
          <a:ext cx="396240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198120</xdr:colOff>
      <xdr:row>4</xdr:row>
      <xdr:rowOff>114300</xdr:rowOff>
    </xdr:from>
    <xdr:to>
      <xdr:col>3</xdr:col>
      <xdr:colOff>198120</xdr:colOff>
      <xdr:row>6</xdr:row>
      <xdr:rowOff>99060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ECDFFEB-B99B-4D28-83AE-1327520BB3D9}"/>
            </a:ext>
          </a:extLst>
        </xdr:cNvPr>
        <xdr:cNvCxnSpPr/>
      </xdr:nvCxnSpPr>
      <xdr:spPr>
        <a:xfrm flipV="1">
          <a:off x="3855720" y="1074420"/>
          <a:ext cx="0" cy="4114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434340</xdr:colOff>
      <xdr:row>4</xdr:row>
      <xdr:rowOff>121920</xdr:rowOff>
    </xdr:from>
    <xdr:to>
      <xdr:col>3</xdr:col>
      <xdr:colOff>434340</xdr:colOff>
      <xdr:row>6</xdr:row>
      <xdr:rowOff>106680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C9307AD-3004-421C-B717-28FE407E8644}"/>
            </a:ext>
          </a:extLst>
        </xdr:cNvPr>
        <xdr:cNvCxnSpPr/>
      </xdr:nvCxnSpPr>
      <xdr:spPr>
        <a:xfrm flipV="1">
          <a:off x="4091940" y="1082040"/>
          <a:ext cx="0" cy="4114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20</xdr:row>
      <xdr:rowOff>83820</xdr:rowOff>
    </xdr:from>
    <xdr:to>
      <xdr:col>9</xdr:col>
      <xdr:colOff>502920</xdr:colOff>
      <xdr:row>22</xdr:row>
      <xdr:rowOff>175260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8E4992F5-104C-49C5-81CA-00D42BD3806C}"/>
            </a:ext>
          </a:extLst>
        </xdr:cNvPr>
        <xdr:cNvCxnSpPr/>
      </xdr:nvCxnSpPr>
      <xdr:spPr>
        <a:xfrm flipV="1">
          <a:off x="7818120" y="4541520"/>
          <a:ext cx="0" cy="4572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320040</xdr:colOff>
      <xdr:row>20</xdr:row>
      <xdr:rowOff>83820</xdr:rowOff>
    </xdr:from>
    <xdr:to>
      <xdr:col>9</xdr:col>
      <xdr:colOff>320040</xdr:colOff>
      <xdr:row>22</xdr:row>
      <xdr:rowOff>175260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40692CB-0226-4643-8900-9C3A82DB2889}"/>
            </a:ext>
          </a:extLst>
        </xdr:cNvPr>
        <xdr:cNvCxnSpPr/>
      </xdr:nvCxnSpPr>
      <xdr:spPr>
        <a:xfrm flipV="1">
          <a:off x="7635240" y="4541520"/>
          <a:ext cx="0" cy="4572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10</xdr:row>
      <xdr:rowOff>83820</xdr:rowOff>
    </xdr:from>
    <xdr:to>
      <xdr:col>9</xdr:col>
      <xdr:colOff>510540</xdr:colOff>
      <xdr:row>10</xdr:row>
      <xdr:rowOff>99060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D30EB7E-6047-4CF4-8C5B-FA546B773981}"/>
            </a:ext>
          </a:extLst>
        </xdr:cNvPr>
        <xdr:cNvCxnSpPr/>
      </xdr:nvCxnSpPr>
      <xdr:spPr>
        <a:xfrm>
          <a:off x="4076700" y="2392680"/>
          <a:ext cx="3749040" cy="152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525780</xdr:colOff>
      <xdr:row>10</xdr:row>
      <xdr:rowOff>220980</xdr:rowOff>
    </xdr:from>
    <xdr:to>
      <xdr:col>10</xdr:col>
      <xdr:colOff>15240</xdr:colOff>
      <xdr:row>10</xdr:row>
      <xdr:rowOff>228600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FBE61F9C-0F2D-4B22-B46E-F5699490C474}"/>
            </a:ext>
          </a:extLst>
        </xdr:cNvPr>
        <xdr:cNvCxnSpPr/>
      </xdr:nvCxnSpPr>
      <xdr:spPr>
        <a:xfrm>
          <a:off x="4183380" y="2499360"/>
          <a:ext cx="3756660" cy="76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548640</xdr:colOff>
      <xdr:row>12</xdr:row>
      <xdr:rowOff>167640</xdr:rowOff>
    </xdr:from>
    <xdr:to>
      <xdr:col>8</xdr:col>
      <xdr:colOff>0</xdr:colOff>
      <xdr:row>12</xdr:row>
      <xdr:rowOff>175260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609832C2-D11B-4D7D-AF3C-0A7455EAE291}"/>
            </a:ext>
          </a:extLst>
        </xdr:cNvPr>
        <xdr:cNvCxnSpPr/>
      </xdr:nvCxnSpPr>
      <xdr:spPr>
        <a:xfrm flipV="1">
          <a:off x="4206240" y="2948940"/>
          <a:ext cx="2499360" cy="76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13</xdr:row>
      <xdr:rowOff>76200</xdr:rowOff>
    </xdr:from>
    <xdr:to>
      <xdr:col>8</xdr:col>
      <xdr:colOff>7620</xdr:colOff>
      <xdr:row>13</xdr:row>
      <xdr:rowOff>83820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43D7C8C2-0F2B-4E47-BB61-207076071F80}"/>
            </a:ext>
          </a:extLst>
        </xdr:cNvPr>
        <xdr:cNvCxnSpPr/>
      </xdr:nvCxnSpPr>
      <xdr:spPr>
        <a:xfrm flipV="1">
          <a:off x="4107180" y="3078480"/>
          <a:ext cx="2606040" cy="76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480060</xdr:colOff>
      <xdr:row>10</xdr:row>
      <xdr:rowOff>220980</xdr:rowOff>
    </xdr:from>
    <xdr:to>
      <xdr:col>3</xdr:col>
      <xdr:colOff>548640</xdr:colOff>
      <xdr:row>12</xdr:row>
      <xdr:rowOff>182880</xdr:rowOff>
    </xdr:to>
    <xdr:sp macro="" textlink="">
      <xdr:nvSpPr>
        <xdr:cNvPr id="28" name="Freeform: Shape 27">
          <a:extLst>
            <a:ext uri="{FF2B5EF4-FFF2-40B4-BE49-F238E27FC236}">
              <a16:creationId xmlns:a16="http://schemas.microsoft.com/office/drawing/2014/main" id="{99C91239-C1A9-4A1D-B18E-7FCE61A6ABD6}"/>
            </a:ext>
          </a:extLst>
        </xdr:cNvPr>
        <xdr:cNvSpPr/>
      </xdr:nvSpPr>
      <xdr:spPr>
        <a:xfrm>
          <a:off x="4137660" y="2499360"/>
          <a:ext cx="68580" cy="464820"/>
        </a:xfrm>
        <a:custGeom>
          <a:avLst/>
          <a:gdLst>
            <a:gd name="connsiteX0" fmla="*/ 244711 w 320911"/>
            <a:gd name="connsiteY0" fmla="*/ 0 h 480060"/>
            <a:gd name="connsiteX1" fmla="*/ 871 w 320911"/>
            <a:gd name="connsiteY1" fmla="*/ 243840 h 480060"/>
            <a:gd name="connsiteX2" fmla="*/ 320911 w 320911"/>
            <a:gd name="connsiteY2" fmla="*/ 480060 h 480060"/>
            <a:gd name="connsiteX3" fmla="*/ 320911 w 320911"/>
            <a:gd name="connsiteY3" fmla="*/ 480060 h 480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20911" h="480060">
              <a:moveTo>
                <a:pt x="244711" y="0"/>
              </a:moveTo>
              <a:cubicBezTo>
                <a:pt x="116441" y="81915"/>
                <a:pt x="-11829" y="163830"/>
                <a:pt x="871" y="243840"/>
              </a:cubicBezTo>
              <a:cubicBezTo>
                <a:pt x="13571" y="323850"/>
                <a:pt x="320911" y="480060"/>
                <a:pt x="320911" y="480060"/>
              </a:cubicBezTo>
              <a:lnTo>
                <a:pt x="320911" y="480060"/>
              </a:lnTo>
            </a:path>
          </a:pathLst>
        </a:cu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304800</xdr:colOff>
      <xdr:row>10</xdr:row>
      <xdr:rowOff>83820</xdr:rowOff>
    </xdr:from>
    <xdr:to>
      <xdr:col>3</xdr:col>
      <xdr:colOff>449580</xdr:colOff>
      <xdr:row>13</xdr:row>
      <xdr:rowOff>91440</xdr:rowOff>
    </xdr:to>
    <xdr:sp macro="" textlink="">
      <xdr:nvSpPr>
        <xdr:cNvPr id="30" name="Freeform: Shape 29">
          <a:extLst>
            <a:ext uri="{FF2B5EF4-FFF2-40B4-BE49-F238E27FC236}">
              <a16:creationId xmlns:a16="http://schemas.microsoft.com/office/drawing/2014/main" id="{960D8E0B-C244-4459-9124-F12D25CF70AF}"/>
            </a:ext>
          </a:extLst>
        </xdr:cNvPr>
        <xdr:cNvSpPr/>
      </xdr:nvSpPr>
      <xdr:spPr>
        <a:xfrm>
          <a:off x="3962400" y="2362200"/>
          <a:ext cx="144780" cy="731520"/>
        </a:xfrm>
        <a:custGeom>
          <a:avLst/>
          <a:gdLst>
            <a:gd name="connsiteX0" fmla="*/ 244711 w 320911"/>
            <a:gd name="connsiteY0" fmla="*/ 0 h 480060"/>
            <a:gd name="connsiteX1" fmla="*/ 871 w 320911"/>
            <a:gd name="connsiteY1" fmla="*/ 243840 h 480060"/>
            <a:gd name="connsiteX2" fmla="*/ 320911 w 320911"/>
            <a:gd name="connsiteY2" fmla="*/ 480060 h 480060"/>
            <a:gd name="connsiteX3" fmla="*/ 320911 w 320911"/>
            <a:gd name="connsiteY3" fmla="*/ 480060 h 480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20911" h="480060">
              <a:moveTo>
                <a:pt x="244711" y="0"/>
              </a:moveTo>
              <a:cubicBezTo>
                <a:pt x="116441" y="81915"/>
                <a:pt x="-11829" y="163830"/>
                <a:pt x="871" y="243840"/>
              </a:cubicBezTo>
              <a:cubicBezTo>
                <a:pt x="13571" y="323850"/>
                <a:pt x="320911" y="480060"/>
                <a:pt x="320911" y="480060"/>
              </a:cubicBezTo>
              <a:lnTo>
                <a:pt x="320911" y="480060"/>
              </a:lnTo>
            </a:path>
          </a:pathLst>
        </a:cu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266700</xdr:colOff>
      <xdr:row>14</xdr:row>
      <xdr:rowOff>38100</xdr:rowOff>
    </xdr:from>
    <xdr:to>
      <xdr:col>6</xdr:col>
      <xdr:colOff>266700</xdr:colOff>
      <xdr:row>14</xdr:row>
      <xdr:rowOff>76200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6A2C0354-A528-43F1-8E66-A014E947A15E}"/>
            </a:ext>
          </a:extLst>
        </xdr:cNvPr>
        <xdr:cNvCxnSpPr/>
      </xdr:nvCxnSpPr>
      <xdr:spPr>
        <a:xfrm>
          <a:off x="5753100" y="3322320"/>
          <a:ext cx="0" cy="381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266700</xdr:colOff>
      <xdr:row>13</xdr:row>
      <xdr:rowOff>182880</xdr:rowOff>
    </xdr:from>
    <xdr:to>
      <xdr:col>6</xdr:col>
      <xdr:colOff>266700</xdr:colOff>
      <xdr:row>13</xdr:row>
      <xdr:rowOff>220980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1109653A-3987-4AEB-ADA4-FBF7FAF9031F}"/>
            </a:ext>
          </a:extLst>
        </xdr:cNvPr>
        <xdr:cNvCxnSpPr/>
      </xdr:nvCxnSpPr>
      <xdr:spPr>
        <a:xfrm>
          <a:off x="5753100" y="3215640"/>
          <a:ext cx="0" cy="381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19</xdr:row>
      <xdr:rowOff>38100</xdr:rowOff>
    </xdr:from>
    <xdr:to>
      <xdr:col>10</xdr:col>
      <xdr:colOff>251460</xdr:colOff>
      <xdr:row>19</xdr:row>
      <xdr:rowOff>45720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CB9027A8-1117-459F-A02B-71F653F5F991}"/>
            </a:ext>
          </a:extLst>
        </xdr:cNvPr>
        <xdr:cNvCxnSpPr/>
      </xdr:nvCxnSpPr>
      <xdr:spPr>
        <a:xfrm flipV="1">
          <a:off x="3764280" y="4274820"/>
          <a:ext cx="3870960" cy="76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579120</xdr:colOff>
      <xdr:row>19</xdr:row>
      <xdr:rowOff>175260</xdr:rowOff>
    </xdr:from>
    <xdr:to>
      <xdr:col>10</xdr:col>
      <xdr:colOff>259080</xdr:colOff>
      <xdr:row>19</xdr:row>
      <xdr:rowOff>175260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D8BEDC50-08D5-46DB-AD38-92BB3A99187C}"/>
            </a:ext>
          </a:extLst>
        </xdr:cNvPr>
        <xdr:cNvCxnSpPr/>
      </xdr:nvCxnSpPr>
      <xdr:spPr>
        <a:xfrm>
          <a:off x="3695700" y="4411980"/>
          <a:ext cx="394716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17</xdr:row>
      <xdr:rowOff>22860</xdr:rowOff>
    </xdr:from>
    <xdr:to>
      <xdr:col>6</xdr:col>
      <xdr:colOff>434340</xdr:colOff>
      <xdr:row>17</xdr:row>
      <xdr:rowOff>22860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6FB70424-2FC7-4C36-A5C0-59B826D6187D}"/>
            </a:ext>
          </a:extLst>
        </xdr:cNvPr>
        <xdr:cNvCxnSpPr/>
      </xdr:nvCxnSpPr>
      <xdr:spPr>
        <a:xfrm>
          <a:off x="4305300" y="3863340"/>
          <a:ext cx="161544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556260</xdr:colOff>
      <xdr:row>16</xdr:row>
      <xdr:rowOff>99060</xdr:rowOff>
    </xdr:from>
    <xdr:to>
      <xdr:col>6</xdr:col>
      <xdr:colOff>426720</xdr:colOff>
      <xdr:row>16</xdr:row>
      <xdr:rowOff>106680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45AE7FDD-422F-4136-A696-A3FFC4F33B7B}"/>
            </a:ext>
          </a:extLst>
        </xdr:cNvPr>
        <xdr:cNvCxnSpPr/>
      </xdr:nvCxnSpPr>
      <xdr:spPr>
        <a:xfrm flipV="1">
          <a:off x="4213860" y="3756660"/>
          <a:ext cx="1699260" cy="76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190500</xdr:colOff>
      <xdr:row>18</xdr:row>
      <xdr:rowOff>45720</xdr:rowOff>
    </xdr:from>
    <xdr:to>
      <xdr:col>3</xdr:col>
      <xdr:colOff>464820</xdr:colOff>
      <xdr:row>18</xdr:row>
      <xdr:rowOff>45720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BE8AE8E4-DFC2-46B7-8CA1-CA0491944B20}"/>
            </a:ext>
          </a:extLst>
        </xdr:cNvPr>
        <xdr:cNvCxnSpPr/>
      </xdr:nvCxnSpPr>
      <xdr:spPr>
        <a:xfrm>
          <a:off x="3848100" y="4061460"/>
          <a:ext cx="27432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594360</xdr:colOff>
      <xdr:row>18</xdr:row>
      <xdr:rowOff>38100</xdr:rowOff>
    </xdr:from>
    <xdr:to>
      <xdr:col>4</xdr:col>
      <xdr:colOff>335280</xdr:colOff>
      <xdr:row>18</xdr:row>
      <xdr:rowOff>38100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A4510C72-5C14-4C8C-99FD-1F0C4608C75D}"/>
            </a:ext>
          </a:extLst>
        </xdr:cNvPr>
        <xdr:cNvCxnSpPr/>
      </xdr:nvCxnSpPr>
      <xdr:spPr>
        <a:xfrm flipH="1">
          <a:off x="4251960" y="4053840"/>
          <a:ext cx="35052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22</xdr:row>
      <xdr:rowOff>0</xdr:rowOff>
    </xdr:from>
    <xdr:to>
      <xdr:col>9</xdr:col>
      <xdr:colOff>419100</xdr:colOff>
      <xdr:row>23</xdr:row>
      <xdr:rowOff>190500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B41E5EC2-451C-47AD-BBEC-3442319B79B1}"/>
            </a:ext>
          </a:extLst>
        </xdr:cNvPr>
        <xdr:cNvCxnSpPr/>
      </xdr:nvCxnSpPr>
      <xdr:spPr>
        <a:xfrm>
          <a:off x="7734300" y="4823460"/>
          <a:ext cx="0" cy="3733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3</xdr:row>
      <xdr:rowOff>160020</xdr:rowOff>
    </xdr:from>
    <xdr:to>
      <xdr:col>3</xdr:col>
      <xdr:colOff>304800</xdr:colOff>
      <xdr:row>6</xdr:row>
      <xdr:rowOff>15240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67740C51-BA7C-4931-9434-F237239057FA}"/>
            </a:ext>
          </a:extLst>
        </xdr:cNvPr>
        <xdr:cNvCxnSpPr/>
      </xdr:nvCxnSpPr>
      <xdr:spPr>
        <a:xfrm>
          <a:off x="3962400" y="853440"/>
          <a:ext cx="0" cy="4038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121920</xdr:colOff>
      <xdr:row>10</xdr:row>
      <xdr:rowOff>152400</xdr:rowOff>
    </xdr:from>
    <xdr:to>
      <xdr:col>3</xdr:col>
      <xdr:colOff>121920</xdr:colOff>
      <xdr:row>17</xdr:row>
      <xdr:rowOff>91440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EA27241E-CD72-4068-9A75-D92D177DDBF1}"/>
            </a:ext>
          </a:extLst>
        </xdr:cNvPr>
        <xdr:cNvCxnSpPr/>
      </xdr:nvCxnSpPr>
      <xdr:spPr>
        <a:xfrm>
          <a:off x="3779520" y="2461260"/>
          <a:ext cx="0" cy="14630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21</xdr:row>
      <xdr:rowOff>175260</xdr:rowOff>
    </xdr:from>
    <xdr:to>
      <xdr:col>9</xdr:col>
      <xdr:colOff>220980</xdr:colOff>
      <xdr:row>22</xdr:row>
      <xdr:rowOff>0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81996CC3-A4A3-4E19-BE82-69DC33730399}"/>
            </a:ext>
          </a:extLst>
        </xdr:cNvPr>
        <xdr:cNvCxnSpPr/>
      </xdr:nvCxnSpPr>
      <xdr:spPr>
        <a:xfrm flipV="1">
          <a:off x="4114800" y="4815840"/>
          <a:ext cx="342138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472440</xdr:colOff>
      <xdr:row>16</xdr:row>
      <xdr:rowOff>114300</xdr:rowOff>
    </xdr:from>
    <xdr:to>
      <xdr:col>3</xdr:col>
      <xdr:colOff>579120</xdr:colOff>
      <xdr:row>19</xdr:row>
      <xdr:rowOff>175260</xdr:rowOff>
    </xdr:to>
    <xdr:sp macro="" textlink="">
      <xdr:nvSpPr>
        <xdr:cNvPr id="84" name="Freeform: Shape 83">
          <a:extLst>
            <a:ext uri="{FF2B5EF4-FFF2-40B4-BE49-F238E27FC236}">
              <a16:creationId xmlns:a16="http://schemas.microsoft.com/office/drawing/2014/main" id="{68B58D73-16BE-4670-8981-9760B4EB4C6B}"/>
            </a:ext>
          </a:extLst>
        </xdr:cNvPr>
        <xdr:cNvSpPr/>
      </xdr:nvSpPr>
      <xdr:spPr>
        <a:xfrm>
          <a:off x="4130040" y="3771900"/>
          <a:ext cx="106680" cy="678180"/>
        </a:xfrm>
        <a:custGeom>
          <a:avLst/>
          <a:gdLst>
            <a:gd name="connsiteX0" fmla="*/ 244711 w 320911"/>
            <a:gd name="connsiteY0" fmla="*/ 0 h 480060"/>
            <a:gd name="connsiteX1" fmla="*/ 871 w 320911"/>
            <a:gd name="connsiteY1" fmla="*/ 243840 h 480060"/>
            <a:gd name="connsiteX2" fmla="*/ 320911 w 320911"/>
            <a:gd name="connsiteY2" fmla="*/ 480060 h 480060"/>
            <a:gd name="connsiteX3" fmla="*/ 320911 w 320911"/>
            <a:gd name="connsiteY3" fmla="*/ 480060 h 480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20911" h="480060">
              <a:moveTo>
                <a:pt x="244711" y="0"/>
              </a:moveTo>
              <a:cubicBezTo>
                <a:pt x="116441" y="81915"/>
                <a:pt x="-11829" y="163830"/>
                <a:pt x="871" y="243840"/>
              </a:cubicBezTo>
              <a:cubicBezTo>
                <a:pt x="13571" y="323850"/>
                <a:pt x="320911" y="480060"/>
                <a:pt x="320911" y="480060"/>
              </a:cubicBezTo>
              <a:lnTo>
                <a:pt x="320911" y="480060"/>
              </a:lnTo>
            </a:path>
          </a:pathLst>
        </a:cu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594360</xdr:colOff>
      <xdr:row>17</xdr:row>
      <xdr:rowOff>22860</xdr:rowOff>
    </xdr:from>
    <xdr:to>
      <xdr:col>4</xdr:col>
      <xdr:colOff>53340</xdr:colOff>
      <xdr:row>19</xdr:row>
      <xdr:rowOff>53340</xdr:rowOff>
    </xdr:to>
    <xdr:sp macro="" textlink="">
      <xdr:nvSpPr>
        <xdr:cNvPr id="85" name="Freeform: Shape 84">
          <a:extLst>
            <a:ext uri="{FF2B5EF4-FFF2-40B4-BE49-F238E27FC236}">
              <a16:creationId xmlns:a16="http://schemas.microsoft.com/office/drawing/2014/main" id="{688AB5F6-62A4-4B7D-924A-B8B6B0399FB3}"/>
            </a:ext>
          </a:extLst>
        </xdr:cNvPr>
        <xdr:cNvSpPr/>
      </xdr:nvSpPr>
      <xdr:spPr>
        <a:xfrm>
          <a:off x="4251960" y="3863340"/>
          <a:ext cx="68580" cy="464820"/>
        </a:xfrm>
        <a:custGeom>
          <a:avLst/>
          <a:gdLst>
            <a:gd name="connsiteX0" fmla="*/ 244711 w 320911"/>
            <a:gd name="connsiteY0" fmla="*/ 0 h 480060"/>
            <a:gd name="connsiteX1" fmla="*/ 871 w 320911"/>
            <a:gd name="connsiteY1" fmla="*/ 243840 h 480060"/>
            <a:gd name="connsiteX2" fmla="*/ 320911 w 320911"/>
            <a:gd name="connsiteY2" fmla="*/ 480060 h 480060"/>
            <a:gd name="connsiteX3" fmla="*/ 320911 w 320911"/>
            <a:gd name="connsiteY3" fmla="*/ 480060 h 480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20911" h="480060">
              <a:moveTo>
                <a:pt x="244711" y="0"/>
              </a:moveTo>
              <a:cubicBezTo>
                <a:pt x="116441" y="81915"/>
                <a:pt x="-11829" y="163830"/>
                <a:pt x="871" y="243840"/>
              </a:cubicBezTo>
              <a:cubicBezTo>
                <a:pt x="13571" y="323850"/>
                <a:pt x="320911" y="480060"/>
                <a:pt x="320911" y="480060"/>
              </a:cubicBezTo>
              <a:lnTo>
                <a:pt x="320911" y="480060"/>
              </a:lnTo>
            </a:path>
          </a:pathLst>
        </a:cu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274320</xdr:colOff>
      <xdr:row>14</xdr:row>
      <xdr:rowOff>152400</xdr:rowOff>
    </xdr:from>
    <xdr:to>
      <xdr:col>6</xdr:col>
      <xdr:colOff>274320</xdr:colOff>
      <xdr:row>15</xdr:row>
      <xdr:rowOff>38100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B4796A45-BAFA-4AD1-973C-69AAA07DEA07}"/>
            </a:ext>
          </a:extLst>
        </xdr:cNvPr>
        <xdr:cNvCxnSpPr/>
      </xdr:nvCxnSpPr>
      <xdr:spPr>
        <a:xfrm>
          <a:off x="5760720" y="3436620"/>
          <a:ext cx="0" cy="685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6</xdr:row>
      <xdr:rowOff>7620</xdr:rowOff>
    </xdr:from>
    <xdr:to>
      <xdr:col>3</xdr:col>
      <xdr:colOff>205740</xdr:colOff>
      <xdr:row>6</xdr:row>
      <xdr:rowOff>7620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BD2D8EE5-5043-4F68-86B1-F64232E27053}"/>
            </a:ext>
          </a:extLst>
        </xdr:cNvPr>
        <xdr:cNvCxnSpPr/>
      </xdr:nvCxnSpPr>
      <xdr:spPr>
        <a:xfrm>
          <a:off x="3665220" y="1379220"/>
          <a:ext cx="19812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21</xdr:row>
      <xdr:rowOff>0</xdr:rowOff>
    </xdr:from>
    <xdr:to>
      <xdr:col>10</xdr:col>
      <xdr:colOff>167640</xdr:colOff>
      <xdr:row>21</xdr:row>
      <xdr:rowOff>0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34B2832E-5366-4C13-9DB8-39BFB57F7E6D}"/>
            </a:ext>
          </a:extLst>
        </xdr:cNvPr>
        <xdr:cNvCxnSpPr/>
      </xdr:nvCxnSpPr>
      <xdr:spPr>
        <a:xfrm>
          <a:off x="7277100" y="4648200"/>
          <a:ext cx="27432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266700</xdr:colOff>
      <xdr:row>15</xdr:row>
      <xdr:rowOff>137160</xdr:rowOff>
    </xdr:from>
    <xdr:to>
      <xdr:col>6</xdr:col>
      <xdr:colOff>266700</xdr:colOff>
      <xdr:row>16</xdr:row>
      <xdr:rowOff>30480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75F99CE2-DDA9-4871-AB1C-C30352A6E013}"/>
            </a:ext>
          </a:extLst>
        </xdr:cNvPr>
        <xdr:cNvCxnSpPr/>
      </xdr:nvCxnSpPr>
      <xdr:spPr>
        <a:xfrm>
          <a:off x="5753100" y="3611880"/>
          <a:ext cx="0" cy="762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</xdr:colOff>
      <xdr:row>7</xdr:row>
      <xdr:rowOff>182880</xdr:rowOff>
    </xdr:from>
    <xdr:to>
      <xdr:col>10</xdr:col>
      <xdr:colOff>129540</xdr:colOff>
      <xdr:row>10</xdr:row>
      <xdr:rowOff>228600</xdr:rowOff>
    </xdr:to>
    <xdr:sp macro="" textlink="">
      <xdr:nvSpPr>
        <xdr:cNvPr id="101" name="Freeform: Shape 100">
          <a:extLst>
            <a:ext uri="{FF2B5EF4-FFF2-40B4-BE49-F238E27FC236}">
              <a16:creationId xmlns:a16="http://schemas.microsoft.com/office/drawing/2014/main" id="{75F9EE28-1DC0-4EED-BDF8-F1356691013F}"/>
            </a:ext>
          </a:extLst>
        </xdr:cNvPr>
        <xdr:cNvSpPr/>
      </xdr:nvSpPr>
      <xdr:spPr>
        <a:xfrm flipH="1">
          <a:off x="7940040" y="1775460"/>
          <a:ext cx="114300" cy="731520"/>
        </a:xfrm>
        <a:custGeom>
          <a:avLst/>
          <a:gdLst>
            <a:gd name="connsiteX0" fmla="*/ 244711 w 320911"/>
            <a:gd name="connsiteY0" fmla="*/ 0 h 480060"/>
            <a:gd name="connsiteX1" fmla="*/ 871 w 320911"/>
            <a:gd name="connsiteY1" fmla="*/ 243840 h 480060"/>
            <a:gd name="connsiteX2" fmla="*/ 320911 w 320911"/>
            <a:gd name="connsiteY2" fmla="*/ 480060 h 480060"/>
            <a:gd name="connsiteX3" fmla="*/ 320911 w 320911"/>
            <a:gd name="connsiteY3" fmla="*/ 480060 h 480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20911" h="480060">
              <a:moveTo>
                <a:pt x="244711" y="0"/>
              </a:moveTo>
              <a:cubicBezTo>
                <a:pt x="116441" y="81915"/>
                <a:pt x="-11829" y="163830"/>
                <a:pt x="871" y="243840"/>
              </a:cubicBezTo>
              <a:cubicBezTo>
                <a:pt x="13571" y="323850"/>
                <a:pt x="320911" y="480060"/>
                <a:pt x="320911" y="480060"/>
              </a:cubicBezTo>
              <a:lnTo>
                <a:pt x="320911" y="480060"/>
              </a:lnTo>
            </a:path>
          </a:pathLst>
        </a:cu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586740</xdr:colOff>
      <xdr:row>7</xdr:row>
      <xdr:rowOff>182880</xdr:rowOff>
    </xdr:from>
    <xdr:to>
      <xdr:col>10</xdr:col>
      <xdr:colOff>53340</xdr:colOff>
      <xdr:row>7</xdr:row>
      <xdr:rowOff>182880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53B33A97-746E-4162-BA57-9C63CE741AD4}"/>
            </a:ext>
          </a:extLst>
        </xdr:cNvPr>
        <xdr:cNvCxnSpPr/>
      </xdr:nvCxnSpPr>
      <xdr:spPr>
        <a:xfrm>
          <a:off x="3093720" y="1859280"/>
          <a:ext cx="434340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586740</xdr:colOff>
      <xdr:row>8</xdr:row>
      <xdr:rowOff>91440</xdr:rowOff>
    </xdr:from>
    <xdr:to>
      <xdr:col>9</xdr:col>
      <xdr:colOff>525780</xdr:colOff>
      <xdr:row>8</xdr:row>
      <xdr:rowOff>91440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11CC2EF-DD5A-499C-88FE-B98FB28777E4}"/>
            </a:ext>
          </a:extLst>
        </xdr:cNvPr>
        <xdr:cNvCxnSpPr/>
      </xdr:nvCxnSpPr>
      <xdr:spPr>
        <a:xfrm>
          <a:off x="3093720" y="1996440"/>
          <a:ext cx="420624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495300</xdr:colOff>
      <xdr:row>8</xdr:row>
      <xdr:rowOff>91440</xdr:rowOff>
    </xdr:from>
    <xdr:to>
      <xdr:col>9</xdr:col>
      <xdr:colOff>556260</xdr:colOff>
      <xdr:row>10</xdr:row>
      <xdr:rowOff>106680</xdr:rowOff>
    </xdr:to>
    <xdr:sp macro="" textlink="">
      <xdr:nvSpPr>
        <xdr:cNvPr id="116" name="Freeform: Shape 115">
          <a:extLst>
            <a:ext uri="{FF2B5EF4-FFF2-40B4-BE49-F238E27FC236}">
              <a16:creationId xmlns:a16="http://schemas.microsoft.com/office/drawing/2014/main" id="{F4E7264F-708D-4036-8ED0-68226015340C}"/>
            </a:ext>
          </a:extLst>
        </xdr:cNvPr>
        <xdr:cNvSpPr/>
      </xdr:nvSpPr>
      <xdr:spPr>
        <a:xfrm flipH="1">
          <a:off x="7810500" y="1897380"/>
          <a:ext cx="60960" cy="518160"/>
        </a:xfrm>
        <a:custGeom>
          <a:avLst/>
          <a:gdLst>
            <a:gd name="connsiteX0" fmla="*/ 244711 w 320911"/>
            <a:gd name="connsiteY0" fmla="*/ 0 h 480060"/>
            <a:gd name="connsiteX1" fmla="*/ 871 w 320911"/>
            <a:gd name="connsiteY1" fmla="*/ 243840 h 480060"/>
            <a:gd name="connsiteX2" fmla="*/ 320911 w 320911"/>
            <a:gd name="connsiteY2" fmla="*/ 480060 h 480060"/>
            <a:gd name="connsiteX3" fmla="*/ 320911 w 320911"/>
            <a:gd name="connsiteY3" fmla="*/ 480060 h 480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20911" h="480060">
              <a:moveTo>
                <a:pt x="244711" y="0"/>
              </a:moveTo>
              <a:cubicBezTo>
                <a:pt x="116441" y="81915"/>
                <a:pt x="-11829" y="163830"/>
                <a:pt x="871" y="243840"/>
              </a:cubicBezTo>
              <a:cubicBezTo>
                <a:pt x="13571" y="323850"/>
                <a:pt x="320911" y="480060"/>
                <a:pt x="320911" y="480060"/>
              </a:cubicBezTo>
              <a:lnTo>
                <a:pt x="320911" y="480060"/>
              </a:lnTo>
            </a:path>
          </a:pathLst>
        </a:cu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14</xdr:col>
      <xdr:colOff>342900</xdr:colOff>
      <xdr:row>7</xdr:row>
      <xdr:rowOff>60960</xdr:rowOff>
    </xdr:from>
    <xdr:ext cx="4442460" cy="44196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TextBox 116">
              <a:extLst>
                <a:ext uri="{FF2B5EF4-FFF2-40B4-BE49-F238E27FC236}">
                  <a16:creationId xmlns:a16="http://schemas.microsoft.com/office/drawing/2014/main" id="{74C8BB56-CF1C-4206-B55D-EAAAFA8C85A0}"/>
                </a:ext>
              </a:extLst>
            </xdr:cNvPr>
            <xdr:cNvSpPr txBox="1"/>
          </xdr:nvSpPr>
          <xdr:spPr>
            <a:xfrm>
              <a:off x="10271760" y="1737360"/>
              <a:ext cx="4442460" cy="4419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IN" sz="1600" b="0" i="0" u="sng">
                  <a:latin typeface="Cambria Math" panose="02040503050406030204" pitchFamily="18" charset="0"/>
                </a:rPr>
                <a:t>Step-1</a:t>
              </a:r>
              <a:r>
                <a:rPr lang="en-IN" sz="1600" b="0" i="0">
                  <a:latin typeface="Cambria Math" panose="02040503050406030204" pitchFamily="18" charset="0"/>
                </a:rPr>
                <a:t>:-Assume a value of</a:t>
              </a:r>
              <a:r>
                <a:rPr lang="en-IN" sz="1600" b="0" i="0" baseline="0">
                  <a:latin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600" b="0" i="1" baseline="0">
                          <a:latin typeface="Cambria Math" panose="02040503050406030204" pitchFamily="18" charset="0"/>
                        </a:rPr>
                        <m:t>𝑇</m:t>
                      </m:r>
                    </m:e>
                    <m:sub>
                      <m:r>
                        <a:rPr lang="en-IN" sz="1600" b="0" i="1" baseline="0">
                          <a:latin typeface="Cambria Math" panose="02040503050406030204" pitchFamily="18" charset="0"/>
                        </a:rPr>
                        <m:t>𝑜𝑤</m:t>
                      </m:r>
                    </m:sub>
                  </m:sSub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.</a:t>
              </a:r>
            </a:p>
            <a:p>
              <a:r>
                <a:rPr lang="en-IN" sz="1600" b="0" i="0">
                  <a:latin typeface="Cambria Math" panose="02040503050406030204" pitchFamily="18" charset="0"/>
                </a:rPr>
                <a:t>So,  </a:t>
              </a:r>
              <a14:m>
                <m:oMath xmlns:m="http://schemas.openxmlformats.org/officeDocument/2006/math">
                  <m:acc>
                    <m:accPr>
                      <m:chr m:val="̇"/>
                      <m:ctrlPr>
                        <a:rPr lang="en-IN" sz="16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</m:acc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=</a:t>
              </a:r>
              <a14:m>
                <m:oMath xmlns:m="http://schemas.openxmlformats.org/officeDocument/2006/math">
                  <m:acc>
                    <m:accPr>
                      <m:chr m:val="̇"/>
                      <m:ctrlPr>
                        <a:rPr lang="en-IN" sz="16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sSub>
                        <m:sSubPr>
                          <m:ctrlPr>
                            <a:rPr lang="en-IN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IN" sz="1600" b="0" i="1">
                              <a:latin typeface="Cambria Math" panose="02040503050406030204" pitchFamily="18" charset="0"/>
                            </a:rPr>
                            <m:t>𝑚</m:t>
                          </m:r>
                        </m:e>
                        <m:sub>
                          <m:r>
                            <a:rPr lang="en-IN" sz="1600" b="0" i="1">
                              <a:latin typeface="Cambria Math" panose="02040503050406030204" pitchFamily="18" charset="0"/>
                            </a:rPr>
                            <m:t>𝑤</m:t>
                          </m:r>
                        </m:sub>
                      </m:sSub>
                    </m:e>
                  </m:acc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𝐶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𝑝𝑤</m:t>
                      </m:r>
                    </m:sub>
                  </m:sSub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*(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𝑇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𝑤𝑜</m:t>
                      </m:r>
                    </m:sub>
                  </m:sSub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𝑇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𝑤𝑖</m:t>
                      </m:r>
                    </m:sub>
                  </m:sSub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)=</a:t>
              </a:r>
            </a:p>
            <a:p>
              <a:endParaRPr lang="en-IN" sz="1600" b="0" i="0">
                <a:latin typeface="Cambria Math" panose="02040503050406030204" pitchFamily="18" charset="0"/>
              </a:endParaRPr>
            </a:p>
            <a:p>
              <a:r>
                <a:rPr lang="en-IN" sz="1600" b="0" i="0" u="sng">
                  <a:latin typeface="Times New Roman" panose="02020603050405020304" pitchFamily="18" charset="0"/>
                  <a:cs typeface="Times New Roman" panose="02020603050405020304" pitchFamily="18" charset="0"/>
                </a:rPr>
                <a:t>Step-2</a:t>
              </a:r>
              <a:r>
                <a:rPr lang="en-IN" sz="1600" b="0" i="0">
                  <a:latin typeface="Cambria Math" panose="02040503050406030204" pitchFamily="18" charset="0"/>
                </a:rPr>
                <a:t>:-</a:t>
              </a:r>
            </a:p>
            <a:p>
              <a:r>
                <a:rPr lang="en-IN" sz="1600" b="0" i="0">
                  <a:latin typeface="Cambria Math" panose="02040503050406030204" pitchFamily="18" charset="0"/>
                </a:rPr>
                <a:t>	</a:t>
              </a:r>
              <a14:m>
                <m:oMath xmlns:m="http://schemas.openxmlformats.org/officeDocument/2006/math">
                  <m:acc>
                    <m:accPr>
                      <m:chr m:val="̇"/>
                      <m:ctrlPr>
                        <a:rPr lang="en-IN" sz="16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r>
                        <a:rPr lang="en-IN" sz="16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</m:acc>
                </m:oMath>
              </a14:m>
              <a:r>
                <a:rPr lang="en-IN" sz="1600" b="0" i="0">
                  <a:latin typeface="Cambria Math" panose="02040503050406030204" pitchFamily="18" charset="0"/>
                </a:rPr>
                <a:t>=</a:t>
              </a:r>
              <a14:m>
                <m:oMath xmlns:m="http://schemas.openxmlformats.org/officeDocument/2006/math">
                  <m:acc>
                    <m:accPr>
                      <m:chr m:val="̇"/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sSub>
                        <m:sSubPr>
                          <m:ctrlPr>
                            <a:rPr lang="en-IN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IN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e>
                        <m:sub>
                          <m:r>
                            <a:rPr lang="en-IN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𝑜</m:t>
                          </m:r>
                        </m:sub>
                      </m:sSub>
                    </m:e>
                  </m:acc>
                </m:oMath>
              </a14:m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𝐶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𝑝𝑜</m:t>
                      </m:r>
                    </m:sub>
                  </m:sSub>
                </m:oMath>
              </a14:m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*(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𝑇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𝑜𝑖</m:t>
                      </m:r>
                    </m:sub>
                  </m:sSub>
                </m:oMath>
              </a14:m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𝑇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𝑜𝑜</m:t>
                      </m:r>
                    </m:sub>
                  </m:sSub>
                </m:oMath>
              </a14:m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</a:t>
              </a:r>
            </a:p>
            <a:p>
              <a:endParaRPr lang="en-IN" sz="16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So,  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𝑜𝑜</m:t>
                      </m:r>
                    </m:sub>
                  </m:sSub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𝑜𝑖</m:t>
                      </m:r>
                    </m:sub>
                  </m:sSub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-</a:t>
              </a:r>
              <a14:m>
                <m:oMath xmlns:m="http://schemas.openxmlformats.org/officeDocument/2006/math">
                  <m:acc>
                    <m:accPr>
                      <m:chr m:val="̇"/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𝑄</m:t>
                      </m:r>
                    </m:e>
                  </m:acc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𝑝𝑜</m:t>
                      </m:r>
                    </m:sub>
                  </m:sSub>
                  <m:acc>
                    <m:accPr>
                      <m:chr m:val="̇"/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∗</m:t>
                      </m:r>
                      <m:sSub>
                        <m:sSubPr>
                          <m:ctrlPr>
                            <a:rPr lang="en-IN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IN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e>
                        <m:sub>
                          <m:r>
                            <a:rPr lang="en-IN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𝑜</m:t>
                          </m:r>
                        </m:sub>
                      </m:sSub>
                    </m:e>
                  </m:acc>
                </m:oMath>
              </a14:m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</a:p>
            <a:p>
              <a:endParaRPr lang="en-IN" sz="16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0" i="0" u="sng">
                  <a:latin typeface="Times New Roman" panose="02020603050405020304" pitchFamily="18" charset="0"/>
                  <a:cs typeface="Times New Roman" panose="02020603050405020304" pitchFamily="18" charset="0"/>
                </a:rPr>
                <a:t>Step-3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:-</a:t>
              </a: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𝑜𝑜</m:t>
                      </m:r>
                    </m:sub>
                  </m:sSub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𝑜𝑤</m:t>
                      </m:r>
                    </m:sub>
                  </m:sSub>
                </m:oMath>
              </a14:m>
              <a:r>
                <a:rPr lang="en-IN" sz="1600" b="0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𝑖𝑜</m:t>
                      </m:r>
                    </m:sub>
                  </m:sSub>
                </m:oMath>
              </a14:m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𝑖𝑤</m:t>
                      </m:r>
                    </m:sub>
                  </m:sSub>
                </m:oMath>
              </a14:m>
              <a:r>
                <a:rPr lang="en-IN" sz="1800" b="0" i="1">
                  <a:latin typeface="Cambria Math" panose="02040503050406030204" pitchFamily="18" charset="0"/>
                </a:rPr>
                <a:t>=</a:t>
              </a: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𝐿𝑀𝑇𝐷</m:t>
                      </m:r>
                    </m:sub>
                  </m:sSub>
                </m:oMath>
              </a14:m>
              <a:r>
                <a:rPr lang="en-IN" sz="1600" b="0" i="1">
                  <a:latin typeface="Cambria Math" panose="02040503050406030204" pitchFamily="18" charset="0"/>
                </a:rPr>
                <a:t>=(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lang="en-IN" sz="1600" b="0" i="1">
                  <a:latin typeface="Cambria Math" panose="02040503050406030204" pitchFamily="18" charset="0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</m:oMath>
              </a14:m>
              <a:r>
                <a:rPr lang="en-IN" sz="1600" b="0" i="1">
                  <a:latin typeface="Cambria Math" panose="02040503050406030204" pitchFamily="18" charset="0"/>
                </a:rPr>
                <a:t>)/ln(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lang="en-IN" sz="1600" b="0" i="1">
                  <a:latin typeface="Cambria Math" panose="02040503050406030204" pitchFamily="18" charset="0"/>
                </a:rPr>
                <a:t>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l-G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𝛥</m:t>
                      </m:r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  <m:sub>
                      <m:r>
                        <a:rPr lang="en-IN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</m:oMath>
              </a14:m>
              <a:r>
                <a:rPr lang="en-IN" sz="1600" b="0" i="1">
                  <a:latin typeface="Cambria Math" panose="02040503050406030204" pitchFamily="18" charset="0"/>
                </a:rPr>
                <a:t>)=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IN" sz="16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As=n*</a:t>
              </a:r>
              <a:r>
                <a:rPr lang="el-GR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Π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*d*L=</a:t>
              </a:r>
              <a:endParaRPr lang="en-IN" sz="16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endParaRPr lang="en-IN" sz="1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0" u="sng">
                  <a:latin typeface="Times New Roman" panose="02020603050405020304" pitchFamily="18" charset="0"/>
                  <a:cs typeface="Times New Roman" panose="02020603050405020304" pitchFamily="18" charset="0"/>
                </a:rPr>
                <a:t>Step-4</a:t>
              </a:r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:-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𝑄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𝐻𝑋</m:t>
                      </m:r>
                    </m:sub>
                  </m:sSub>
                </m:oMath>
              </a14:m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=U*As*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l-GR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Δ</m:t>
                      </m:r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𝑇</m:t>
                      </m:r>
                    </m:e>
                    <m:sub>
                      <m:r>
                        <a:rPr lang="en-IN" sz="1600" b="0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𝐿𝑀𝑇𝐷</m:t>
                      </m:r>
                    </m:sub>
                  </m:sSub>
                </m:oMath>
              </a14:m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</a:p>
            <a:p>
              <a:r>
                <a:rPr lang="en-IN" sz="16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	   </a:t>
              </a:r>
            </a:p>
            <a:p>
              <a:r>
                <a:rPr lang="el-GR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Δ</a:t>
              </a:r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Q(should be close to zero)=</a:t>
              </a:r>
            </a:p>
            <a:p>
              <a:endParaRPr lang="en-IN" sz="1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17" name="TextBox 116">
              <a:extLst>
                <a:ext uri="{FF2B5EF4-FFF2-40B4-BE49-F238E27FC236}">
                  <a16:creationId xmlns:a16="http://schemas.microsoft.com/office/drawing/2014/main" id="{74C8BB56-CF1C-4206-B55D-EAAAFA8C85A0}"/>
                </a:ext>
              </a:extLst>
            </xdr:cNvPr>
            <xdr:cNvSpPr txBox="1"/>
          </xdr:nvSpPr>
          <xdr:spPr>
            <a:xfrm>
              <a:off x="10271760" y="1737360"/>
              <a:ext cx="4442460" cy="4419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IN" sz="1600" b="0" i="0" u="sng">
                  <a:latin typeface="Cambria Math" panose="02040503050406030204" pitchFamily="18" charset="0"/>
                </a:rPr>
                <a:t>Step-1</a:t>
              </a:r>
              <a:r>
                <a:rPr lang="en-IN" sz="1600" b="0" i="0">
                  <a:latin typeface="Cambria Math" panose="02040503050406030204" pitchFamily="18" charset="0"/>
                </a:rPr>
                <a:t>:-Assume a value of</a:t>
              </a:r>
              <a:r>
                <a:rPr lang="en-IN" sz="1600" b="0" i="0" baseline="0">
                  <a:latin typeface="Cambria Math" panose="02040503050406030204" pitchFamily="18" charset="0"/>
                </a:rPr>
                <a:t> 𝑇_𝑜𝑤</a:t>
              </a:r>
              <a:r>
                <a:rPr lang="en-IN" sz="1600" b="0" i="0">
                  <a:latin typeface="Cambria Math" panose="02040503050406030204" pitchFamily="18" charset="0"/>
                </a:rPr>
                <a:t>.</a:t>
              </a:r>
            </a:p>
            <a:p>
              <a:r>
                <a:rPr lang="en-IN" sz="1600" b="0" i="0">
                  <a:latin typeface="Cambria Math" panose="02040503050406030204" pitchFamily="18" charset="0"/>
                </a:rPr>
                <a:t>So,  𝑄 ̇=(𝑚_𝑤 ) ̇*𝐶_𝑝𝑤*(𝑇_𝑤𝑜-𝑇_𝑤𝑖)=</a:t>
              </a:r>
            </a:p>
            <a:p>
              <a:endParaRPr lang="en-IN" sz="1600" b="0" i="0">
                <a:latin typeface="Cambria Math" panose="02040503050406030204" pitchFamily="18" charset="0"/>
              </a:endParaRPr>
            </a:p>
            <a:p>
              <a:r>
                <a:rPr lang="en-IN" sz="1600" b="0" i="0" u="sng">
                  <a:latin typeface="Times New Roman" panose="02020603050405020304" pitchFamily="18" charset="0"/>
                  <a:cs typeface="Times New Roman" panose="02020603050405020304" pitchFamily="18" charset="0"/>
                </a:rPr>
                <a:t>Step-2</a:t>
              </a:r>
              <a:r>
                <a:rPr lang="en-IN" sz="1600" b="0" i="0">
                  <a:latin typeface="Cambria Math" panose="02040503050406030204" pitchFamily="18" charset="0"/>
                </a:rPr>
                <a:t>:-</a:t>
              </a:r>
            </a:p>
            <a:p>
              <a:r>
                <a:rPr lang="en-IN" sz="1600" b="0" i="0">
                  <a:latin typeface="Cambria Math" panose="02040503050406030204" pitchFamily="18" charset="0"/>
                </a:rPr>
                <a:t>	𝑄 ̇=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(𝑚_𝑜 ) ̇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:r>
                <a:rPr lang="en-IN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𝐶_𝑝𝑜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*(</a:t>
              </a:r>
              <a:r>
                <a:rPr lang="en-IN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𝑇_𝑜𝑖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-</a:t>
              </a:r>
              <a:r>
                <a:rPr lang="en-IN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𝑇_𝑜𝑜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</a:t>
              </a:r>
            </a:p>
            <a:p>
              <a:endParaRPr lang="en-IN" sz="16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So,   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𝑇_𝑜𝑜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𝑇_𝑜𝑖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-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𝑄 ̇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/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𝐶_𝑝𝑜 (∗𝑚_𝑜 ) ̇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</a:p>
            <a:p>
              <a:endParaRPr lang="en-IN" sz="1600" b="0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0" i="0" u="sng">
                  <a:latin typeface="Times New Roman" panose="02020603050405020304" pitchFamily="18" charset="0"/>
                  <a:cs typeface="Times New Roman" panose="02020603050405020304" pitchFamily="18" charset="0"/>
                </a:rPr>
                <a:t>Step-3</a:t>
              </a:r>
              <a:r>
                <a:rPr lang="en-IN" sz="1600" b="0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:-</a:t>
              </a:r>
            </a:p>
            <a:p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𝑇〗_2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𝑇_𝑜𝑜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-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𝑇_𝑜𝑤</a:t>
              </a:r>
              <a:r>
                <a:rPr lang="en-IN" sz="1600" b="0" i="1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</a:p>
            <a:p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𝑇〗_1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𝑇_𝑖𝑜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-</a:t>
              </a:r>
              <a:r>
                <a:rPr lang="en-IN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𝑇_𝑖𝑤</a:t>
              </a:r>
              <a:r>
                <a:rPr lang="en-IN" sz="1800" b="0" i="1">
                  <a:latin typeface="Cambria Math" panose="02040503050406030204" pitchFamily="18" charset="0"/>
                </a:rPr>
                <a:t>=</a:t>
              </a:r>
            </a:p>
            <a:p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𝑇〗_𝐿𝑀𝑇𝐷</a:t>
              </a:r>
              <a:r>
                <a:rPr lang="en-IN" sz="1600" b="0" i="1">
                  <a:latin typeface="Cambria Math" panose="02040503050406030204" pitchFamily="18" charset="0"/>
                </a:rPr>
                <a:t>=(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𝑇〗_1</a:t>
              </a:r>
              <a:r>
                <a:rPr lang="en-IN" sz="1600" b="0" i="1">
                  <a:latin typeface="Cambria Math" panose="02040503050406030204" pitchFamily="18" charset="0"/>
                </a:rPr>
                <a:t>-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𝑇〗_2</a:t>
              </a:r>
              <a:r>
                <a:rPr lang="en-IN" sz="1600" b="0" i="1">
                  <a:latin typeface="Cambria Math" panose="02040503050406030204" pitchFamily="18" charset="0"/>
                </a:rPr>
                <a:t>)/ln(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𝑇〗_1</a:t>
              </a:r>
              <a:r>
                <a:rPr lang="en-IN" sz="1600" b="0" i="1">
                  <a:latin typeface="Cambria Math" panose="02040503050406030204" pitchFamily="18" charset="0"/>
                </a:rPr>
                <a:t>/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𝛥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𝑇〗_2</a:t>
              </a:r>
              <a:r>
                <a:rPr lang="en-IN" sz="1600" b="0" i="1">
                  <a:latin typeface="Cambria Math" panose="02040503050406030204" pitchFamily="18" charset="0"/>
                </a:rPr>
                <a:t>)=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IN" sz="16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As=n*</a:t>
              </a:r>
              <a:r>
                <a:rPr lang="el-GR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Π</a:t>
              </a:r>
              <a:r>
                <a:rPr lang="en-IN" sz="1400" b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*d*L=</a:t>
              </a:r>
              <a:endParaRPr lang="en-IN" sz="16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endParaRPr lang="en-IN" sz="1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0" u="sng">
                  <a:latin typeface="Times New Roman" panose="02020603050405020304" pitchFamily="18" charset="0"/>
                  <a:cs typeface="Times New Roman" panose="02020603050405020304" pitchFamily="18" charset="0"/>
                </a:rPr>
                <a:t>Step-4</a:t>
              </a:r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:-</a:t>
              </a:r>
              <a:r>
                <a:rPr lang="en-IN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𝑄_𝐻𝑋</a:t>
              </a:r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=U*As*</a:t>
              </a:r>
              <a:r>
                <a:rPr lang="en-IN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l-GR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Δ</a:t>
              </a:r>
              <a:r>
                <a:rPr lang="en-IN" sz="16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𝑇〗_𝐿𝑀𝑇𝐷</a:t>
              </a:r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</a:p>
            <a:p>
              <a:r>
                <a:rPr lang="en-IN" sz="16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	   </a:t>
              </a:r>
            </a:p>
            <a:p>
              <a:r>
                <a:rPr lang="el-GR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Δ</a:t>
              </a:r>
              <a:r>
                <a:rPr lang="en-IN" sz="16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Q(should be close to zero)=</a:t>
              </a:r>
            </a:p>
            <a:p>
              <a:endParaRPr lang="en-IN" sz="1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twoCellAnchor>
    <xdr:from>
      <xdr:col>13</xdr:col>
      <xdr:colOff>434340</xdr:colOff>
      <xdr:row>4</xdr:row>
      <xdr:rowOff>167640</xdr:rowOff>
    </xdr:from>
    <xdr:to>
      <xdr:col>17</xdr:col>
      <xdr:colOff>57823</xdr:colOff>
      <xdr:row>6</xdr:row>
      <xdr:rowOff>144332</xdr:rowOff>
    </xdr:to>
    <xdr:sp macro="" textlink="">
      <xdr:nvSpPr>
        <xdr:cNvPr id="118" name="Text Box 24">
          <a:extLst>
            <a:ext uri="{FF2B5EF4-FFF2-40B4-BE49-F238E27FC236}">
              <a16:creationId xmlns:a16="http://schemas.microsoft.com/office/drawing/2014/main" id="{DF0C726E-4FC1-45C0-9195-EC1144D8AA63}"/>
            </a:ext>
          </a:extLst>
        </xdr:cNvPr>
        <xdr:cNvSpPr txBox="1">
          <a:spLocks noChangeArrowheads="1"/>
        </xdr:cNvSpPr>
      </xdr:nvSpPr>
      <xdr:spPr bwMode="auto">
        <a:xfrm>
          <a:off x="10187940" y="1112520"/>
          <a:ext cx="2061883" cy="403412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20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PROCEDURE</a:t>
          </a:r>
          <a:endParaRPr lang="en-US" sz="20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7620</xdr:colOff>
      <xdr:row>6</xdr:row>
      <xdr:rowOff>15240</xdr:rowOff>
    </xdr:from>
    <xdr:to>
      <xdr:col>3</xdr:col>
      <xdr:colOff>7620</xdr:colOff>
      <xdr:row>21</xdr:row>
      <xdr:rowOff>7620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DFF0AADE-CD49-4827-A5AA-17275A3E3B22}"/>
            </a:ext>
          </a:extLst>
        </xdr:cNvPr>
        <xdr:cNvCxnSpPr/>
      </xdr:nvCxnSpPr>
      <xdr:spPr>
        <a:xfrm flipV="1">
          <a:off x="3124200" y="1508760"/>
          <a:ext cx="0" cy="31470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160020</xdr:colOff>
      <xdr:row>6</xdr:row>
      <xdr:rowOff>15240</xdr:rowOff>
    </xdr:from>
    <xdr:to>
      <xdr:col>10</xdr:col>
      <xdr:colOff>160020</xdr:colOff>
      <xdr:row>21</xdr:row>
      <xdr:rowOff>7620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1F37E14D-FB02-4016-8C36-C09E95AE7083}"/>
            </a:ext>
          </a:extLst>
        </xdr:cNvPr>
        <xdr:cNvCxnSpPr/>
      </xdr:nvCxnSpPr>
      <xdr:spPr>
        <a:xfrm flipV="1">
          <a:off x="7543800" y="1508760"/>
          <a:ext cx="0" cy="31470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190500</xdr:colOff>
      <xdr:row>4</xdr:row>
      <xdr:rowOff>99060</xdr:rowOff>
    </xdr:from>
    <xdr:to>
      <xdr:col>3</xdr:col>
      <xdr:colOff>441960</xdr:colOff>
      <xdr:row>4</xdr:row>
      <xdr:rowOff>144779</xdr:rowOff>
    </xdr:to>
    <xdr:sp macro="" textlink="">
      <xdr:nvSpPr>
        <xdr:cNvPr id="205" name="Oval 204">
          <a:extLst>
            <a:ext uri="{FF2B5EF4-FFF2-40B4-BE49-F238E27FC236}">
              <a16:creationId xmlns:a16="http://schemas.microsoft.com/office/drawing/2014/main" id="{A8A67D65-DC76-433D-B848-0DE95FBF2F59}"/>
            </a:ext>
          </a:extLst>
        </xdr:cNvPr>
        <xdr:cNvSpPr/>
      </xdr:nvSpPr>
      <xdr:spPr>
        <a:xfrm>
          <a:off x="3307080" y="1082040"/>
          <a:ext cx="251460" cy="45719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320040</xdr:colOff>
      <xdr:row>22</xdr:row>
      <xdr:rowOff>167640</xdr:rowOff>
    </xdr:from>
    <xdr:to>
      <xdr:col>9</xdr:col>
      <xdr:colOff>510540</xdr:colOff>
      <xdr:row>23</xdr:row>
      <xdr:rowOff>15239</xdr:rowOff>
    </xdr:to>
    <xdr:sp macro="" textlink="">
      <xdr:nvSpPr>
        <xdr:cNvPr id="206" name="Oval 205">
          <a:extLst>
            <a:ext uri="{FF2B5EF4-FFF2-40B4-BE49-F238E27FC236}">
              <a16:creationId xmlns:a16="http://schemas.microsoft.com/office/drawing/2014/main" id="{665EFF99-0720-47D3-A773-1D247ED22054}"/>
            </a:ext>
          </a:extLst>
        </xdr:cNvPr>
        <xdr:cNvSpPr/>
      </xdr:nvSpPr>
      <xdr:spPr>
        <a:xfrm>
          <a:off x="7094220" y="4998720"/>
          <a:ext cx="190500" cy="45719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464820</xdr:colOff>
      <xdr:row>8</xdr:row>
      <xdr:rowOff>15240</xdr:rowOff>
    </xdr:from>
    <xdr:to>
      <xdr:col>10</xdr:col>
      <xdr:colOff>45720</xdr:colOff>
      <xdr:row>8</xdr:row>
      <xdr:rowOff>22860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E87B9F96-DF1A-4E6D-ABD2-A4AF51667047}"/>
            </a:ext>
          </a:extLst>
        </xdr:cNvPr>
        <xdr:cNvCxnSpPr/>
      </xdr:nvCxnSpPr>
      <xdr:spPr>
        <a:xfrm>
          <a:off x="3581400" y="192024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464820</xdr:colOff>
      <xdr:row>8</xdr:row>
      <xdr:rowOff>0</xdr:rowOff>
    </xdr:from>
    <xdr:to>
      <xdr:col>10</xdr:col>
      <xdr:colOff>45720</xdr:colOff>
      <xdr:row>8</xdr:row>
      <xdr:rowOff>7620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52C03ABE-241D-49E0-A547-4DF74A2403FB}"/>
            </a:ext>
          </a:extLst>
        </xdr:cNvPr>
        <xdr:cNvCxnSpPr/>
      </xdr:nvCxnSpPr>
      <xdr:spPr>
        <a:xfrm>
          <a:off x="3581400" y="190500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7</xdr:row>
      <xdr:rowOff>213360</xdr:rowOff>
    </xdr:from>
    <xdr:to>
      <xdr:col>10</xdr:col>
      <xdr:colOff>30480</xdr:colOff>
      <xdr:row>7</xdr:row>
      <xdr:rowOff>220980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E8A79416-2A8F-49FC-838F-A35F6CC579A4}"/>
            </a:ext>
          </a:extLst>
        </xdr:cNvPr>
        <xdr:cNvCxnSpPr/>
      </xdr:nvCxnSpPr>
      <xdr:spPr>
        <a:xfrm>
          <a:off x="3566160" y="188976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7</xdr:row>
      <xdr:rowOff>198120</xdr:rowOff>
    </xdr:from>
    <xdr:to>
      <xdr:col>10</xdr:col>
      <xdr:colOff>38100</xdr:colOff>
      <xdr:row>7</xdr:row>
      <xdr:rowOff>205740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11DF8451-909D-4D38-9933-B59699B47F91}"/>
            </a:ext>
          </a:extLst>
        </xdr:cNvPr>
        <xdr:cNvCxnSpPr/>
      </xdr:nvCxnSpPr>
      <xdr:spPr>
        <a:xfrm>
          <a:off x="3573780" y="187452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38100</xdr:colOff>
      <xdr:row>7</xdr:row>
      <xdr:rowOff>198120</xdr:rowOff>
    </xdr:from>
    <xdr:to>
      <xdr:col>10</xdr:col>
      <xdr:colOff>53340</xdr:colOff>
      <xdr:row>8</xdr:row>
      <xdr:rowOff>19050</xdr:rowOff>
    </xdr:to>
    <xdr:cxnSp macro="">
      <xdr:nvCxnSpPr>
        <xdr:cNvPr id="211" name="Straight Connector 210">
          <a:extLst>
            <a:ext uri="{FF2B5EF4-FFF2-40B4-BE49-F238E27FC236}">
              <a16:creationId xmlns:a16="http://schemas.microsoft.com/office/drawing/2014/main" id="{BEBEDB9A-6AB4-47B7-955A-8163BDAB4EB1}"/>
            </a:ext>
          </a:extLst>
        </xdr:cNvPr>
        <xdr:cNvCxnSpPr>
          <a:stCxn id="269" idx="1"/>
        </xdr:cNvCxnSpPr>
      </xdr:nvCxnSpPr>
      <xdr:spPr>
        <a:xfrm flipV="1">
          <a:off x="3154680" y="1874520"/>
          <a:ext cx="4282440" cy="4953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480060</xdr:colOff>
      <xdr:row>8</xdr:row>
      <xdr:rowOff>22860</xdr:rowOff>
    </xdr:from>
    <xdr:to>
      <xdr:col>10</xdr:col>
      <xdr:colOff>60960</xdr:colOff>
      <xdr:row>8</xdr:row>
      <xdr:rowOff>30480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261B4786-07BE-4694-B6DF-52CBBBE231CC}"/>
            </a:ext>
          </a:extLst>
        </xdr:cNvPr>
        <xdr:cNvCxnSpPr/>
      </xdr:nvCxnSpPr>
      <xdr:spPr>
        <a:xfrm>
          <a:off x="3596640" y="192786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472440</xdr:colOff>
      <xdr:row>8</xdr:row>
      <xdr:rowOff>38100</xdr:rowOff>
    </xdr:from>
    <xdr:to>
      <xdr:col>10</xdr:col>
      <xdr:colOff>53340</xdr:colOff>
      <xdr:row>8</xdr:row>
      <xdr:rowOff>45720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1160DE85-348C-49C2-A4EC-73209D8B494E}"/>
            </a:ext>
          </a:extLst>
        </xdr:cNvPr>
        <xdr:cNvCxnSpPr/>
      </xdr:nvCxnSpPr>
      <xdr:spPr>
        <a:xfrm>
          <a:off x="3589020" y="194310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472440</xdr:colOff>
      <xdr:row>8</xdr:row>
      <xdr:rowOff>53340</xdr:rowOff>
    </xdr:from>
    <xdr:to>
      <xdr:col>10</xdr:col>
      <xdr:colOff>53340</xdr:colOff>
      <xdr:row>8</xdr:row>
      <xdr:rowOff>60960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A2DE3B4E-2400-4058-92E9-F4CA687F02B6}"/>
            </a:ext>
          </a:extLst>
        </xdr:cNvPr>
        <xdr:cNvCxnSpPr/>
      </xdr:nvCxnSpPr>
      <xdr:spPr>
        <a:xfrm>
          <a:off x="3589020" y="1958340"/>
          <a:ext cx="3848100" cy="762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38100</xdr:colOff>
      <xdr:row>8</xdr:row>
      <xdr:rowOff>19050</xdr:rowOff>
    </xdr:from>
    <xdr:to>
      <xdr:col>10</xdr:col>
      <xdr:colOff>53340</xdr:colOff>
      <xdr:row>8</xdr:row>
      <xdr:rowOff>76200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23429D26-6C7B-4288-BDC4-C5D8C38DB2BD}"/>
            </a:ext>
          </a:extLst>
        </xdr:cNvPr>
        <xdr:cNvCxnSpPr>
          <a:stCxn id="269" idx="1"/>
        </xdr:cNvCxnSpPr>
      </xdr:nvCxnSpPr>
      <xdr:spPr>
        <a:xfrm>
          <a:off x="3154680" y="1924050"/>
          <a:ext cx="4282440" cy="57150"/>
        </a:xfrm>
        <a:prstGeom prst="line">
          <a:avLst/>
        </a:prstGeom>
        <a:ln>
          <a:solidFill>
            <a:srgbClr val="FFFF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541020</xdr:colOff>
      <xdr:row>8</xdr:row>
      <xdr:rowOff>83820</xdr:rowOff>
    </xdr:from>
    <xdr:to>
      <xdr:col>10</xdr:col>
      <xdr:colOff>68580</xdr:colOff>
      <xdr:row>8</xdr:row>
      <xdr:rowOff>160020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CCD7D597-925F-4935-8448-9CB54C44EF40}"/>
            </a:ext>
          </a:extLst>
        </xdr:cNvPr>
        <xdr:cNvSpPr/>
      </xdr:nvSpPr>
      <xdr:spPr>
        <a:xfrm>
          <a:off x="7315200" y="1988820"/>
          <a:ext cx="137160" cy="7620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563880</xdr:colOff>
      <xdr:row>8</xdr:row>
      <xdr:rowOff>175260</xdr:rowOff>
    </xdr:from>
    <xdr:to>
      <xdr:col>10</xdr:col>
      <xdr:colOff>91440</xdr:colOff>
      <xdr:row>8</xdr:row>
      <xdr:rowOff>251460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4C2B5DA0-18CD-44B0-84F6-4BF33FA67512}"/>
            </a:ext>
          </a:extLst>
        </xdr:cNvPr>
        <xdr:cNvSpPr/>
      </xdr:nvSpPr>
      <xdr:spPr>
        <a:xfrm>
          <a:off x="7338060" y="2080260"/>
          <a:ext cx="137160" cy="7620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579120</xdr:colOff>
      <xdr:row>9</xdr:row>
      <xdr:rowOff>7620</xdr:rowOff>
    </xdr:from>
    <xdr:to>
      <xdr:col>10</xdr:col>
      <xdr:colOff>106680</xdr:colOff>
      <xdr:row>9</xdr:row>
      <xdr:rowOff>83820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62D3587D-45D5-4EAC-ACFC-41D12459978F}"/>
            </a:ext>
          </a:extLst>
        </xdr:cNvPr>
        <xdr:cNvSpPr/>
      </xdr:nvSpPr>
      <xdr:spPr>
        <a:xfrm>
          <a:off x="7353300" y="2171700"/>
          <a:ext cx="137160" cy="7620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571500</xdr:colOff>
      <xdr:row>9</xdr:row>
      <xdr:rowOff>99060</xdr:rowOff>
    </xdr:from>
    <xdr:to>
      <xdr:col>10</xdr:col>
      <xdr:colOff>99060</xdr:colOff>
      <xdr:row>9</xdr:row>
      <xdr:rowOff>175260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7DE4B7E1-4E26-4C16-858E-562306C65E5F}"/>
            </a:ext>
          </a:extLst>
        </xdr:cNvPr>
        <xdr:cNvSpPr/>
      </xdr:nvSpPr>
      <xdr:spPr>
        <a:xfrm>
          <a:off x="7345680" y="2263140"/>
          <a:ext cx="137160" cy="7620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556260</xdr:colOff>
      <xdr:row>9</xdr:row>
      <xdr:rowOff>182880</xdr:rowOff>
    </xdr:from>
    <xdr:to>
      <xdr:col>10</xdr:col>
      <xdr:colOff>45720</xdr:colOff>
      <xdr:row>10</xdr:row>
      <xdr:rowOff>7620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1379FD-D105-49EC-B384-BE18562C3C8B}"/>
            </a:ext>
          </a:extLst>
        </xdr:cNvPr>
        <xdr:cNvSpPr/>
      </xdr:nvSpPr>
      <xdr:spPr>
        <a:xfrm>
          <a:off x="7330440" y="234696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586740</xdr:colOff>
      <xdr:row>9</xdr:row>
      <xdr:rowOff>175260</xdr:rowOff>
    </xdr:from>
    <xdr:to>
      <xdr:col>10</xdr:col>
      <xdr:colOff>76200</xdr:colOff>
      <xdr:row>10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465F5B2E-730A-4B20-8F9F-E4AC96FBC956}"/>
            </a:ext>
          </a:extLst>
        </xdr:cNvPr>
        <xdr:cNvSpPr/>
      </xdr:nvSpPr>
      <xdr:spPr>
        <a:xfrm>
          <a:off x="7360920" y="233934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541020</xdr:colOff>
      <xdr:row>10</xdr:row>
      <xdr:rowOff>22860</xdr:rowOff>
    </xdr:from>
    <xdr:to>
      <xdr:col>10</xdr:col>
      <xdr:colOff>30480</xdr:colOff>
      <xdr:row>10</xdr:row>
      <xdr:rowOff>83820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8CFA84E3-5567-4BCC-B8FB-7DFD3B7DFA7F}"/>
            </a:ext>
          </a:extLst>
        </xdr:cNvPr>
        <xdr:cNvSpPr/>
      </xdr:nvSpPr>
      <xdr:spPr>
        <a:xfrm>
          <a:off x="7315200" y="242316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571500</xdr:colOff>
      <xdr:row>10</xdr:row>
      <xdr:rowOff>0</xdr:rowOff>
    </xdr:from>
    <xdr:to>
      <xdr:col>10</xdr:col>
      <xdr:colOff>60960</xdr:colOff>
      <xdr:row>10</xdr:row>
      <xdr:rowOff>60960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4AA2F88F-B436-4035-90F3-303D62413F80}"/>
            </a:ext>
          </a:extLst>
        </xdr:cNvPr>
        <xdr:cNvSpPr/>
      </xdr:nvSpPr>
      <xdr:spPr>
        <a:xfrm>
          <a:off x="7345680" y="240030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525780</xdr:colOff>
      <xdr:row>10</xdr:row>
      <xdr:rowOff>60960</xdr:rowOff>
    </xdr:from>
    <xdr:to>
      <xdr:col>10</xdr:col>
      <xdr:colOff>15240</xdr:colOff>
      <xdr:row>10</xdr:row>
      <xdr:rowOff>121920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3080A9EB-811C-45A5-BF7B-99A9F2557ADC}"/>
            </a:ext>
          </a:extLst>
        </xdr:cNvPr>
        <xdr:cNvSpPr/>
      </xdr:nvSpPr>
      <xdr:spPr>
        <a:xfrm>
          <a:off x="7299960" y="246126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548640</xdr:colOff>
      <xdr:row>10</xdr:row>
      <xdr:rowOff>68580</xdr:rowOff>
    </xdr:from>
    <xdr:to>
      <xdr:col>10</xdr:col>
      <xdr:colOff>38100</xdr:colOff>
      <xdr:row>10</xdr:row>
      <xdr:rowOff>129540</xdr:rowOff>
    </xdr:to>
    <xdr:sp macro="" textlink="">
      <xdr:nvSpPr>
        <xdr:cNvPr id="225" name="Rectangle 224">
          <a:extLst>
            <a:ext uri="{FF2B5EF4-FFF2-40B4-BE49-F238E27FC236}">
              <a16:creationId xmlns:a16="http://schemas.microsoft.com/office/drawing/2014/main" id="{461AD261-2B24-420B-9BAA-84DBDD2503A0}"/>
            </a:ext>
          </a:extLst>
        </xdr:cNvPr>
        <xdr:cNvSpPr/>
      </xdr:nvSpPr>
      <xdr:spPr>
        <a:xfrm>
          <a:off x="7322820" y="246888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518160</xdr:colOff>
      <xdr:row>10</xdr:row>
      <xdr:rowOff>121920</xdr:rowOff>
    </xdr:from>
    <xdr:to>
      <xdr:col>10</xdr:col>
      <xdr:colOff>7620</xdr:colOff>
      <xdr:row>10</xdr:row>
      <xdr:rowOff>182880</xdr:rowOff>
    </xdr:to>
    <xdr:sp macro="" textlink="">
      <xdr:nvSpPr>
        <xdr:cNvPr id="226" name="Rectangle 225">
          <a:extLst>
            <a:ext uri="{FF2B5EF4-FFF2-40B4-BE49-F238E27FC236}">
              <a16:creationId xmlns:a16="http://schemas.microsoft.com/office/drawing/2014/main" id="{EE7C1177-2961-40E8-9FFA-C456995C9929}"/>
            </a:ext>
          </a:extLst>
        </xdr:cNvPr>
        <xdr:cNvSpPr/>
      </xdr:nvSpPr>
      <xdr:spPr>
        <a:xfrm>
          <a:off x="7292340" y="252222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510540</xdr:colOff>
      <xdr:row>10</xdr:row>
      <xdr:rowOff>137160</xdr:rowOff>
    </xdr:from>
    <xdr:to>
      <xdr:col>10</xdr:col>
      <xdr:colOff>0</xdr:colOff>
      <xdr:row>10</xdr:row>
      <xdr:rowOff>198120</xdr:rowOff>
    </xdr:to>
    <xdr:sp macro="" textlink="">
      <xdr:nvSpPr>
        <xdr:cNvPr id="227" name="Rectangle 226">
          <a:extLst>
            <a:ext uri="{FF2B5EF4-FFF2-40B4-BE49-F238E27FC236}">
              <a16:creationId xmlns:a16="http://schemas.microsoft.com/office/drawing/2014/main" id="{68899F98-324C-4F7C-AA46-3F19123AA4B9}"/>
            </a:ext>
          </a:extLst>
        </xdr:cNvPr>
        <xdr:cNvSpPr/>
      </xdr:nvSpPr>
      <xdr:spPr>
        <a:xfrm>
          <a:off x="7284720" y="2537460"/>
          <a:ext cx="99060" cy="609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419100</xdr:colOff>
      <xdr:row>10</xdr:row>
      <xdr:rowOff>106680</xdr:rowOff>
    </xdr:from>
    <xdr:to>
      <xdr:col>9</xdr:col>
      <xdr:colOff>586740</xdr:colOff>
      <xdr:row>10</xdr:row>
      <xdr:rowOff>205740</xdr:rowOff>
    </xdr:to>
    <xdr:sp macro="" textlink="">
      <xdr:nvSpPr>
        <xdr:cNvPr id="228" name="Rectangle 227">
          <a:extLst>
            <a:ext uri="{FF2B5EF4-FFF2-40B4-BE49-F238E27FC236}">
              <a16:creationId xmlns:a16="http://schemas.microsoft.com/office/drawing/2014/main" id="{22E06B7D-6A80-41CA-9BD1-A8BF6DBD615E}"/>
            </a:ext>
          </a:extLst>
        </xdr:cNvPr>
        <xdr:cNvSpPr/>
      </xdr:nvSpPr>
      <xdr:spPr>
        <a:xfrm>
          <a:off x="3535680" y="2506980"/>
          <a:ext cx="3825240" cy="990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373380</xdr:colOff>
      <xdr:row>10</xdr:row>
      <xdr:rowOff>190500</xdr:rowOff>
    </xdr:from>
    <xdr:to>
      <xdr:col>3</xdr:col>
      <xdr:colOff>480060</xdr:colOff>
      <xdr:row>11</xdr:row>
      <xdr:rowOff>45720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765260F7-3C6E-472F-BD3C-A5056BE0C777}"/>
            </a:ext>
          </a:extLst>
        </xdr:cNvPr>
        <xdr:cNvSpPr/>
      </xdr:nvSpPr>
      <xdr:spPr>
        <a:xfrm>
          <a:off x="3489960" y="2590800"/>
          <a:ext cx="106680" cy="7620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396240</xdr:colOff>
      <xdr:row>10</xdr:row>
      <xdr:rowOff>152400</xdr:rowOff>
    </xdr:from>
    <xdr:to>
      <xdr:col>3</xdr:col>
      <xdr:colOff>533400</xdr:colOff>
      <xdr:row>11</xdr:row>
      <xdr:rowOff>7620</xdr:rowOff>
    </xdr:to>
    <xdr:sp macro="" textlink="">
      <xdr:nvSpPr>
        <xdr:cNvPr id="230" name="Rectangle 229">
          <a:extLst>
            <a:ext uri="{FF2B5EF4-FFF2-40B4-BE49-F238E27FC236}">
              <a16:creationId xmlns:a16="http://schemas.microsoft.com/office/drawing/2014/main" id="{765CAE7A-1BB1-4553-B597-AC3F2C705755}"/>
            </a:ext>
          </a:extLst>
        </xdr:cNvPr>
        <xdr:cNvSpPr/>
      </xdr:nvSpPr>
      <xdr:spPr>
        <a:xfrm>
          <a:off x="3512820" y="2552700"/>
          <a:ext cx="137160" cy="7620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342900</xdr:colOff>
      <xdr:row>11</xdr:row>
      <xdr:rowOff>53340</xdr:rowOff>
    </xdr:from>
    <xdr:to>
      <xdr:col>3</xdr:col>
      <xdr:colOff>419100</xdr:colOff>
      <xdr:row>11</xdr:row>
      <xdr:rowOff>106680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FA5E64FA-F612-4DE9-8152-B7695B0D0055}"/>
            </a:ext>
          </a:extLst>
        </xdr:cNvPr>
        <xdr:cNvSpPr/>
      </xdr:nvSpPr>
      <xdr:spPr>
        <a:xfrm>
          <a:off x="3459480" y="267462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388620</xdr:colOff>
      <xdr:row>11</xdr:row>
      <xdr:rowOff>45720</xdr:rowOff>
    </xdr:from>
    <xdr:to>
      <xdr:col>3</xdr:col>
      <xdr:colOff>464820</xdr:colOff>
      <xdr:row>11</xdr:row>
      <xdr:rowOff>99060</xdr:rowOff>
    </xdr:to>
    <xdr:sp macro="" textlink="">
      <xdr:nvSpPr>
        <xdr:cNvPr id="232" name="Rectangle 231">
          <a:extLst>
            <a:ext uri="{FF2B5EF4-FFF2-40B4-BE49-F238E27FC236}">
              <a16:creationId xmlns:a16="http://schemas.microsoft.com/office/drawing/2014/main" id="{F9F1FCF4-4325-4E7C-AE50-08A2620C6B48}"/>
            </a:ext>
          </a:extLst>
        </xdr:cNvPr>
        <xdr:cNvSpPr/>
      </xdr:nvSpPr>
      <xdr:spPr>
        <a:xfrm>
          <a:off x="3505200" y="26670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327660</xdr:colOff>
      <xdr:row>11</xdr:row>
      <xdr:rowOff>106680</xdr:rowOff>
    </xdr:from>
    <xdr:to>
      <xdr:col>3</xdr:col>
      <xdr:colOff>403860</xdr:colOff>
      <xdr:row>11</xdr:row>
      <xdr:rowOff>160020</xdr:rowOff>
    </xdr:to>
    <xdr:sp macro="" textlink="">
      <xdr:nvSpPr>
        <xdr:cNvPr id="233" name="Rectangle 232">
          <a:extLst>
            <a:ext uri="{FF2B5EF4-FFF2-40B4-BE49-F238E27FC236}">
              <a16:creationId xmlns:a16="http://schemas.microsoft.com/office/drawing/2014/main" id="{3E187E76-04A6-4436-94EC-7AA69AF9E0C9}"/>
            </a:ext>
          </a:extLst>
        </xdr:cNvPr>
        <xdr:cNvSpPr/>
      </xdr:nvSpPr>
      <xdr:spPr>
        <a:xfrm>
          <a:off x="3444240" y="272796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388620</xdr:colOff>
      <xdr:row>11</xdr:row>
      <xdr:rowOff>99060</xdr:rowOff>
    </xdr:from>
    <xdr:to>
      <xdr:col>3</xdr:col>
      <xdr:colOff>464820</xdr:colOff>
      <xdr:row>11</xdr:row>
      <xdr:rowOff>152400</xdr:rowOff>
    </xdr:to>
    <xdr:sp macro="" textlink="">
      <xdr:nvSpPr>
        <xdr:cNvPr id="234" name="Rectangle 233">
          <a:extLst>
            <a:ext uri="{FF2B5EF4-FFF2-40B4-BE49-F238E27FC236}">
              <a16:creationId xmlns:a16="http://schemas.microsoft.com/office/drawing/2014/main" id="{2FF9DFAB-5639-402F-863C-045B823CCF83}"/>
            </a:ext>
          </a:extLst>
        </xdr:cNvPr>
        <xdr:cNvSpPr/>
      </xdr:nvSpPr>
      <xdr:spPr>
        <a:xfrm>
          <a:off x="3505200" y="27203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320040</xdr:colOff>
      <xdr:row>11</xdr:row>
      <xdr:rowOff>175260</xdr:rowOff>
    </xdr:from>
    <xdr:to>
      <xdr:col>3</xdr:col>
      <xdr:colOff>396240</xdr:colOff>
      <xdr:row>12</xdr:row>
      <xdr:rowOff>7620</xdr:rowOff>
    </xdr:to>
    <xdr:sp macro="" textlink="">
      <xdr:nvSpPr>
        <xdr:cNvPr id="235" name="Rectangle 234">
          <a:extLst>
            <a:ext uri="{FF2B5EF4-FFF2-40B4-BE49-F238E27FC236}">
              <a16:creationId xmlns:a16="http://schemas.microsoft.com/office/drawing/2014/main" id="{97FCDAEE-F9B3-4433-9B93-70F7856ADD42}"/>
            </a:ext>
          </a:extLst>
        </xdr:cNvPr>
        <xdr:cNvSpPr/>
      </xdr:nvSpPr>
      <xdr:spPr>
        <a:xfrm>
          <a:off x="3436620" y="27965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381000</xdr:colOff>
      <xdr:row>11</xdr:row>
      <xdr:rowOff>167640</xdr:rowOff>
    </xdr:from>
    <xdr:to>
      <xdr:col>3</xdr:col>
      <xdr:colOff>457200</xdr:colOff>
      <xdr:row>12</xdr:row>
      <xdr:rowOff>0</xdr:rowOff>
    </xdr:to>
    <xdr:sp macro="" textlink="">
      <xdr:nvSpPr>
        <xdr:cNvPr id="236" name="Rectangle 235">
          <a:extLst>
            <a:ext uri="{FF2B5EF4-FFF2-40B4-BE49-F238E27FC236}">
              <a16:creationId xmlns:a16="http://schemas.microsoft.com/office/drawing/2014/main" id="{102C0F7E-523F-4A2B-AFEF-57C3D16F778A}"/>
            </a:ext>
          </a:extLst>
        </xdr:cNvPr>
        <xdr:cNvSpPr/>
      </xdr:nvSpPr>
      <xdr:spPr>
        <a:xfrm>
          <a:off x="3497580" y="278892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335280</xdr:colOff>
      <xdr:row>12</xdr:row>
      <xdr:rowOff>22860</xdr:rowOff>
    </xdr:from>
    <xdr:to>
      <xdr:col>3</xdr:col>
      <xdr:colOff>411480</xdr:colOff>
      <xdr:row>12</xdr:row>
      <xdr:rowOff>76200</xdr:rowOff>
    </xdr:to>
    <xdr:sp macro="" textlink="">
      <xdr:nvSpPr>
        <xdr:cNvPr id="237" name="Rectangle 236">
          <a:extLst>
            <a:ext uri="{FF2B5EF4-FFF2-40B4-BE49-F238E27FC236}">
              <a16:creationId xmlns:a16="http://schemas.microsoft.com/office/drawing/2014/main" id="{96736F96-A03A-4CDD-BBE1-BF8DA02239FF}"/>
            </a:ext>
          </a:extLst>
        </xdr:cNvPr>
        <xdr:cNvSpPr/>
      </xdr:nvSpPr>
      <xdr:spPr>
        <a:xfrm>
          <a:off x="3451860" y="286512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388620</xdr:colOff>
      <xdr:row>12</xdr:row>
      <xdr:rowOff>7620</xdr:rowOff>
    </xdr:from>
    <xdr:to>
      <xdr:col>3</xdr:col>
      <xdr:colOff>464820</xdr:colOff>
      <xdr:row>12</xdr:row>
      <xdr:rowOff>60960</xdr:rowOff>
    </xdr:to>
    <xdr:sp macro="" textlink="">
      <xdr:nvSpPr>
        <xdr:cNvPr id="238" name="Rectangle 237">
          <a:extLst>
            <a:ext uri="{FF2B5EF4-FFF2-40B4-BE49-F238E27FC236}">
              <a16:creationId xmlns:a16="http://schemas.microsoft.com/office/drawing/2014/main" id="{69502921-8D61-4FCB-AA0D-AF7B73C40A3E}"/>
            </a:ext>
          </a:extLst>
        </xdr:cNvPr>
        <xdr:cNvSpPr/>
      </xdr:nvSpPr>
      <xdr:spPr>
        <a:xfrm>
          <a:off x="3505200" y="284988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365760</xdr:colOff>
      <xdr:row>12</xdr:row>
      <xdr:rowOff>68580</xdr:rowOff>
    </xdr:from>
    <xdr:to>
      <xdr:col>3</xdr:col>
      <xdr:colOff>441960</xdr:colOff>
      <xdr:row>12</xdr:row>
      <xdr:rowOff>121920</xdr:rowOff>
    </xdr:to>
    <xdr:sp macro="" textlink="">
      <xdr:nvSpPr>
        <xdr:cNvPr id="239" name="Rectangle 238">
          <a:extLst>
            <a:ext uri="{FF2B5EF4-FFF2-40B4-BE49-F238E27FC236}">
              <a16:creationId xmlns:a16="http://schemas.microsoft.com/office/drawing/2014/main" id="{2F3E2853-A9D2-449E-A1C1-029C84983995}"/>
            </a:ext>
          </a:extLst>
        </xdr:cNvPr>
        <xdr:cNvSpPr/>
      </xdr:nvSpPr>
      <xdr:spPr>
        <a:xfrm>
          <a:off x="3482340" y="29108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411480</xdr:colOff>
      <xdr:row>12</xdr:row>
      <xdr:rowOff>91440</xdr:rowOff>
    </xdr:from>
    <xdr:to>
      <xdr:col>3</xdr:col>
      <xdr:colOff>487680</xdr:colOff>
      <xdr:row>12</xdr:row>
      <xdr:rowOff>144780</xdr:rowOff>
    </xdr:to>
    <xdr:sp macro="" textlink="">
      <xdr:nvSpPr>
        <xdr:cNvPr id="240" name="Rectangle 239">
          <a:extLst>
            <a:ext uri="{FF2B5EF4-FFF2-40B4-BE49-F238E27FC236}">
              <a16:creationId xmlns:a16="http://schemas.microsoft.com/office/drawing/2014/main" id="{7FBB7689-9529-4FCF-A252-E70F7C6634A6}"/>
            </a:ext>
          </a:extLst>
        </xdr:cNvPr>
        <xdr:cNvSpPr/>
      </xdr:nvSpPr>
      <xdr:spPr>
        <a:xfrm>
          <a:off x="3528060" y="29337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403860</xdr:colOff>
      <xdr:row>12</xdr:row>
      <xdr:rowOff>76200</xdr:rowOff>
    </xdr:from>
    <xdr:to>
      <xdr:col>3</xdr:col>
      <xdr:colOff>480060</xdr:colOff>
      <xdr:row>12</xdr:row>
      <xdr:rowOff>129540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421EF68A-E5A8-47E5-8249-B0B12C9D32F7}"/>
            </a:ext>
          </a:extLst>
        </xdr:cNvPr>
        <xdr:cNvSpPr/>
      </xdr:nvSpPr>
      <xdr:spPr>
        <a:xfrm>
          <a:off x="3520440" y="291846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381000</xdr:colOff>
      <xdr:row>12</xdr:row>
      <xdr:rowOff>106680</xdr:rowOff>
    </xdr:from>
    <xdr:to>
      <xdr:col>3</xdr:col>
      <xdr:colOff>457200</xdr:colOff>
      <xdr:row>12</xdr:row>
      <xdr:rowOff>160020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E56D86AF-15A1-4F13-BAA5-17939444F445}"/>
            </a:ext>
          </a:extLst>
        </xdr:cNvPr>
        <xdr:cNvSpPr/>
      </xdr:nvSpPr>
      <xdr:spPr>
        <a:xfrm>
          <a:off x="3497580" y="29489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411480</xdr:colOff>
      <xdr:row>12</xdr:row>
      <xdr:rowOff>167640</xdr:rowOff>
    </xdr:from>
    <xdr:to>
      <xdr:col>3</xdr:col>
      <xdr:colOff>487680</xdr:colOff>
      <xdr:row>13</xdr:row>
      <xdr:rowOff>0</xdr:rowOff>
    </xdr:to>
    <xdr:sp macro="" textlink="">
      <xdr:nvSpPr>
        <xdr:cNvPr id="243" name="Rectangle 242">
          <a:extLst>
            <a:ext uri="{FF2B5EF4-FFF2-40B4-BE49-F238E27FC236}">
              <a16:creationId xmlns:a16="http://schemas.microsoft.com/office/drawing/2014/main" id="{999F217B-A7EE-4D66-ADA5-2EFB595B8F35}"/>
            </a:ext>
          </a:extLst>
        </xdr:cNvPr>
        <xdr:cNvSpPr/>
      </xdr:nvSpPr>
      <xdr:spPr>
        <a:xfrm>
          <a:off x="3528060" y="30099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457200</xdr:colOff>
      <xdr:row>12</xdr:row>
      <xdr:rowOff>167640</xdr:rowOff>
    </xdr:from>
    <xdr:to>
      <xdr:col>3</xdr:col>
      <xdr:colOff>533400</xdr:colOff>
      <xdr:row>13</xdr:row>
      <xdr:rowOff>0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5458543D-0686-401A-AA8B-D0A1624E7795}"/>
            </a:ext>
          </a:extLst>
        </xdr:cNvPr>
        <xdr:cNvSpPr/>
      </xdr:nvSpPr>
      <xdr:spPr>
        <a:xfrm>
          <a:off x="3573780" y="30099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434340</xdr:colOff>
      <xdr:row>12</xdr:row>
      <xdr:rowOff>121920</xdr:rowOff>
    </xdr:from>
    <xdr:to>
      <xdr:col>3</xdr:col>
      <xdr:colOff>510540</xdr:colOff>
      <xdr:row>12</xdr:row>
      <xdr:rowOff>175260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71C52830-814F-4005-B2E9-E9ADE3DE4F6F}"/>
            </a:ext>
          </a:extLst>
        </xdr:cNvPr>
        <xdr:cNvSpPr/>
      </xdr:nvSpPr>
      <xdr:spPr>
        <a:xfrm>
          <a:off x="3550920" y="296418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396240</xdr:colOff>
      <xdr:row>12</xdr:row>
      <xdr:rowOff>144780</xdr:rowOff>
    </xdr:from>
    <xdr:to>
      <xdr:col>3</xdr:col>
      <xdr:colOff>472440</xdr:colOff>
      <xdr:row>12</xdr:row>
      <xdr:rowOff>198120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7563951D-D0D0-48AB-907C-6CD588276568}"/>
            </a:ext>
          </a:extLst>
        </xdr:cNvPr>
        <xdr:cNvSpPr/>
      </xdr:nvSpPr>
      <xdr:spPr>
        <a:xfrm>
          <a:off x="3512820" y="29870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434340</xdr:colOff>
      <xdr:row>12</xdr:row>
      <xdr:rowOff>198120</xdr:rowOff>
    </xdr:from>
    <xdr:to>
      <xdr:col>3</xdr:col>
      <xdr:colOff>510540</xdr:colOff>
      <xdr:row>13</xdr:row>
      <xdr:rowOff>30480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0C319A30-9F5B-46E3-A78F-C7BDA2D515AC}"/>
            </a:ext>
          </a:extLst>
        </xdr:cNvPr>
        <xdr:cNvSpPr/>
      </xdr:nvSpPr>
      <xdr:spPr>
        <a:xfrm>
          <a:off x="3550920" y="304038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449580</xdr:colOff>
      <xdr:row>12</xdr:row>
      <xdr:rowOff>190500</xdr:rowOff>
    </xdr:from>
    <xdr:to>
      <xdr:col>8</xdr:col>
      <xdr:colOff>0</xdr:colOff>
      <xdr:row>13</xdr:row>
      <xdr:rowOff>53340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86647612-B4CB-4DD5-8C9E-188CC034164C}"/>
            </a:ext>
          </a:extLst>
        </xdr:cNvPr>
        <xdr:cNvSpPr/>
      </xdr:nvSpPr>
      <xdr:spPr>
        <a:xfrm>
          <a:off x="3566160" y="3032760"/>
          <a:ext cx="2598420" cy="8382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563880</xdr:colOff>
      <xdr:row>16</xdr:row>
      <xdr:rowOff>121920</xdr:rowOff>
    </xdr:from>
    <xdr:to>
      <xdr:col>6</xdr:col>
      <xdr:colOff>441960</xdr:colOff>
      <xdr:row>17</xdr:row>
      <xdr:rowOff>7620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3B67B06C-A853-40C3-BB93-1F95788007C4}"/>
            </a:ext>
          </a:extLst>
        </xdr:cNvPr>
        <xdr:cNvSpPr/>
      </xdr:nvSpPr>
      <xdr:spPr>
        <a:xfrm>
          <a:off x="3680460" y="3779520"/>
          <a:ext cx="1706880" cy="6858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594360</xdr:colOff>
      <xdr:row>19</xdr:row>
      <xdr:rowOff>60960</xdr:rowOff>
    </xdr:from>
    <xdr:to>
      <xdr:col>10</xdr:col>
      <xdr:colOff>205740</xdr:colOff>
      <xdr:row>19</xdr:row>
      <xdr:rowOff>160020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FBFF1BE6-E88B-42EA-A32D-856F76E95B33}"/>
            </a:ext>
          </a:extLst>
        </xdr:cNvPr>
        <xdr:cNvSpPr/>
      </xdr:nvSpPr>
      <xdr:spPr>
        <a:xfrm>
          <a:off x="3710940" y="4297680"/>
          <a:ext cx="3878580" cy="990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533400</xdr:colOff>
      <xdr:row>17</xdr:row>
      <xdr:rowOff>22860</xdr:rowOff>
    </xdr:from>
    <xdr:to>
      <xdr:col>4</xdr:col>
      <xdr:colOff>0</xdr:colOff>
      <xdr:row>17</xdr:row>
      <xdr:rowOff>76200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77C3BA40-851E-4F0F-B258-FC039A790469}"/>
            </a:ext>
          </a:extLst>
        </xdr:cNvPr>
        <xdr:cNvSpPr/>
      </xdr:nvSpPr>
      <xdr:spPr>
        <a:xfrm>
          <a:off x="3649980" y="38633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510540</xdr:colOff>
      <xdr:row>17</xdr:row>
      <xdr:rowOff>99060</xdr:rowOff>
    </xdr:from>
    <xdr:to>
      <xdr:col>3</xdr:col>
      <xdr:colOff>586740</xdr:colOff>
      <xdr:row>17</xdr:row>
      <xdr:rowOff>152400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47C13BCE-CDAF-4857-89D2-1D4C93A44FDD}"/>
            </a:ext>
          </a:extLst>
        </xdr:cNvPr>
        <xdr:cNvSpPr/>
      </xdr:nvSpPr>
      <xdr:spPr>
        <a:xfrm>
          <a:off x="3627120" y="39395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533400</xdr:colOff>
      <xdr:row>17</xdr:row>
      <xdr:rowOff>76200</xdr:rowOff>
    </xdr:from>
    <xdr:to>
      <xdr:col>4</xdr:col>
      <xdr:colOff>0</xdr:colOff>
      <xdr:row>17</xdr:row>
      <xdr:rowOff>129540</xdr:rowOff>
    </xdr:to>
    <xdr:sp macro="" textlink="">
      <xdr:nvSpPr>
        <xdr:cNvPr id="253" name="Rectangle 252">
          <a:extLst>
            <a:ext uri="{FF2B5EF4-FFF2-40B4-BE49-F238E27FC236}">
              <a16:creationId xmlns:a16="http://schemas.microsoft.com/office/drawing/2014/main" id="{656C9E1E-93B0-49DF-923A-49C4BBA6B522}"/>
            </a:ext>
          </a:extLst>
        </xdr:cNvPr>
        <xdr:cNvSpPr/>
      </xdr:nvSpPr>
      <xdr:spPr>
        <a:xfrm>
          <a:off x="3649980" y="391668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502920</xdr:colOff>
      <xdr:row>17</xdr:row>
      <xdr:rowOff>144780</xdr:rowOff>
    </xdr:from>
    <xdr:to>
      <xdr:col>3</xdr:col>
      <xdr:colOff>579120</xdr:colOff>
      <xdr:row>18</xdr:row>
      <xdr:rowOff>0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50A1BC9A-55A1-4EC5-9269-81261878868B}"/>
            </a:ext>
          </a:extLst>
        </xdr:cNvPr>
        <xdr:cNvSpPr/>
      </xdr:nvSpPr>
      <xdr:spPr>
        <a:xfrm>
          <a:off x="3619500" y="398526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487680</xdr:colOff>
      <xdr:row>18</xdr:row>
      <xdr:rowOff>0</xdr:rowOff>
    </xdr:from>
    <xdr:to>
      <xdr:col>3</xdr:col>
      <xdr:colOff>563880</xdr:colOff>
      <xdr:row>18</xdr:row>
      <xdr:rowOff>53340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F9480422-49C7-43DD-9955-981267672BE1}"/>
            </a:ext>
          </a:extLst>
        </xdr:cNvPr>
        <xdr:cNvSpPr/>
      </xdr:nvSpPr>
      <xdr:spPr>
        <a:xfrm>
          <a:off x="3604260" y="40386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518160</xdr:colOff>
      <xdr:row>17</xdr:row>
      <xdr:rowOff>91440</xdr:rowOff>
    </xdr:from>
    <xdr:to>
      <xdr:col>3</xdr:col>
      <xdr:colOff>594360</xdr:colOff>
      <xdr:row>17</xdr:row>
      <xdr:rowOff>144780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F8893FB1-DE01-4823-8A44-BC4AA1E9694A}"/>
            </a:ext>
          </a:extLst>
        </xdr:cNvPr>
        <xdr:cNvSpPr/>
      </xdr:nvSpPr>
      <xdr:spPr>
        <a:xfrm>
          <a:off x="3634740" y="393192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495300</xdr:colOff>
      <xdr:row>18</xdr:row>
      <xdr:rowOff>68580</xdr:rowOff>
    </xdr:from>
    <xdr:to>
      <xdr:col>3</xdr:col>
      <xdr:colOff>571500</xdr:colOff>
      <xdr:row>18</xdr:row>
      <xdr:rowOff>121920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7A65DF69-916E-4A02-A319-D4223E5BAADC}"/>
            </a:ext>
          </a:extLst>
        </xdr:cNvPr>
        <xdr:cNvSpPr/>
      </xdr:nvSpPr>
      <xdr:spPr>
        <a:xfrm>
          <a:off x="3611880" y="410718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510540</xdr:colOff>
      <xdr:row>18</xdr:row>
      <xdr:rowOff>144780</xdr:rowOff>
    </xdr:from>
    <xdr:to>
      <xdr:col>3</xdr:col>
      <xdr:colOff>586740</xdr:colOff>
      <xdr:row>19</xdr:row>
      <xdr:rowOff>0</xdr:rowOff>
    </xdr:to>
    <xdr:sp macro="" textlink="">
      <xdr:nvSpPr>
        <xdr:cNvPr id="258" name="Rectangle 257">
          <a:extLst>
            <a:ext uri="{FF2B5EF4-FFF2-40B4-BE49-F238E27FC236}">
              <a16:creationId xmlns:a16="http://schemas.microsoft.com/office/drawing/2014/main" id="{70952847-37C3-465D-8FDD-5B9BAB36220D}"/>
            </a:ext>
          </a:extLst>
        </xdr:cNvPr>
        <xdr:cNvSpPr/>
      </xdr:nvSpPr>
      <xdr:spPr>
        <a:xfrm>
          <a:off x="3627120" y="418338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518160</xdr:colOff>
      <xdr:row>18</xdr:row>
      <xdr:rowOff>114300</xdr:rowOff>
    </xdr:from>
    <xdr:to>
      <xdr:col>3</xdr:col>
      <xdr:colOff>594360</xdr:colOff>
      <xdr:row>18</xdr:row>
      <xdr:rowOff>167640</xdr:rowOff>
    </xdr:to>
    <xdr:sp macro="" textlink="">
      <xdr:nvSpPr>
        <xdr:cNvPr id="259" name="Rectangle 258">
          <a:extLst>
            <a:ext uri="{FF2B5EF4-FFF2-40B4-BE49-F238E27FC236}">
              <a16:creationId xmlns:a16="http://schemas.microsoft.com/office/drawing/2014/main" id="{7BD7AA43-1F63-4F46-A36D-B7736AB8CAC8}"/>
            </a:ext>
          </a:extLst>
        </xdr:cNvPr>
        <xdr:cNvSpPr/>
      </xdr:nvSpPr>
      <xdr:spPr>
        <a:xfrm>
          <a:off x="3634740" y="41529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556260</xdr:colOff>
      <xdr:row>16</xdr:row>
      <xdr:rowOff>137160</xdr:rowOff>
    </xdr:from>
    <xdr:to>
      <xdr:col>4</xdr:col>
      <xdr:colOff>22860</xdr:colOff>
      <xdr:row>17</xdr:row>
      <xdr:rowOff>7620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22D100D8-26D3-4DAB-B53D-60ABB18E9BF3}"/>
            </a:ext>
          </a:extLst>
        </xdr:cNvPr>
        <xdr:cNvSpPr/>
      </xdr:nvSpPr>
      <xdr:spPr>
        <a:xfrm>
          <a:off x="3672840" y="379476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541020</xdr:colOff>
      <xdr:row>19</xdr:row>
      <xdr:rowOff>0</xdr:rowOff>
    </xdr:from>
    <xdr:to>
      <xdr:col>4</xdr:col>
      <xdr:colOff>7620</xdr:colOff>
      <xdr:row>19</xdr:row>
      <xdr:rowOff>53340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9FAFFABF-DA35-48A2-B062-38B1FE01B8E1}"/>
            </a:ext>
          </a:extLst>
        </xdr:cNvPr>
        <xdr:cNvSpPr/>
      </xdr:nvSpPr>
      <xdr:spPr>
        <a:xfrm>
          <a:off x="3657600" y="423672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563880</xdr:colOff>
      <xdr:row>19</xdr:row>
      <xdr:rowOff>45720</xdr:rowOff>
    </xdr:from>
    <xdr:to>
      <xdr:col>4</xdr:col>
      <xdr:colOff>30480</xdr:colOff>
      <xdr:row>19</xdr:row>
      <xdr:rowOff>99060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779A9419-FEE5-4025-88C5-BA324BCA7982}"/>
            </a:ext>
          </a:extLst>
        </xdr:cNvPr>
        <xdr:cNvSpPr/>
      </xdr:nvSpPr>
      <xdr:spPr>
        <a:xfrm>
          <a:off x="3680460" y="428244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571500</xdr:colOff>
      <xdr:row>19</xdr:row>
      <xdr:rowOff>68580</xdr:rowOff>
    </xdr:from>
    <xdr:to>
      <xdr:col>4</xdr:col>
      <xdr:colOff>38100</xdr:colOff>
      <xdr:row>19</xdr:row>
      <xdr:rowOff>121920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83C4400B-AD2C-4E63-9B46-2C5B7F4EF59B}"/>
            </a:ext>
          </a:extLst>
        </xdr:cNvPr>
        <xdr:cNvSpPr/>
      </xdr:nvSpPr>
      <xdr:spPr>
        <a:xfrm>
          <a:off x="3688080" y="430530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304800</xdr:colOff>
      <xdr:row>16</xdr:row>
      <xdr:rowOff>121920</xdr:rowOff>
    </xdr:from>
    <xdr:to>
      <xdr:col>4</xdr:col>
      <xdr:colOff>381000</xdr:colOff>
      <xdr:row>16</xdr:row>
      <xdr:rowOff>175260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51A256AB-A2DE-4DAF-B8EE-44E972BAADE4}"/>
            </a:ext>
          </a:extLst>
        </xdr:cNvPr>
        <xdr:cNvSpPr/>
      </xdr:nvSpPr>
      <xdr:spPr>
        <a:xfrm>
          <a:off x="4030980" y="3779520"/>
          <a:ext cx="76200" cy="5334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243840</xdr:colOff>
      <xdr:row>0</xdr:row>
      <xdr:rowOff>312420</xdr:rowOff>
    </xdr:from>
    <xdr:to>
      <xdr:col>2</xdr:col>
      <xdr:colOff>571500</xdr:colOff>
      <xdr:row>23</xdr:row>
      <xdr:rowOff>30480</xdr:rowOff>
    </xdr:to>
    <xdr:sp macro="" textlink="">
      <xdr:nvSpPr>
        <xdr:cNvPr id="267" name="Rectangle 14">
          <a:extLst>
            <a:ext uri="{FF2B5EF4-FFF2-40B4-BE49-F238E27FC236}">
              <a16:creationId xmlns:a16="http://schemas.microsoft.com/office/drawing/2014/main" id="{64BD126E-6E55-4954-B885-D2F79EA5A33E}"/>
            </a:ext>
          </a:extLst>
        </xdr:cNvPr>
        <xdr:cNvSpPr>
          <a:spLocks noChangeArrowheads="1"/>
        </xdr:cNvSpPr>
      </xdr:nvSpPr>
      <xdr:spPr bwMode="auto">
        <a:xfrm>
          <a:off x="914400" y="312420"/>
          <a:ext cx="2164080" cy="4777740"/>
        </a:xfrm>
        <a:prstGeom prst="rect">
          <a:avLst/>
        </a:prstGeom>
        <a:noFill/>
        <a:ln w="28575">
          <a:solidFill>
            <a:schemeClr val="accent5">
              <a:lumMod val="75000"/>
            </a:schemeClr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</xdr:col>
      <xdr:colOff>533400</xdr:colOff>
      <xdr:row>0</xdr:row>
      <xdr:rowOff>38100</xdr:rowOff>
    </xdr:from>
    <xdr:to>
      <xdr:col>2</xdr:col>
      <xdr:colOff>322282</xdr:colOff>
      <xdr:row>1</xdr:row>
      <xdr:rowOff>18330</xdr:rowOff>
    </xdr:to>
    <xdr:sp macro="" textlink="">
      <xdr:nvSpPr>
        <xdr:cNvPr id="268" name="Text Box 24">
          <a:extLst>
            <a:ext uri="{FF2B5EF4-FFF2-40B4-BE49-F238E27FC236}">
              <a16:creationId xmlns:a16="http://schemas.microsoft.com/office/drawing/2014/main" id="{3DEBE521-95D8-455F-B24A-A6CC97050753}"/>
            </a:ext>
          </a:extLst>
        </xdr:cNvPr>
        <xdr:cNvSpPr txBox="1">
          <a:spLocks noChangeArrowheads="1"/>
        </xdr:cNvSpPr>
      </xdr:nvSpPr>
      <xdr:spPr bwMode="auto">
        <a:xfrm>
          <a:off x="1203960" y="38100"/>
          <a:ext cx="1625302" cy="307890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1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38100</xdr:colOff>
      <xdr:row>7</xdr:row>
      <xdr:rowOff>198120</xdr:rowOff>
    </xdr:from>
    <xdr:to>
      <xdr:col>9</xdr:col>
      <xdr:colOff>205740</xdr:colOff>
      <xdr:row>8</xdr:row>
      <xdr:rowOff>68580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468FB022-3700-482C-AAC3-DD8866787FF0}"/>
            </a:ext>
          </a:extLst>
        </xdr:cNvPr>
        <xdr:cNvSpPr/>
      </xdr:nvSpPr>
      <xdr:spPr>
        <a:xfrm>
          <a:off x="3154680" y="1874520"/>
          <a:ext cx="3825240" cy="9906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175260</xdr:colOff>
      <xdr:row>8</xdr:row>
      <xdr:rowOff>7620</xdr:rowOff>
    </xdr:from>
    <xdr:to>
      <xdr:col>4</xdr:col>
      <xdr:colOff>114300</xdr:colOff>
      <xdr:row>8</xdr:row>
      <xdr:rowOff>7620</xdr:rowOff>
    </xdr:to>
    <xdr:cxnSp macro="">
      <xdr:nvCxnSpPr>
        <xdr:cNvPr id="270" name="Straight Arrow Connector 269">
          <a:extLst>
            <a:ext uri="{FF2B5EF4-FFF2-40B4-BE49-F238E27FC236}">
              <a16:creationId xmlns:a16="http://schemas.microsoft.com/office/drawing/2014/main" id="{451A4290-6DC0-486C-BA61-36DC908EDC2E}"/>
            </a:ext>
          </a:extLst>
        </xdr:cNvPr>
        <xdr:cNvCxnSpPr/>
      </xdr:nvCxnSpPr>
      <xdr:spPr>
        <a:xfrm>
          <a:off x="3291840" y="1912620"/>
          <a:ext cx="54864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464820</xdr:colOff>
      <xdr:row>19</xdr:row>
      <xdr:rowOff>106680</xdr:rowOff>
    </xdr:from>
    <xdr:to>
      <xdr:col>10</xdr:col>
      <xdr:colOff>403860</xdr:colOff>
      <xdr:row>19</xdr:row>
      <xdr:rowOff>106680</xdr:rowOff>
    </xdr:to>
    <xdr:cxnSp macro="">
      <xdr:nvCxnSpPr>
        <xdr:cNvPr id="271" name="Straight Arrow Connector 270">
          <a:extLst>
            <a:ext uri="{FF2B5EF4-FFF2-40B4-BE49-F238E27FC236}">
              <a16:creationId xmlns:a16="http://schemas.microsoft.com/office/drawing/2014/main" id="{AABCB2B2-EDBD-4264-A2D5-CE7C6E3A2167}"/>
            </a:ext>
          </a:extLst>
        </xdr:cNvPr>
        <xdr:cNvCxnSpPr/>
      </xdr:nvCxnSpPr>
      <xdr:spPr>
        <a:xfrm>
          <a:off x="7239000" y="4343400"/>
          <a:ext cx="54864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137160</xdr:rowOff>
    </xdr:from>
    <xdr:to>
      <xdr:col>12</xdr:col>
      <xdr:colOff>192742</xdr:colOff>
      <xdr:row>19</xdr:row>
      <xdr:rowOff>48810</xdr:rowOff>
    </xdr:to>
    <xdr:sp macro="" textlink="">
      <xdr:nvSpPr>
        <xdr:cNvPr id="272" name="Text Box 24">
          <a:extLst>
            <a:ext uri="{FF2B5EF4-FFF2-40B4-BE49-F238E27FC236}">
              <a16:creationId xmlns:a16="http://schemas.microsoft.com/office/drawing/2014/main" id="{4C496E0E-4317-4927-B8B5-2F33174AB454}"/>
            </a:ext>
          </a:extLst>
        </xdr:cNvPr>
        <xdr:cNvSpPr txBox="1">
          <a:spLocks noChangeArrowheads="1"/>
        </xdr:cNvSpPr>
      </xdr:nvSpPr>
      <xdr:spPr bwMode="auto">
        <a:xfrm>
          <a:off x="7277100" y="3977640"/>
          <a:ext cx="1625302" cy="307890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</a:t>
          </a:r>
          <a:endParaRPr lang="en-US" sz="105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AC5C3-C4DE-4D28-91DC-77E5956DBE17}">
  <sheetPr codeName="Sheet1"/>
  <dimension ref="A1:AD38"/>
  <sheetViews>
    <sheetView tabSelected="1" topLeftCell="B1" zoomScaleNormal="100" workbookViewId="0">
      <selection activeCell="N11" sqref="N11"/>
    </sheetView>
  </sheetViews>
  <sheetFormatPr defaultRowHeight="14.4" x14ac:dyDescent="0.3"/>
  <cols>
    <col min="1" max="1" width="9.77734375" customWidth="1"/>
    <col min="2" max="2" width="26.77734375" customWidth="1"/>
    <col min="3" max="3" width="8.88671875" style="2"/>
    <col min="11" max="11" width="10.44140625" customWidth="1"/>
    <col min="16" max="16" width="12.6640625" bestFit="1" customWidth="1"/>
    <col min="19" max="19" width="12.6640625" bestFit="1" customWidth="1"/>
    <col min="21" max="21" width="13" bestFit="1" customWidth="1"/>
  </cols>
  <sheetData>
    <row r="1" spans="1:30" ht="25.8" customHeight="1" x14ac:dyDescent="0.3">
      <c r="H1" s="37" t="s">
        <v>5</v>
      </c>
      <c r="I1" s="37"/>
      <c r="J1" s="37"/>
      <c r="K1" s="37"/>
      <c r="L1" s="37"/>
      <c r="M1" s="37"/>
      <c r="N1" s="37"/>
    </row>
    <row r="2" spans="1:30" ht="21" customHeight="1" x14ac:dyDescent="0.5">
      <c r="B2" s="38" t="s">
        <v>9</v>
      </c>
      <c r="C2" s="11"/>
      <c r="D2" s="5"/>
      <c r="H2" s="37"/>
      <c r="I2" s="37"/>
      <c r="J2" s="37"/>
      <c r="K2" s="37"/>
      <c r="L2" s="37"/>
      <c r="M2" s="37"/>
      <c r="N2" s="37"/>
    </row>
    <row r="3" spans="1:30" ht="14.4" customHeight="1" x14ac:dyDescent="0.4">
      <c r="B3" s="39"/>
      <c r="C3" s="27">
        <v>300</v>
      </c>
      <c r="H3" s="20"/>
      <c r="I3" s="20"/>
      <c r="J3" s="20"/>
      <c r="K3" s="20"/>
      <c r="L3" s="20"/>
      <c r="M3" s="20"/>
    </row>
    <row r="4" spans="1:30" ht="16.2" customHeight="1" x14ac:dyDescent="0.35">
      <c r="A4" s="40" t="s">
        <v>7</v>
      </c>
      <c r="B4" s="23" t="s">
        <v>15</v>
      </c>
      <c r="C4" s="28">
        <v>4.18</v>
      </c>
    </row>
    <row r="5" spans="1:30" ht="20.399999999999999" x14ac:dyDescent="0.45">
      <c r="A5" s="40"/>
      <c r="B5" s="24" t="s">
        <v>16</v>
      </c>
      <c r="C5" s="29">
        <v>0.2</v>
      </c>
    </row>
    <row r="6" spans="1:30" ht="19.8" x14ac:dyDescent="0.4">
      <c r="A6" s="40"/>
      <c r="B6" s="25" t="s">
        <v>17</v>
      </c>
      <c r="C6" s="29">
        <v>20</v>
      </c>
      <c r="D6" s="1"/>
    </row>
    <row r="7" spans="1:30" x14ac:dyDescent="0.3">
      <c r="A7" s="2"/>
      <c r="B7" s="8"/>
      <c r="C7" s="30"/>
    </row>
    <row r="8" spans="1:30" ht="18" x14ac:dyDescent="0.4">
      <c r="A8" s="41" t="s">
        <v>6</v>
      </c>
      <c r="B8" s="21" t="s">
        <v>12</v>
      </c>
      <c r="C8" s="31">
        <v>2.13</v>
      </c>
    </row>
    <row r="9" spans="1:30" ht="20.399999999999999" x14ac:dyDescent="0.45">
      <c r="A9" s="41"/>
      <c r="B9" s="22" t="s">
        <v>13</v>
      </c>
      <c r="C9" s="32">
        <v>0.3</v>
      </c>
      <c r="S9" s="6">
        <f>C5*C4*(L24-C6)</f>
        <v>45.433883867435426</v>
      </c>
      <c r="AB9" s="42"/>
      <c r="AC9" s="43"/>
    </row>
    <row r="10" spans="1:30" ht="18.600000000000001" x14ac:dyDescent="0.4">
      <c r="A10" s="41"/>
      <c r="B10" s="21" t="s">
        <v>14</v>
      </c>
      <c r="C10" s="32">
        <v>140</v>
      </c>
      <c r="D10" s="1"/>
      <c r="AB10" s="42"/>
      <c r="AC10" s="42"/>
    </row>
    <row r="11" spans="1:30" ht="17.399999999999999" x14ac:dyDescent="0.3">
      <c r="B11" s="8"/>
      <c r="C11" s="30"/>
      <c r="AB11" s="42"/>
      <c r="AC11" s="42"/>
    </row>
    <row r="12" spans="1:30" ht="17.399999999999999" x14ac:dyDescent="0.3">
      <c r="B12" s="8"/>
      <c r="C12" s="30"/>
      <c r="N12" s="12"/>
      <c r="O12" s="12"/>
      <c r="P12" s="12"/>
      <c r="Q12" s="12"/>
      <c r="R12" s="12"/>
      <c r="S12" s="12"/>
      <c r="AB12" s="42"/>
      <c r="AC12" s="42"/>
    </row>
    <row r="13" spans="1:30" ht="17.399999999999999" x14ac:dyDescent="0.3">
      <c r="B13" s="7" t="s">
        <v>2</v>
      </c>
      <c r="C13" s="33">
        <v>8</v>
      </c>
      <c r="N13" s="12"/>
      <c r="O13" s="12"/>
      <c r="P13" s="12"/>
      <c r="Q13" s="12"/>
      <c r="R13" s="12"/>
      <c r="S13" s="12"/>
      <c r="AB13" s="42"/>
      <c r="AC13" s="42"/>
      <c r="AD13" s="6"/>
    </row>
    <row r="14" spans="1:30" ht="18" x14ac:dyDescent="0.35">
      <c r="B14" s="8"/>
      <c r="C14" s="30"/>
      <c r="K14" s="46"/>
      <c r="L14" s="47"/>
      <c r="M14" s="14"/>
      <c r="N14" s="14"/>
      <c r="O14" s="14"/>
      <c r="P14" s="14"/>
      <c r="Q14" s="14"/>
      <c r="R14" s="34">
        <f xml:space="preserve"> ROUND(C10-S9/C8*C9,1)</f>
        <v>133.6</v>
      </c>
      <c r="S14" s="14"/>
      <c r="T14" s="14"/>
      <c r="U14" s="14"/>
      <c r="V14" s="14"/>
    </row>
    <row r="15" spans="1:30" x14ac:dyDescent="0.3">
      <c r="B15" s="8"/>
      <c r="C15" s="30"/>
      <c r="K15" s="4"/>
      <c r="L15" s="4"/>
      <c r="M15" s="14"/>
      <c r="N15" s="14"/>
      <c r="O15" s="14"/>
      <c r="P15" s="14"/>
      <c r="Q15" s="14"/>
      <c r="R15" s="35">
        <f>R14</f>
        <v>133.6</v>
      </c>
      <c r="S15" s="14"/>
      <c r="T15" s="14"/>
      <c r="U15" s="14"/>
      <c r="V15" s="14"/>
    </row>
    <row r="16" spans="1:30" x14ac:dyDescent="0.3">
      <c r="B16" s="8"/>
      <c r="C16" s="30"/>
      <c r="K16" s="4"/>
      <c r="L16" s="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2"/>
      <c r="X16" s="12"/>
    </row>
    <row r="17" spans="2:24" x14ac:dyDescent="0.3">
      <c r="B17" s="8"/>
      <c r="C17" s="30"/>
      <c r="K17" s="4"/>
      <c r="L17" s="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2"/>
      <c r="X17" s="12"/>
    </row>
    <row r="18" spans="2:24" x14ac:dyDescent="0.3">
      <c r="B18" s="8"/>
      <c r="C18" s="30"/>
      <c r="K18" s="4"/>
      <c r="L18" s="4"/>
      <c r="M18" s="14"/>
      <c r="N18" s="14"/>
      <c r="O18" s="14"/>
      <c r="P18" s="3"/>
      <c r="S18" s="14"/>
      <c r="T18" s="14"/>
      <c r="U18" s="14"/>
      <c r="V18" s="14"/>
      <c r="W18" s="12"/>
      <c r="X18" s="12"/>
    </row>
    <row r="19" spans="2:24" ht="15.6" x14ac:dyDescent="0.3">
      <c r="B19" s="7" t="s">
        <v>3</v>
      </c>
      <c r="C19" s="33">
        <v>1.4E-2</v>
      </c>
      <c r="K19" s="4"/>
      <c r="L19" s="4" t="s">
        <v>0</v>
      </c>
      <c r="M19" s="14"/>
      <c r="N19" s="14"/>
      <c r="O19" s="14"/>
      <c r="P19" s="14"/>
      <c r="Q19" s="6">
        <f>R14-L24</f>
        <v>59.253248962397805</v>
      </c>
      <c r="S19" s="14"/>
      <c r="T19" s="14"/>
      <c r="U19" s="14"/>
      <c r="V19" s="14"/>
      <c r="W19" s="12"/>
      <c r="X19" s="12"/>
    </row>
    <row r="20" spans="2:24" ht="18" x14ac:dyDescent="0.4">
      <c r="B20" s="8"/>
      <c r="C20" s="30"/>
      <c r="K20" s="18" t="s">
        <v>10</v>
      </c>
      <c r="L20" s="19">
        <f>R14</f>
        <v>133.6</v>
      </c>
      <c r="N20" s="16"/>
      <c r="O20" s="14"/>
      <c r="P20" s="14"/>
      <c r="Q20" s="6">
        <f>C10-C6</f>
        <v>120</v>
      </c>
      <c r="R20" s="14"/>
      <c r="T20" s="14"/>
      <c r="U20" s="14"/>
      <c r="V20" s="14"/>
      <c r="W20" s="12"/>
      <c r="X20" s="12"/>
    </row>
    <row r="21" spans="2:24" x14ac:dyDescent="0.3">
      <c r="B21" s="8"/>
      <c r="C21" s="30"/>
      <c r="K21" s="12"/>
      <c r="L21" s="12"/>
      <c r="M21" s="17"/>
      <c r="N21" s="14"/>
      <c r="O21" s="14"/>
      <c r="P21" s="14"/>
      <c r="Q21" s="14"/>
      <c r="R21" s="14"/>
      <c r="S21" s="15">
        <f>(Q20-Q19)/LN(Q20/Q19)</f>
        <v>86.083656396619773</v>
      </c>
      <c r="T21" s="14"/>
      <c r="U21" s="14"/>
      <c r="V21" s="14"/>
      <c r="W21" s="12"/>
      <c r="X21" s="12"/>
    </row>
    <row r="22" spans="2:24" ht="18" x14ac:dyDescent="0.35">
      <c r="B22" s="8"/>
      <c r="C22" s="30"/>
      <c r="K22" s="26" t="s">
        <v>18</v>
      </c>
      <c r="L22" s="10">
        <f>S25/((MIN(C5*C4,C9*C8)*(C10-C6)))</f>
        <v>0.59251282557382801</v>
      </c>
      <c r="N22" s="14"/>
      <c r="O22" s="14"/>
      <c r="P22" s="14"/>
      <c r="Q22" s="14"/>
      <c r="R22" s="14"/>
      <c r="S22" s="14"/>
      <c r="T22" s="14"/>
      <c r="U22" s="14"/>
      <c r="V22" s="14"/>
      <c r="W22" s="12"/>
      <c r="X22" s="12"/>
    </row>
    <row r="23" spans="2:24" ht="18" x14ac:dyDescent="0.4">
      <c r="B23" s="7" t="s">
        <v>4</v>
      </c>
      <c r="C23" s="33">
        <v>5</v>
      </c>
      <c r="F23" s="44" t="s">
        <v>1</v>
      </c>
      <c r="G23" s="44"/>
      <c r="H23" s="44"/>
      <c r="K23" s="18" t="s">
        <v>11</v>
      </c>
      <c r="L23" s="10">
        <f>S25</f>
        <v>45.433883465001131</v>
      </c>
      <c r="N23" s="14"/>
      <c r="O23" s="14"/>
      <c r="P23" s="14"/>
      <c r="Q23" s="6">
        <f>C13*PI()*C19*C23</f>
        <v>1.759291886010284</v>
      </c>
      <c r="R23" s="14"/>
      <c r="S23" s="14"/>
      <c r="T23" s="14"/>
      <c r="U23" s="14"/>
      <c r="V23" s="14"/>
      <c r="W23" s="12"/>
      <c r="X23" s="12"/>
    </row>
    <row r="24" spans="2:24" ht="18" x14ac:dyDescent="0.4">
      <c r="B24" s="4"/>
      <c r="J24" s="45" t="s">
        <v>8</v>
      </c>
      <c r="K24" s="45"/>
      <c r="L24" s="9">
        <v>74.346751037602189</v>
      </c>
      <c r="M24" s="17"/>
      <c r="N24" s="14"/>
      <c r="O24" s="14"/>
      <c r="P24" s="14"/>
      <c r="Q24" s="14"/>
      <c r="R24" s="14"/>
      <c r="S24" s="14"/>
      <c r="T24" s="14"/>
      <c r="U24" s="14"/>
      <c r="V24" s="14"/>
      <c r="W24" s="12"/>
      <c r="X24" s="12"/>
    </row>
    <row r="25" spans="2:24" ht="15.6" x14ac:dyDescent="0.3">
      <c r="B25" s="4"/>
      <c r="N25" s="16"/>
      <c r="O25" s="14"/>
      <c r="P25" s="14"/>
      <c r="Q25" s="14"/>
      <c r="R25" s="14"/>
      <c r="S25" s="13">
        <f>C3*Q23*S21/1000</f>
        <v>45.433883465001131</v>
      </c>
      <c r="T25" s="14"/>
      <c r="U25" s="14"/>
      <c r="V25" s="14"/>
      <c r="W25" s="12"/>
      <c r="X25" s="12"/>
    </row>
    <row r="26" spans="2:24" x14ac:dyDescent="0.3">
      <c r="B26" s="4"/>
      <c r="K26" s="12"/>
      <c r="L26" s="12"/>
      <c r="M26" s="14"/>
      <c r="N26" s="14"/>
      <c r="O26" s="14"/>
      <c r="P26" s="14"/>
      <c r="Q26" s="14"/>
      <c r="R26" s="14"/>
      <c r="S26" s="14"/>
      <c r="T26" s="14"/>
      <c r="U26" s="36">
        <f>S25-S9</f>
        <v>-4.0243429566544364E-7</v>
      </c>
      <c r="V26" s="14"/>
      <c r="W26" s="12"/>
      <c r="X26" s="12"/>
    </row>
    <row r="27" spans="2:24" x14ac:dyDescent="0.3">
      <c r="B27" s="4"/>
      <c r="K27" s="12"/>
      <c r="L27" s="12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2"/>
      <c r="X27" s="12"/>
    </row>
    <row r="28" spans="2:24" x14ac:dyDescent="0.3">
      <c r="K28" s="12"/>
      <c r="L28" s="12"/>
      <c r="M28" s="14"/>
      <c r="N28" s="14"/>
      <c r="O28" s="14"/>
      <c r="P28" s="14"/>
      <c r="Q28" s="14"/>
      <c r="R28" s="14"/>
      <c r="S28" s="15">
        <f>U26</f>
        <v>-4.0243429566544364E-7</v>
      </c>
      <c r="T28" s="14"/>
      <c r="U28" s="14"/>
      <c r="V28" s="14"/>
      <c r="W28" s="12"/>
      <c r="X28" s="12"/>
    </row>
    <row r="29" spans="2:24" x14ac:dyDescent="0.3">
      <c r="K29" s="12"/>
      <c r="L29" s="1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2"/>
      <c r="X29" s="12"/>
    </row>
    <row r="30" spans="2:24" x14ac:dyDescent="0.3">
      <c r="K30" s="12"/>
      <c r="L30" s="12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2"/>
      <c r="X30" s="12"/>
    </row>
    <row r="31" spans="2:24" x14ac:dyDescent="0.3"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spans="2:24" x14ac:dyDescent="0.3"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spans="11:24" x14ac:dyDescent="0.3"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spans="11:24" x14ac:dyDescent="0.3"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spans="11:24" x14ac:dyDescent="0.3"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spans="11:24" x14ac:dyDescent="0.3"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spans="11:24" x14ac:dyDescent="0.3"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spans="11:24" x14ac:dyDescent="0.3"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</sheetData>
  <mergeCells count="12">
    <mergeCell ref="F23:H23"/>
    <mergeCell ref="AB11:AC11"/>
    <mergeCell ref="AB12:AC12"/>
    <mergeCell ref="J24:K24"/>
    <mergeCell ref="K14:L14"/>
    <mergeCell ref="AB13:AC13"/>
    <mergeCell ref="H1:N2"/>
    <mergeCell ref="B2:B3"/>
    <mergeCell ref="A4:A6"/>
    <mergeCell ref="A8:A10"/>
    <mergeCell ref="AB9:AC9"/>
    <mergeCell ref="AB10:AC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2019-08-01T06:42:38Z</dcterms:created>
  <dcterms:modified xsi:type="dcterms:W3CDTF">2020-01-16T15:19:34Z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17b310bd-a64c-4627-9bc8-1e4ad57849f8</vt:lpwstr>
  </property>
</Properties>
</file>