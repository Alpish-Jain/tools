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pish\Desktop\"/>
    </mc:Choice>
  </mc:AlternateContent>
  <xr:revisionPtr revIDLastSave="0" documentId="13_ncr:1_{B72A8688-3EBE-4041-91FA-2691A54E917F}" xr6:coauthVersionLast="43" xr6:coauthVersionMax="43" xr10:uidLastSave="{00000000-0000-0000-0000-000000000000}"/>
  <workbookProtection workbookAlgorithmName="SHA-512" workbookHashValue="rQqC8VW2aK+Qm2B1VlwuoKY23esTuVkdRvM7vl0z6WaWMEcSS+Br0G+LnNxxzxpudz0C/gF2x4AUBBykUryCnw==" workbookSaltValue="B0RxqXHfNRGdQk22vooZvQ==" workbookSpinCount="100000" lockStructure="1"/>
  <bookViews>
    <workbookView xWindow="-108" yWindow="-108" windowWidth="23256" windowHeight="12576" tabRatio="758" xr2:uid="{00000000-000D-0000-FFFF-FFFF00000000}"/>
  </bookViews>
  <sheets>
    <sheet name="Mainsheet" sheetId="99" r:id="rId1"/>
    <sheet name="Sat_T_based" sheetId="2" r:id="rId2"/>
    <sheet name="Sat_P_based" sheetId="11" r:id="rId3"/>
    <sheet name="10" sheetId="18" r:id="rId4"/>
    <sheet name="20" sheetId="20" r:id="rId5"/>
    <sheet name="30" sheetId="21" r:id="rId6"/>
    <sheet name="40" sheetId="22" r:id="rId7"/>
    <sheet name="50" sheetId="23" r:id="rId8"/>
    <sheet name="60" sheetId="24" r:id="rId9"/>
    <sheet name="70" sheetId="25" r:id="rId10"/>
    <sheet name="80" sheetId="26" r:id="rId11"/>
    <sheet name="90" sheetId="27" r:id="rId12"/>
    <sheet name="100" sheetId="28" r:id="rId13"/>
    <sheet name="110" sheetId="29" r:id="rId14"/>
    <sheet name="120" sheetId="30" r:id="rId15"/>
    <sheet name="130" sheetId="31" r:id="rId16"/>
    <sheet name="140" sheetId="32" r:id="rId17"/>
    <sheet name="150" sheetId="33" r:id="rId18"/>
    <sheet name="160" sheetId="34" r:id="rId19"/>
    <sheet name="180" sheetId="35" r:id="rId20"/>
    <sheet name="200" sheetId="36" r:id="rId21"/>
    <sheet name="220" sheetId="37" r:id="rId22"/>
    <sheet name="240" sheetId="38" r:id="rId23"/>
    <sheet name="260" sheetId="39" r:id="rId24"/>
    <sheet name="280" sheetId="40" r:id="rId25"/>
    <sheet name="300" sheetId="41" r:id="rId26"/>
    <sheet name="350" sheetId="42" r:id="rId27"/>
    <sheet name="400" sheetId="43" r:id="rId28"/>
    <sheet name="450" sheetId="44" r:id="rId29"/>
    <sheet name="500" sheetId="45" r:id="rId30"/>
    <sheet name="550" sheetId="46" r:id="rId31"/>
    <sheet name="600" sheetId="47" r:id="rId32"/>
    <sheet name="650" sheetId="48" r:id="rId33"/>
    <sheet name="700" sheetId="49" r:id="rId34"/>
    <sheet name="750" sheetId="50" r:id="rId35"/>
    <sheet name="800" sheetId="51" r:id="rId36"/>
    <sheet name="900" sheetId="52" r:id="rId37"/>
    <sheet name="1000" sheetId="53" r:id="rId38"/>
    <sheet name="1100" sheetId="54" r:id="rId39"/>
    <sheet name="1200" sheetId="55" r:id="rId40"/>
    <sheet name="1300" sheetId="56" r:id="rId41"/>
    <sheet name="1400" sheetId="57" r:id="rId42"/>
    <sheet name="1500" sheetId="58" r:id="rId43"/>
    <sheet name="1600" sheetId="59" r:id="rId44"/>
    <sheet name="1800" sheetId="60" r:id="rId45"/>
    <sheet name="2000" sheetId="61" r:id="rId46"/>
    <sheet name=" 2200" sheetId="62" r:id="rId47"/>
    <sheet name="2500" sheetId="63" r:id="rId48"/>
    <sheet name="3000" sheetId="64" r:id="rId49"/>
    <sheet name="3500" sheetId="65" r:id="rId50"/>
    <sheet name="4000" sheetId="66" r:id="rId51"/>
    <sheet name="4500" sheetId="67" r:id="rId52"/>
    <sheet name="5000" sheetId="68" r:id="rId53"/>
    <sheet name="5500" sheetId="69" r:id="rId54"/>
    <sheet name="6000" sheetId="70" r:id="rId55"/>
    <sheet name="6500" sheetId="71" r:id="rId56"/>
    <sheet name="7000" sheetId="72" r:id="rId57"/>
    <sheet name="7500" sheetId="73" r:id="rId58"/>
    <sheet name="8000" sheetId="74" r:id="rId59"/>
    <sheet name="9000" sheetId="75" r:id="rId60"/>
    <sheet name="10000" sheetId="76" r:id="rId61"/>
    <sheet name="11000" sheetId="77" r:id="rId62"/>
    <sheet name="12000" sheetId="78" r:id="rId63"/>
    <sheet name="13000" sheetId="79" r:id="rId64"/>
    <sheet name="14000" sheetId="80" r:id="rId65"/>
    <sheet name="15000" sheetId="81" r:id="rId66"/>
    <sheet name="16000" sheetId="82" r:id="rId67"/>
    <sheet name="17000" sheetId="83" r:id="rId68"/>
    <sheet name="18000" sheetId="84" r:id="rId69"/>
    <sheet name="19000" sheetId="85" r:id="rId70"/>
    <sheet name="20000" sheetId="86" r:id="rId71"/>
    <sheet name="22000" sheetId="87" r:id="rId72"/>
    <sheet name="25000" sheetId="88" r:id="rId73"/>
    <sheet name="30000" sheetId="89" r:id="rId74"/>
    <sheet name="35000" sheetId="90" r:id="rId75"/>
    <sheet name="40000" sheetId="91" r:id="rId76"/>
    <sheet name="45000" sheetId="92" r:id="rId77"/>
    <sheet name="50000" sheetId="93" r:id="rId78"/>
    <sheet name="60000" sheetId="94" r:id="rId79"/>
    <sheet name="70000" sheetId="95" r:id="rId80"/>
    <sheet name="80000" sheetId="96" r:id="rId81"/>
    <sheet name="90000" sheetId="97" r:id="rId82"/>
    <sheet name="100000" sheetId="98" r:id="rId83"/>
  </sheets>
  <functionGroups builtInGroupCount="19"/>
  <externalReferences>
    <externalReference r:id="rId84"/>
    <externalReference r:id="rId85"/>
  </externalReferences>
  <definedNames>
    <definedName name="Hf">Mainsheet!$AF$215</definedName>
    <definedName name="Hg">Mainsheet!$AF$216</definedName>
    <definedName name="vf">Mainsheet!$AN$202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3" i="99" l="1"/>
  <c r="D197" i="99" l="1"/>
  <c r="D198" i="99"/>
  <c r="G23" i="99" l="1"/>
  <c r="E21" i="99"/>
  <c r="W8" i="99"/>
  <c r="X8" i="99"/>
  <c r="W9" i="99"/>
  <c r="AB6" i="99" l="1"/>
  <c r="AB95" i="99"/>
  <c r="AB18" i="99"/>
  <c r="AB26" i="99"/>
  <c r="AB34" i="99"/>
  <c r="AB42" i="99"/>
  <c r="AB50" i="99"/>
  <c r="AB58" i="99"/>
  <c r="AB66" i="99"/>
  <c r="AB74" i="99"/>
  <c r="AB82" i="99"/>
  <c r="AB90" i="99"/>
  <c r="AB8" i="99"/>
  <c r="AB96" i="99"/>
  <c r="AB19" i="99"/>
  <c r="AB27" i="99"/>
  <c r="AB35" i="99"/>
  <c r="AB43" i="99"/>
  <c r="AB51" i="99"/>
  <c r="AB59" i="99"/>
  <c r="AB67" i="99"/>
  <c r="AB75" i="99"/>
  <c r="AB83" i="99"/>
  <c r="AB91" i="99"/>
  <c r="AB9" i="99"/>
  <c r="AB97" i="99"/>
  <c r="AB20" i="99"/>
  <c r="AB28" i="99"/>
  <c r="AB36" i="99"/>
  <c r="AB44" i="99"/>
  <c r="AB52" i="99"/>
  <c r="AB60" i="99"/>
  <c r="AB68" i="99"/>
  <c r="AB76" i="99"/>
  <c r="AB84" i="99"/>
  <c r="AB92" i="99"/>
  <c r="AB10" i="99"/>
  <c r="AB21" i="99"/>
  <c r="AB29" i="99"/>
  <c r="AB37" i="99"/>
  <c r="AB45" i="99"/>
  <c r="AB53" i="99"/>
  <c r="AB61" i="99"/>
  <c r="AB69" i="99"/>
  <c r="AB77" i="99"/>
  <c r="AB85" i="99"/>
  <c r="AB11" i="99"/>
  <c r="AB3" i="99"/>
  <c r="AB14" i="99"/>
  <c r="AB22" i="99"/>
  <c r="AB30" i="99"/>
  <c r="AB38" i="99"/>
  <c r="AB46" i="99"/>
  <c r="AB54" i="99"/>
  <c r="AB62" i="99"/>
  <c r="AB70" i="99"/>
  <c r="AB78" i="99"/>
  <c r="AB86" i="99"/>
  <c r="AB4" i="99"/>
  <c r="AB12" i="99"/>
  <c r="AB15" i="99"/>
  <c r="AB23" i="99"/>
  <c r="AB31" i="99"/>
  <c r="AB39" i="99"/>
  <c r="AB47" i="99"/>
  <c r="AB55" i="99"/>
  <c r="AB63" i="99"/>
  <c r="AB71" i="99"/>
  <c r="AB79" i="99"/>
  <c r="AB87" i="99"/>
  <c r="AB5" i="99"/>
  <c r="AB13" i="99"/>
  <c r="AB93" i="99"/>
  <c r="AB16" i="99"/>
  <c r="AB24" i="99"/>
  <c r="AB32" i="99"/>
  <c r="AB40" i="99"/>
  <c r="AB48" i="99"/>
  <c r="AB56" i="99"/>
  <c r="AB64" i="99"/>
  <c r="AB72" i="99"/>
  <c r="AB80" i="99"/>
  <c r="AB88" i="99"/>
  <c r="AB2" i="99"/>
  <c r="AB94" i="99"/>
  <c r="AB17" i="99"/>
  <c r="AB25" i="99"/>
  <c r="AB33" i="99"/>
  <c r="AB41" i="99"/>
  <c r="AB49" i="99"/>
  <c r="AB57" i="99"/>
  <c r="AB65" i="99"/>
  <c r="AB73" i="99"/>
  <c r="AB81" i="99"/>
  <c r="AB89" i="99"/>
  <c r="AB7" i="99"/>
  <c r="X9" i="99"/>
  <c r="R189" i="99" l="1"/>
  <c r="R190" i="99"/>
  <c r="AP215" i="99"/>
  <c r="AF217" i="99"/>
  <c r="AP216" i="99"/>
  <c r="AF215" i="99"/>
  <c r="AI216" i="99"/>
  <c r="AF216" i="99"/>
  <c r="R198" i="99"/>
  <c r="R210" i="99"/>
  <c r="R203" i="99" l="1"/>
  <c r="R197" i="99"/>
  <c r="AG200" i="99"/>
  <c r="I199" i="99"/>
  <c r="D190" i="99"/>
  <c r="F193" i="99"/>
  <c r="F200" i="99"/>
  <c r="AO202" i="99"/>
  <c r="I200" i="99"/>
  <c r="F202" i="99"/>
  <c r="F194" i="99"/>
  <c r="F201" i="99"/>
  <c r="AF202" i="99"/>
  <c r="AN202" i="99"/>
  <c r="I191" i="99"/>
  <c r="F191" i="99"/>
  <c r="AG201" i="99"/>
  <c r="AF201" i="99"/>
  <c r="AN199" i="99"/>
  <c r="AO9" i="99"/>
  <c r="I192" i="99"/>
  <c r="F199" i="99"/>
  <c r="I202" i="99"/>
  <c r="I194" i="99"/>
  <c r="AF200" i="99"/>
  <c r="AN200" i="99"/>
  <c r="I201" i="99"/>
  <c r="I193" i="99"/>
  <c r="AG202" i="99"/>
  <c r="AF199" i="99"/>
  <c r="F192" i="99"/>
  <c r="AG199" i="99"/>
  <c r="AL216" i="99"/>
  <c r="AL218" i="99"/>
  <c r="AK218" i="99"/>
  <c r="AK216" i="99"/>
  <c r="AM215" i="99"/>
  <c r="AL215" i="99"/>
  <c r="AI215" i="99"/>
  <c r="AK215" i="99"/>
  <c r="AM216" i="99"/>
  <c r="G22" i="99" l="1"/>
  <c r="E22" i="99"/>
  <c r="R209" i="99"/>
  <c r="AQ199" i="99"/>
  <c r="AR199" i="99"/>
  <c r="AP200" i="99"/>
  <c r="AQ200" i="99"/>
  <c r="AP199" i="99"/>
  <c r="AR200" i="99"/>
  <c r="AO200" i="99"/>
  <c r="AO199" i="99"/>
  <c r="L201" i="99"/>
  <c r="L202" i="99"/>
  <c r="L199" i="99"/>
  <c r="R194" i="99"/>
  <c r="R191" i="99"/>
  <c r="R192" i="99"/>
  <c r="R195" i="99"/>
  <c r="R204" i="99"/>
  <c r="R206" i="99"/>
  <c r="R207" i="99"/>
  <c r="R208" i="99" l="1"/>
  <c r="R196" i="99"/>
  <c r="R205" i="99"/>
  <c r="R193" i="99"/>
  <c r="L191" i="99"/>
  <c r="L193" i="99"/>
  <c r="L194" i="99"/>
</calcChain>
</file>

<file path=xl/sharedStrings.xml><?xml version="1.0" encoding="utf-8"?>
<sst xmlns="http://schemas.openxmlformats.org/spreadsheetml/2006/main" count="1078" uniqueCount="168">
  <si>
    <r>
      <rPr>
        <sz val="17"/>
        <rFont val="PMingLiU"/>
        <family val="1"/>
      </rPr>
      <t xml:space="preserve">Table 1
</t>
    </r>
    <r>
      <rPr>
        <sz val="17"/>
        <rFont val="PMingLiU"/>
        <family val="1"/>
      </rPr>
      <t>Saturation Line Base:  Temperature</t>
    </r>
  </si>
  <si>
    <r>
      <rPr>
        <sz val="11"/>
        <rFont val="PMingLiU"/>
        <family val="1"/>
      </rPr>
      <t>Saturated Water and Steam (Temperature-based)</t>
    </r>
  </si>
  <si>
    <r>
      <rPr>
        <sz val="11"/>
        <rFont val="Arial"/>
        <family val="2"/>
      </rPr>
      <t xml:space="preserve">T
</t>
    </r>
    <r>
      <rPr>
        <i/>
        <sz val="8"/>
        <rFont val="Times New Roman"/>
        <family val="1"/>
      </rPr>
      <t>‰</t>
    </r>
  </si>
  <si>
    <r>
      <rPr>
        <vertAlign val="superscript"/>
        <sz val="11"/>
        <rFont val="Arial"/>
        <family val="2"/>
      </rPr>
      <t>p</t>
    </r>
    <r>
      <rPr>
        <sz val="8"/>
        <rFont val="Century"/>
        <family val="1"/>
      </rPr>
      <t xml:space="preserve">sat
</t>
    </r>
    <r>
      <rPr>
        <sz val="11"/>
        <rFont val="PMingLiU"/>
        <family val="1"/>
      </rPr>
      <t>MPa</t>
    </r>
  </si>
  <si>
    <r>
      <rPr>
        <sz val="11"/>
        <rFont val="PMingLiU"/>
        <family val="1"/>
      </rPr>
      <t>Volume, m</t>
    </r>
    <r>
      <rPr>
        <vertAlign val="superscript"/>
        <sz val="11"/>
        <rFont val="Century"/>
        <family val="1"/>
      </rPr>
      <t>3</t>
    </r>
    <r>
      <rPr>
        <sz val="11"/>
        <rFont val="PMingLiU"/>
        <family val="1"/>
      </rPr>
      <t>/kg</t>
    </r>
  </si>
  <si>
    <r>
      <rPr>
        <sz val="11"/>
        <rFont val="PMingLiU"/>
        <family val="1"/>
      </rPr>
      <t>Energy, kJ/kg</t>
    </r>
  </si>
  <si>
    <r>
      <rPr>
        <sz val="11"/>
        <rFont val="PMingLiU"/>
        <family val="1"/>
      </rPr>
      <t>Enthalpy, kJ/kg</t>
    </r>
  </si>
  <si>
    <r>
      <rPr>
        <sz val="11"/>
        <rFont val="PMingLiU"/>
        <family val="1"/>
      </rPr>
      <t>Entropy, kJ/(kg K)</t>
    </r>
  </si>
  <si>
    <r>
      <rPr>
        <sz val="11"/>
        <rFont val="Arial"/>
        <family val="2"/>
      </rPr>
      <t>v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</si>
  <si>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v</t>
    </r>
    <r>
      <rPr>
        <vertAlign val="subscript"/>
        <sz val="11"/>
        <rFont val="Arial"/>
        <family val="2"/>
      </rPr>
      <t>g</t>
    </r>
  </si>
  <si>
    <r>
      <rPr>
        <sz val="11"/>
        <rFont val="Arial"/>
        <family val="2"/>
      </rPr>
      <t>u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</si>
  <si>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u</t>
    </r>
    <r>
      <rPr>
        <vertAlign val="subscript"/>
        <sz val="11"/>
        <rFont val="Arial"/>
        <family val="2"/>
      </rPr>
      <t>g</t>
    </r>
  </si>
  <si>
    <r>
      <rPr>
        <sz val="11"/>
        <rFont val="Arial"/>
        <family val="2"/>
      </rPr>
      <t>h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</si>
  <si>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h</t>
    </r>
    <r>
      <rPr>
        <vertAlign val="subscript"/>
        <sz val="11"/>
        <rFont val="Arial"/>
        <family val="2"/>
      </rPr>
      <t>g</t>
    </r>
  </si>
  <si>
    <r>
      <rPr>
        <vertAlign val="superscript"/>
        <sz val="11"/>
        <rFont val="Arial"/>
        <family val="2"/>
      </rPr>
      <t>h</t>
    </r>
    <r>
      <rPr>
        <sz val="8"/>
        <rFont val="Arial"/>
        <family val="2"/>
      </rPr>
      <t>fg</t>
    </r>
  </si>
  <si>
    <r>
      <rPr>
        <sz val="11"/>
        <rFont val="Arial"/>
        <family val="2"/>
      </rPr>
      <t>s</t>
    </r>
    <r>
      <rPr>
        <vertAlign val="subscript"/>
        <sz val="11"/>
        <rFont val="Arial"/>
        <family val="2"/>
      </rPr>
      <t>f</t>
    </r>
  </si>
  <si>
    <r>
      <rPr>
        <sz val="11"/>
        <rFont val="Arial"/>
        <family val="2"/>
      </rPr>
      <t>s</t>
    </r>
    <r>
      <rPr>
        <vertAlign val="subscript"/>
        <sz val="11"/>
        <rFont val="Arial"/>
        <family val="2"/>
      </rPr>
      <t>g</t>
    </r>
  </si>
  <si>
    <r>
      <rPr>
        <vertAlign val="superscript"/>
        <sz val="11"/>
        <rFont val="Arial"/>
        <family val="2"/>
      </rPr>
      <t>s</t>
    </r>
    <r>
      <rPr>
        <sz val="8"/>
        <rFont val="Arial"/>
        <family val="2"/>
      </rPr>
      <t>fg</t>
    </r>
  </si>
  <si>
    <r>
      <rPr>
        <sz val="11"/>
        <rFont val="PMingLiU"/>
        <family val="1"/>
      </rPr>
      <t>m</t>
    </r>
    <r>
      <rPr>
        <vertAlign val="superscript"/>
        <sz val="11"/>
        <rFont val="Century"/>
        <family val="1"/>
      </rPr>
      <t>3</t>
    </r>
    <r>
      <rPr>
        <sz val="11"/>
        <rFont val="PMingLiU"/>
        <family val="1"/>
      </rPr>
      <t>/kg</t>
    </r>
  </si>
  <si>
    <r>
      <rPr>
        <sz val="11"/>
        <rFont val="PMingLiU"/>
        <family val="1"/>
      </rPr>
      <t>kJ/kg</t>
    </r>
  </si>
  <si>
    <r>
      <rPr>
        <sz val="11"/>
        <rFont val="Arial"/>
        <family val="2"/>
      </rPr>
      <t>T</t>
    </r>
    <r>
      <rPr>
        <vertAlign val="subscript"/>
        <sz val="11"/>
        <rFont val="Arial"/>
        <family val="2"/>
      </rPr>
      <t>c</t>
    </r>
    <r>
      <rPr>
        <sz val="11"/>
        <rFont val="Arial"/>
        <family val="2"/>
      </rPr>
      <t xml:space="preserve"> </t>
    </r>
    <r>
      <rPr>
        <sz val="11"/>
        <rFont val="PMingLiU"/>
        <family val="1"/>
      </rPr>
      <t xml:space="preserve">= 373.946 </t>
    </r>
    <r>
      <rPr>
        <i/>
        <sz val="8"/>
        <rFont val="Times New Roman"/>
        <family val="1"/>
      </rPr>
      <t>‰</t>
    </r>
  </si>
  <si>
    <r>
      <rPr>
        <sz val="17"/>
        <rFont val="PMingLiU"/>
        <family val="1"/>
      </rPr>
      <t xml:space="preserve">Table 2
</t>
    </r>
    <r>
      <rPr>
        <sz val="17"/>
        <rFont val="PMingLiU"/>
        <family val="1"/>
      </rPr>
      <t>Saturation Line Base:  Pressure</t>
    </r>
  </si>
  <si>
    <r>
      <rPr>
        <sz val="11"/>
        <rFont val="PMingLiU"/>
        <family val="1"/>
      </rPr>
      <t xml:space="preserve">Saturated Water and Steam (Pressure-based)
</t>
    </r>
    <r>
      <rPr>
        <sz val="11"/>
        <rFont val="Arial"/>
        <family val="2"/>
      </rPr>
      <t>p</t>
    </r>
    <r>
      <rPr>
        <vertAlign val="subscript"/>
        <sz val="11"/>
        <rFont val="Arial"/>
        <family val="2"/>
      </rPr>
      <t>tp</t>
    </r>
    <r>
      <rPr>
        <sz val="11"/>
        <rFont val="Arial"/>
        <family val="2"/>
      </rPr>
      <t xml:space="preserve"> </t>
    </r>
    <r>
      <rPr>
        <sz val="11"/>
        <rFont val="PMingLiU"/>
        <family val="1"/>
      </rPr>
      <t>= 611.657 Pa = 0.000611657 MPa</t>
    </r>
  </si>
  <si>
    <r>
      <rPr>
        <sz val="11"/>
        <rFont val="Arial"/>
        <family val="2"/>
      </rPr>
      <t xml:space="preserve">p
</t>
    </r>
    <r>
      <rPr>
        <sz val="11"/>
        <rFont val="PMingLiU"/>
        <family val="1"/>
      </rPr>
      <t>MPa</t>
    </r>
  </si>
  <si>
    <r>
      <rPr>
        <vertAlign val="superscript"/>
        <sz val="11"/>
        <rFont val="Arial"/>
        <family val="2"/>
      </rPr>
      <t>T</t>
    </r>
    <r>
      <rPr>
        <sz val="8"/>
        <rFont val="Century"/>
        <family val="1"/>
      </rPr>
      <t xml:space="preserve">sat
</t>
    </r>
    <r>
      <rPr>
        <i/>
        <sz val="8"/>
        <rFont val="Times New Roman"/>
        <family val="1"/>
      </rPr>
      <t>‰</t>
    </r>
  </si>
  <si>
    <r>
      <rPr>
        <sz val="17"/>
        <rFont val="PMingLiU"/>
        <family val="1"/>
      </rPr>
      <t xml:space="preserve">Table 3
</t>
    </r>
    <r>
      <rPr>
        <sz val="17"/>
        <rFont val="PMingLiU"/>
        <family val="1"/>
      </rPr>
      <t>Water (Subcooled) / Steam (Superheated)</t>
    </r>
  </si>
  <si>
    <r>
      <rPr>
        <sz val="11"/>
        <rFont val="Arial"/>
        <family val="2"/>
      </rPr>
      <t>T</t>
    </r>
  </si>
  <si>
    <r>
      <rPr>
        <sz val="11"/>
        <rFont val="Arial"/>
        <family val="2"/>
      </rPr>
      <t>v</t>
    </r>
  </si>
  <si>
    <r>
      <rPr>
        <sz val="11"/>
        <rFont val="Arial"/>
        <family val="2"/>
      </rPr>
      <t>u</t>
    </r>
  </si>
  <si>
    <r>
      <rPr>
        <sz val="11"/>
        <rFont val="Arial"/>
        <family val="2"/>
      </rPr>
      <t>h</t>
    </r>
  </si>
  <si>
    <r>
      <rPr>
        <sz val="11"/>
        <rFont val="Arial"/>
        <family val="2"/>
      </rPr>
      <t>s</t>
    </r>
  </si>
  <si>
    <r>
      <rPr>
        <i/>
        <sz val="8"/>
        <rFont val="Times New Roman"/>
        <family val="1"/>
      </rPr>
      <t>°</t>
    </r>
    <r>
      <rPr>
        <sz val="11"/>
        <rFont val="PMingLiU"/>
        <family val="1"/>
      </rPr>
      <t>C</t>
    </r>
  </si>
  <si>
    <r>
      <rPr>
        <sz val="11"/>
        <rFont val="PMingLiU"/>
        <family val="1"/>
      </rPr>
      <t>kJ/kg K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</si>
  <si>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60</t>
    </r>
    <r>
      <rPr>
        <sz val="11"/>
        <rFont val="Arial"/>
        <family val="2"/>
      </rPr>
      <t>.</t>
    </r>
    <r>
      <rPr>
        <sz val="11"/>
        <rFont val="PMingLiU"/>
        <family val="1"/>
      </rPr>
      <t>058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</si>
  <si>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03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69</t>
    </r>
    <r>
      <rPr>
        <sz val="11"/>
        <rFont val="Arial"/>
        <family val="2"/>
      </rPr>
      <t>.</t>
    </r>
    <r>
      <rPr>
        <sz val="11"/>
        <rFont val="PMingLiU"/>
        <family val="1"/>
      </rPr>
      <t>095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</si>
  <si>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75</t>
    </r>
    <r>
      <rPr>
        <sz val="11"/>
        <rFont val="Arial"/>
        <family val="2"/>
      </rPr>
      <t>.</t>
    </r>
    <r>
      <rPr>
        <sz val="11"/>
        <rFont val="PMingLiU"/>
        <family val="1"/>
      </rPr>
      <t>857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</si>
  <si>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81</t>
    </r>
    <r>
      <rPr>
        <sz val="11"/>
        <rFont val="Arial"/>
        <family val="2"/>
      </rPr>
      <t>.</t>
    </r>
    <r>
      <rPr>
        <sz val="11"/>
        <rFont val="PMingLiU"/>
        <family val="1"/>
      </rPr>
      <t>317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</si>
  <si>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85</t>
    </r>
    <r>
      <rPr>
        <sz val="11"/>
        <rFont val="Arial"/>
        <family val="2"/>
      </rPr>
      <t>.</t>
    </r>
    <r>
      <rPr>
        <sz val="11"/>
        <rFont val="PMingLiU"/>
        <family val="1"/>
      </rPr>
      <t>926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</si>
  <si>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07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89</t>
    </r>
    <r>
      <rPr>
        <sz val="11"/>
        <rFont val="Arial"/>
        <family val="2"/>
      </rPr>
      <t>.</t>
    </r>
    <r>
      <rPr>
        <sz val="11"/>
        <rFont val="PMingLiU"/>
        <family val="1"/>
      </rPr>
      <t>932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</si>
  <si>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93</t>
    </r>
    <r>
      <rPr>
        <sz val="11"/>
        <rFont val="Arial"/>
        <family val="2"/>
      </rPr>
      <t>.</t>
    </r>
    <r>
      <rPr>
        <sz val="11"/>
        <rFont val="PMingLiU"/>
        <family val="1"/>
      </rPr>
      <t>486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</si>
  <si>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09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96</t>
    </r>
    <r>
      <rPr>
        <sz val="11"/>
        <rFont val="Arial"/>
        <family val="2"/>
      </rPr>
      <t>.</t>
    </r>
    <r>
      <rPr>
        <sz val="11"/>
        <rFont val="PMingLiU"/>
        <family val="1"/>
      </rPr>
      <t>687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</si>
  <si>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99</t>
    </r>
    <r>
      <rPr>
        <sz val="11"/>
        <rFont val="Arial"/>
        <family val="2"/>
      </rPr>
      <t>.</t>
    </r>
    <r>
      <rPr>
        <sz val="11"/>
        <rFont val="PMingLiU"/>
        <family val="1"/>
      </rPr>
      <t>606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</si>
  <si>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11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102</t>
    </r>
    <r>
      <rPr>
        <sz val="11"/>
        <rFont val="Arial"/>
        <family val="2"/>
      </rPr>
      <t>.</t>
    </r>
    <r>
      <rPr>
        <sz val="11"/>
        <rFont val="PMingLiU"/>
        <family val="1"/>
      </rPr>
      <t>292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</si>
  <si>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104</t>
    </r>
    <r>
      <rPr>
        <sz val="11"/>
        <rFont val="Arial"/>
        <family val="2"/>
      </rPr>
      <t>.</t>
    </r>
    <r>
      <rPr>
        <sz val="11"/>
        <rFont val="PMingLiU"/>
        <family val="1"/>
      </rPr>
      <t>784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</si>
  <si>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13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107</t>
    </r>
    <r>
      <rPr>
        <sz val="11"/>
        <rFont val="Arial"/>
        <family val="2"/>
      </rPr>
      <t>.</t>
    </r>
    <r>
      <rPr>
        <sz val="11"/>
        <rFont val="PMingLiU"/>
        <family val="1"/>
      </rPr>
      <t>109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</si>
  <si>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109</t>
    </r>
    <r>
      <rPr>
        <sz val="11"/>
        <rFont val="Arial"/>
        <family val="2"/>
      </rPr>
      <t>.</t>
    </r>
    <r>
      <rPr>
        <sz val="11"/>
        <rFont val="PMingLiU"/>
        <family val="1"/>
      </rPr>
      <t>292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</si>
  <si>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111</t>
    </r>
    <r>
      <rPr>
        <sz val="11"/>
        <rFont val="Arial"/>
        <family val="2"/>
      </rPr>
      <t>.</t>
    </r>
    <r>
      <rPr>
        <sz val="11"/>
        <rFont val="PMingLiU"/>
        <family val="1"/>
      </rPr>
      <t>349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</si>
  <si>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113</t>
    </r>
    <r>
      <rPr>
        <sz val="11"/>
        <rFont val="Arial"/>
        <family val="2"/>
      </rPr>
      <t>.</t>
    </r>
    <r>
      <rPr>
        <sz val="11"/>
        <rFont val="PMingLiU"/>
        <family val="1"/>
      </rPr>
      <t>297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</si>
  <si>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18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116</t>
    </r>
    <r>
      <rPr>
        <sz val="11"/>
        <rFont val="Arial"/>
        <family val="2"/>
      </rPr>
      <t>.</t>
    </r>
    <r>
      <rPr>
        <sz val="11"/>
        <rFont val="PMingLiU"/>
        <family val="1"/>
      </rPr>
      <t>911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</si>
  <si>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120</t>
    </r>
    <r>
      <rPr>
        <sz val="11"/>
        <rFont val="Arial"/>
        <family val="2"/>
      </rPr>
      <t>.</t>
    </r>
    <r>
      <rPr>
        <sz val="11"/>
        <rFont val="PMingLiU"/>
        <family val="1"/>
      </rPr>
      <t>210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</si>
  <si>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123</t>
    </r>
    <r>
      <rPr>
        <sz val="11"/>
        <rFont val="Arial"/>
        <family val="2"/>
      </rPr>
      <t>.</t>
    </r>
    <r>
      <rPr>
        <sz val="11"/>
        <rFont val="PMingLiU"/>
        <family val="1"/>
      </rPr>
      <t>250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</si>
  <si>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126</t>
    </r>
    <r>
      <rPr>
        <sz val="11"/>
        <rFont val="Arial"/>
        <family val="2"/>
      </rPr>
      <t>.</t>
    </r>
    <r>
      <rPr>
        <sz val="11"/>
        <rFont val="PMingLiU"/>
        <family val="1"/>
      </rPr>
      <t>072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</si>
  <si>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128</t>
    </r>
    <r>
      <rPr>
        <sz val="11"/>
        <rFont val="Arial"/>
        <family val="2"/>
      </rPr>
      <t>.</t>
    </r>
    <r>
      <rPr>
        <sz val="11"/>
        <rFont val="PMingLiU"/>
        <family val="1"/>
      </rPr>
      <t>708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</si>
  <si>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28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131</t>
    </r>
    <r>
      <rPr>
        <sz val="11"/>
        <rFont val="Arial"/>
        <family val="2"/>
      </rPr>
      <t>.</t>
    </r>
    <r>
      <rPr>
        <sz val="11"/>
        <rFont val="PMingLiU"/>
        <family val="1"/>
      </rPr>
      <t>185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</si>
  <si>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30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133</t>
    </r>
    <r>
      <rPr>
        <sz val="11"/>
        <rFont val="Arial"/>
        <family val="2"/>
      </rPr>
      <t>.</t>
    </r>
    <r>
      <rPr>
        <sz val="11"/>
        <rFont val="PMingLiU"/>
        <family val="1"/>
      </rPr>
      <t>522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</si>
  <si>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35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138</t>
    </r>
    <r>
      <rPr>
        <sz val="11"/>
        <rFont val="Arial"/>
        <family val="2"/>
      </rPr>
      <t>.</t>
    </r>
    <r>
      <rPr>
        <sz val="11"/>
        <rFont val="PMingLiU"/>
        <family val="1"/>
      </rPr>
      <t>857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</si>
  <si>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40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143</t>
    </r>
    <r>
      <rPr>
        <sz val="11"/>
        <rFont val="Arial"/>
        <family val="2"/>
      </rPr>
      <t>.</t>
    </r>
    <r>
      <rPr>
        <sz val="11"/>
        <rFont val="PMingLiU"/>
        <family val="1"/>
      </rPr>
      <t>608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</si>
  <si>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45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147</t>
    </r>
    <r>
      <rPr>
        <sz val="11"/>
        <rFont val="Arial"/>
        <family val="2"/>
      </rPr>
      <t>.</t>
    </r>
    <r>
      <rPr>
        <sz val="11"/>
        <rFont val="PMingLiU"/>
        <family val="1"/>
      </rPr>
      <t>903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</si>
  <si>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50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151</t>
    </r>
    <r>
      <rPr>
        <sz val="11"/>
        <rFont val="Arial"/>
        <family val="2"/>
      </rPr>
      <t>.</t>
    </r>
    <r>
      <rPr>
        <sz val="11"/>
        <rFont val="PMingLiU"/>
        <family val="1"/>
      </rPr>
      <t>831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</si>
  <si>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55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155</t>
    </r>
    <r>
      <rPr>
        <sz val="11"/>
        <rFont val="Arial"/>
        <family val="2"/>
      </rPr>
      <t>.</t>
    </r>
    <r>
      <rPr>
        <sz val="11"/>
        <rFont val="PMingLiU"/>
        <family val="1"/>
      </rPr>
      <t>456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</si>
  <si>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60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158</t>
    </r>
    <r>
      <rPr>
        <sz val="11"/>
        <rFont val="Arial"/>
        <family val="2"/>
      </rPr>
      <t>.</t>
    </r>
    <r>
      <rPr>
        <sz val="11"/>
        <rFont val="PMingLiU"/>
        <family val="1"/>
      </rPr>
      <t>826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</si>
  <si>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65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161</t>
    </r>
    <r>
      <rPr>
        <sz val="11"/>
        <rFont val="Arial"/>
        <family val="2"/>
      </rPr>
      <t>.</t>
    </r>
    <r>
      <rPr>
        <sz val="11"/>
        <rFont val="PMingLiU"/>
        <family val="1"/>
      </rPr>
      <t>980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</si>
  <si>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70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164</t>
    </r>
    <r>
      <rPr>
        <sz val="11"/>
        <rFont val="Arial"/>
        <family val="2"/>
      </rPr>
      <t>.</t>
    </r>
    <r>
      <rPr>
        <sz val="11"/>
        <rFont val="PMingLiU"/>
        <family val="1"/>
      </rPr>
      <t>946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</si>
  <si>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75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167</t>
    </r>
    <r>
      <rPr>
        <sz val="11"/>
        <rFont val="Arial"/>
        <family val="2"/>
      </rPr>
      <t>.</t>
    </r>
    <r>
      <rPr>
        <sz val="11"/>
        <rFont val="PMingLiU"/>
        <family val="1"/>
      </rPr>
      <t>749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</si>
  <si>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80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170</t>
    </r>
    <r>
      <rPr>
        <sz val="11"/>
        <rFont val="Arial"/>
        <family val="2"/>
      </rPr>
      <t>.</t>
    </r>
    <r>
      <rPr>
        <sz val="11"/>
        <rFont val="PMingLiU"/>
        <family val="1"/>
      </rPr>
      <t>406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</si>
  <si>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0</t>
    </r>
    <r>
      <rPr>
        <sz val="11"/>
        <rFont val="Arial"/>
        <family val="2"/>
      </rPr>
      <t>.</t>
    </r>
    <r>
      <rPr>
        <sz val="11"/>
        <rFont val="PMingLiU"/>
        <family val="1"/>
      </rPr>
      <t>9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175</t>
    </r>
    <r>
      <rPr>
        <sz val="11"/>
        <rFont val="Arial"/>
        <family val="2"/>
      </rPr>
      <t>.</t>
    </r>
    <r>
      <rPr>
        <sz val="11"/>
        <rFont val="PMingLiU"/>
        <family val="1"/>
      </rPr>
      <t>350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</si>
  <si>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179</t>
    </r>
    <r>
      <rPr>
        <sz val="11"/>
        <rFont val="Arial"/>
        <family val="2"/>
      </rPr>
      <t>.</t>
    </r>
    <r>
      <rPr>
        <sz val="11"/>
        <rFont val="PMingLiU"/>
        <family val="1"/>
      </rPr>
      <t>878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</si>
  <si>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1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184</t>
    </r>
    <r>
      <rPr>
        <sz val="11"/>
        <rFont val="Arial"/>
        <family val="2"/>
      </rPr>
      <t>.</t>
    </r>
    <r>
      <rPr>
        <sz val="11"/>
        <rFont val="PMingLiU"/>
        <family val="1"/>
      </rPr>
      <t>062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</si>
  <si>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187</t>
    </r>
    <r>
      <rPr>
        <sz val="11"/>
        <rFont val="Arial"/>
        <family val="2"/>
      </rPr>
      <t>.</t>
    </r>
    <r>
      <rPr>
        <sz val="11"/>
        <rFont val="PMingLiU"/>
        <family val="1"/>
      </rPr>
      <t>957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</si>
  <si>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3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191</t>
    </r>
    <r>
      <rPr>
        <sz val="11"/>
        <rFont val="Arial"/>
        <family val="2"/>
      </rPr>
      <t>.</t>
    </r>
    <r>
      <rPr>
        <sz val="11"/>
        <rFont val="PMingLiU"/>
        <family val="1"/>
      </rPr>
      <t>605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</si>
  <si>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4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195</t>
    </r>
    <r>
      <rPr>
        <sz val="11"/>
        <rFont val="Arial"/>
        <family val="2"/>
      </rPr>
      <t>.</t>
    </r>
    <r>
      <rPr>
        <sz val="11"/>
        <rFont val="PMingLiU"/>
        <family val="1"/>
      </rPr>
      <t>039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</si>
  <si>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198</t>
    </r>
    <r>
      <rPr>
        <sz val="11"/>
        <rFont val="Arial"/>
        <family val="2"/>
      </rPr>
      <t>.</t>
    </r>
    <r>
      <rPr>
        <sz val="11"/>
        <rFont val="PMingLiU"/>
        <family val="1"/>
      </rPr>
      <t>287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</si>
  <si>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6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201</t>
    </r>
    <r>
      <rPr>
        <sz val="11"/>
        <rFont val="Arial"/>
        <family val="2"/>
      </rPr>
      <t>.</t>
    </r>
    <r>
      <rPr>
        <sz val="11"/>
        <rFont val="PMingLiU"/>
        <family val="1"/>
      </rPr>
      <t>370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</si>
  <si>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</t>
    </r>
    <r>
      <rPr>
        <sz val="11"/>
        <rFont val="Arial"/>
        <family val="2"/>
      </rPr>
      <t>.</t>
    </r>
    <r>
      <rPr>
        <sz val="11"/>
        <rFont val="PMingLiU"/>
        <family val="1"/>
      </rPr>
      <t>8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207</t>
    </r>
    <r>
      <rPr>
        <sz val="11"/>
        <rFont val="Arial"/>
        <family val="2"/>
      </rPr>
      <t>.</t>
    </r>
    <r>
      <rPr>
        <sz val="11"/>
        <rFont val="PMingLiU"/>
        <family val="1"/>
      </rPr>
      <t>112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</si>
  <si>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212</t>
    </r>
    <r>
      <rPr>
        <sz val="11"/>
        <rFont val="Arial"/>
        <family val="2"/>
      </rPr>
      <t>.</t>
    </r>
    <r>
      <rPr>
        <sz val="11"/>
        <rFont val="PMingLiU"/>
        <family val="1"/>
      </rPr>
      <t>377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</si>
  <si>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</t>
    </r>
    <r>
      <rPr>
        <sz val="11"/>
        <rFont val="Arial"/>
        <family val="2"/>
      </rPr>
      <t>.</t>
    </r>
    <r>
      <rPr>
        <sz val="11"/>
        <rFont val="PMingLiU"/>
        <family val="1"/>
      </rPr>
      <t>2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217</t>
    </r>
    <r>
      <rPr>
        <sz val="11"/>
        <rFont val="Arial"/>
        <family val="2"/>
      </rPr>
      <t>.</t>
    </r>
    <r>
      <rPr>
        <sz val="11"/>
        <rFont val="PMingLiU"/>
        <family val="1"/>
      </rPr>
      <t>249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</si>
  <si>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223</t>
    </r>
    <r>
      <rPr>
        <sz val="11"/>
        <rFont val="Arial"/>
        <family val="2"/>
      </rPr>
      <t>.</t>
    </r>
    <r>
      <rPr>
        <sz val="11"/>
        <rFont val="PMingLiU"/>
        <family val="1"/>
      </rPr>
      <t>950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</si>
  <si>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233</t>
    </r>
    <r>
      <rPr>
        <sz val="11"/>
        <rFont val="Arial"/>
        <family val="2"/>
      </rPr>
      <t>.</t>
    </r>
    <r>
      <rPr>
        <sz val="11"/>
        <rFont val="PMingLiU"/>
        <family val="1"/>
      </rPr>
      <t>853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</si>
  <si>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242</t>
    </r>
    <r>
      <rPr>
        <sz val="11"/>
        <rFont val="Arial"/>
        <family val="2"/>
      </rPr>
      <t>.</t>
    </r>
    <r>
      <rPr>
        <sz val="11"/>
        <rFont val="PMingLiU"/>
        <family val="1"/>
      </rPr>
      <t>557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</si>
  <si>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250</t>
    </r>
    <r>
      <rPr>
        <sz val="11"/>
        <rFont val="Arial"/>
        <family val="2"/>
      </rPr>
      <t>.</t>
    </r>
    <r>
      <rPr>
        <sz val="11"/>
        <rFont val="PMingLiU"/>
        <family val="1"/>
      </rPr>
      <t>354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</si>
  <si>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257</t>
    </r>
    <r>
      <rPr>
        <sz val="11"/>
        <rFont val="Arial"/>
        <family val="2"/>
      </rPr>
      <t>.</t>
    </r>
    <r>
      <rPr>
        <sz val="11"/>
        <rFont val="PMingLiU"/>
        <family val="1"/>
      </rPr>
      <t>437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</si>
  <si>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5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263</t>
    </r>
    <r>
      <rPr>
        <sz val="11"/>
        <rFont val="Arial"/>
        <family val="2"/>
      </rPr>
      <t>.</t>
    </r>
    <r>
      <rPr>
        <sz val="11"/>
        <rFont val="PMingLiU"/>
        <family val="1"/>
      </rPr>
      <t>941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</si>
  <si>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5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269</t>
    </r>
    <r>
      <rPr>
        <sz val="11"/>
        <rFont val="Arial"/>
        <family val="2"/>
      </rPr>
      <t>.</t>
    </r>
    <r>
      <rPr>
        <sz val="11"/>
        <rFont val="PMingLiU"/>
        <family val="1"/>
      </rPr>
      <t>965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</si>
  <si>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6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275</t>
    </r>
    <r>
      <rPr>
        <sz val="11"/>
        <rFont val="Arial"/>
        <family val="2"/>
      </rPr>
      <t>.</t>
    </r>
    <r>
      <rPr>
        <sz val="11"/>
        <rFont val="PMingLiU"/>
        <family val="1"/>
      </rPr>
      <t>585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</si>
  <si>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6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280</t>
    </r>
    <r>
      <rPr>
        <sz val="11"/>
        <rFont val="Arial"/>
        <family val="2"/>
      </rPr>
      <t>.</t>
    </r>
    <r>
      <rPr>
        <sz val="11"/>
        <rFont val="PMingLiU"/>
        <family val="1"/>
      </rPr>
      <t>858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</si>
  <si>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7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285</t>
    </r>
    <r>
      <rPr>
        <sz val="11"/>
        <rFont val="Arial"/>
        <family val="2"/>
      </rPr>
      <t>.</t>
    </r>
    <r>
      <rPr>
        <sz val="11"/>
        <rFont val="PMingLiU"/>
        <family val="1"/>
      </rPr>
      <t>829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</si>
  <si>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7</t>
    </r>
    <r>
      <rPr>
        <sz val="11"/>
        <rFont val="Arial"/>
        <family val="2"/>
      </rPr>
      <t>.</t>
    </r>
    <r>
      <rPr>
        <sz val="11"/>
        <rFont val="PMingLiU"/>
        <family val="1"/>
      </rPr>
      <t>5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290</t>
    </r>
    <r>
      <rPr>
        <sz val="11"/>
        <rFont val="Arial"/>
        <family val="2"/>
      </rPr>
      <t>.</t>
    </r>
    <r>
      <rPr>
        <sz val="11"/>
        <rFont val="PMingLiU"/>
        <family val="1"/>
      </rPr>
      <t>535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</si>
  <si>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8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295</t>
    </r>
    <r>
      <rPr>
        <sz val="11"/>
        <rFont val="Arial"/>
        <family val="2"/>
      </rPr>
      <t>.</t>
    </r>
    <r>
      <rPr>
        <sz val="11"/>
        <rFont val="PMingLiU"/>
        <family val="1"/>
      </rPr>
      <t>008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</si>
  <si>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9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303</t>
    </r>
    <r>
      <rPr>
        <sz val="11"/>
        <rFont val="Arial"/>
        <family val="2"/>
      </rPr>
      <t>.</t>
    </r>
    <r>
      <rPr>
        <sz val="11"/>
        <rFont val="PMingLiU"/>
        <family val="1"/>
      </rPr>
      <t>345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</si>
  <si>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10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310</t>
    </r>
    <r>
      <rPr>
        <sz val="11"/>
        <rFont val="Arial"/>
        <family val="2"/>
      </rPr>
      <t>.</t>
    </r>
    <r>
      <rPr>
        <sz val="11"/>
        <rFont val="PMingLiU"/>
        <family val="1"/>
      </rPr>
      <t>997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</si>
  <si>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11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318</t>
    </r>
    <r>
      <rPr>
        <sz val="11"/>
        <rFont val="Arial"/>
        <family val="2"/>
      </rPr>
      <t>.</t>
    </r>
    <r>
      <rPr>
        <sz val="11"/>
        <rFont val="PMingLiU"/>
        <family val="1"/>
      </rPr>
      <t>079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</si>
  <si>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12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324</t>
    </r>
    <r>
      <rPr>
        <sz val="11"/>
        <rFont val="Arial"/>
        <family val="2"/>
      </rPr>
      <t>.</t>
    </r>
    <r>
      <rPr>
        <sz val="11"/>
        <rFont val="PMingLiU"/>
        <family val="1"/>
      </rPr>
      <t>675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</si>
  <si>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13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330</t>
    </r>
    <r>
      <rPr>
        <sz val="11"/>
        <rFont val="Arial"/>
        <family val="2"/>
      </rPr>
      <t>.</t>
    </r>
    <r>
      <rPr>
        <sz val="11"/>
        <rFont val="PMingLiU"/>
        <family val="1"/>
      </rPr>
      <t>854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</si>
  <si>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14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336</t>
    </r>
    <r>
      <rPr>
        <sz val="11"/>
        <rFont val="Arial"/>
        <family val="2"/>
      </rPr>
      <t>.</t>
    </r>
    <r>
      <rPr>
        <sz val="11"/>
        <rFont val="PMingLiU"/>
        <family val="1"/>
      </rPr>
      <t>666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</si>
  <si>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15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342</t>
    </r>
    <r>
      <rPr>
        <sz val="11"/>
        <rFont val="Arial"/>
        <family val="2"/>
      </rPr>
      <t>.</t>
    </r>
    <r>
      <rPr>
        <sz val="11"/>
        <rFont val="PMingLiU"/>
        <family val="1"/>
      </rPr>
      <t>155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</si>
  <si>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16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347</t>
    </r>
    <r>
      <rPr>
        <sz val="11"/>
        <rFont val="Arial"/>
        <family val="2"/>
      </rPr>
      <t>.</t>
    </r>
    <r>
      <rPr>
        <sz val="11"/>
        <rFont val="PMingLiU"/>
        <family val="1"/>
      </rPr>
      <t>355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</si>
  <si>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17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352</t>
    </r>
    <r>
      <rPr>
        <sz val="11"/>
        <rFont val="Arial"/>
        <family val="2"/>
      </rPr>
      <t>.</t>
    </r>
    <r>
      <rPr>
        <sz val="11"/>
        <rFont val="PMingLiU"/>
        <family val="1"/>
      </rPr>
      <t>293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</si>
  <si>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18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356</t>
    </r>
    <r>
      <rPr>
        <sz val="11"/>
        <rFont val="Arial"/>
        <family val="2"/>
      </rPr>
      <t>.</t>
    </r>
    <r>
      <rPr>
        <sz val="11"/>
        <rFont val="PMingLiU"/>
        <family val="1"/>
      </rPr>
      <t>992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</si>
  <si>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19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361</t>
    </r>
    <r>
      <rPr>
        <sz val="11"/>
        <rFont val="Arial"/>
        <family val="2"/>
      </rPr>
      <t>.</t>
    </r>
    <r>
      <rPr>
        <sz val="11"/>
        <rFont val="PMingLiU"/>
        <family val="1"/>
      </rPr>
      <t>473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</si>
  <si>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20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365</t>
    </r>
    <r>
      <rPr>
        <sz val="11"/>
        <rFont val="Arial"/>
        <family val="2"/>
      </rPr>
      <t>.</t>
    </r>
    <r>
      <rPr>
        <sz val="11"/>
        <rFont val="PMingLiU"/>
        <family val="1"/>
      </rPr>
      <t>749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</si>
  <si>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22</t>
    </r>
    <r>
      <rPr>
        <sz val="11"/>
        <rFont val="Arial"/>
        <family val="2"/>
      </rPr>
      <t>.</t>
    </r>
    <r>
      <rPr>
        <sz val="11"/>
        <rFont val="PMingLiU"/>
        <family val="1"/>
      </rPr>
      <t>0 MPa (</t>
    </r>
    <r>
      <rPr>
        <sz val="11"/>
        <rFont val="Arial"/>
        <family val="2"/>
      </rPr>
      <t>T</t>
    </r>
    <r>
      <rPr>
        <vertAlign val="subscript"/>
        <sz val="11"/>
        <rFont val="Century"/>
        <family val="1"/>
      </rPr>
      <t>sat</t>
    </r>
    <r>
      <rPr>
        <sz val="11"/>
        <rFont val="Century"/>
        <family val="1"/>
      </rPr>
      <t xml:space="preserve"> </t>
    </r>
    <r>
      <rPr>
        <sz val="11"/>
        <rFont val="PMingLiU"/>
        <family val="1"/>
      </rPr>
      <t>= 373</t>
    </r>
    <r>
      <rPr>
        <sz val="11"/>
        <rFont val="Arial"/>
        <family val="2"/>
      </rPr>
      <t>.</t>
    </r>
    <r>
      <rPr>
        <sz val="11"/>
        <rFont val="PMingLiU"/>
        <family val="1"/>
      </rPr>
      <t>705</t>
    </r>
    <r>
      <rPr>
        <i/>
        <sz val="7.5"/>
        <rFont val="Times New Roman"/>
        <family val="1"/>
      </rPr>
      <t>‰</t>
    </r>
    <r>
      <rPr>
        <sz val="11"/>
        <rFont val="PMingLiU"/>
        <family val="1"/>
      </rPr>
      <t>)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</si>
  <si>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25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</si>
  <si>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</si>
  <si>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35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</si>
  <si>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</si>
  <si>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45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</si>
  <si>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50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</si>
  <si>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60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</si>
  <si>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70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</si>
  <si>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80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</si>
  <si>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90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</si>
  <si>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r>
      <rPr>
        <sz val="11"/>
        <rFont val="PMingLiU"/>
        <family val="1"/>
      </rPr>
      <t xml:space="preserve">Water/Steam at </t>
    </r>
    <r>
      <rPr>
        <sz val="11"/>
        <rFont val="Arial"/>
        <family val="2"/>
      </rPr>
      <t xml:space="preserve">p </t>
    </r>
    <r>
      <rPr>
        <sz val="11"/>
        <rFont val="PMingLiU"/>
        <family val="1"/>
      </rPr>
      <t>= 100</t>
    </r>
    <r>
      <rPr>
        <sz val="11"/>
        <rFont val="Arial"/>
        <family val="2"/>
      </rPr>
      <t>.</t>
    </r>
    <r>
      <rPr>
        <sz val="11"/>
        <rFont val="PMingLiU"/>
        <family val="1"/>
      </rPr>
      <t>0 MPa</t>
    </r>
  </si>
  <si>
    <t>v</t>
  </si>
  <si>
    <t>Specific Volume , m^3/kg</t>
  </si>
  <si>
    <t>Liquid</t>
  </si>
  <si>
    <t>Vapour</t>
  </si>
  <si>
    <t>Saturation Pressure(kPa)</t>
  </si>
  <si>
    <r>
      <t xml:space="preserve">Enter Temperature, </t>
    </r>
    <r>
      <rPr>
        <i/>
        <sz val="14"/>
        <color rgb="FF002060"/>
        <rFont val="Times New Roman"/>
        <family val="1"/>
      </rPr>
      <t>T</t>
    </r>
    <r>
      <rPr>
        <sz val="14"/>
        <color rgb="FF002060"/>
        <rFont val="Times New Roman"/>
        <family val="1"/>
      </rPr>
      <t>(</t>
    </r>
    <r>
      <rPr>
        <vertAlign val="superscript"/>
        <sz val="14"/>
        <color rgb="FF002060"/>
        <rFont val="Times New Roman"/>
        <family val="1"/>
      </rPr>
      <t>o</t>
    </r>
    <r>
      <rPr>
        <sz val="14"/>
        <color rgb="FF002060"/>
        <rFont val="Times New Roman"/>
        <family val="1"/>
      </rPr>
      <t>C)</t>
    </r>
  </si>
  <si>
    <t>Enter Pressure, P(kPa)</t>
  </si>
  <si>
    <r>
      <t>Saturation Temperature(</t>
    </r>
    <r>
      <rPr>
        <vertAlign val="superscript"/>
        <sz val="12"/>
        <rFont val="Times New Roman"/>
        <family val="1"/>
      </rPr>
      <t>o</t>
    </r>
    <r>
      <rPr>
        <sz val="12"/>
        <rFont val="Times New Roman"/>
        <family val="1"/>
      </rPr>
      <t>C)</t>
    </r>
  </si>
  <si>
    <t>Phase</t>
  </si>
  <si>
    <r>
      <t xml:space="preserve">Entropy, </t>
    </r>
    <r>
      <rPr>
        <i/>
        <sz val="12"/>
        <color rgb="FF000000"/>
        <rFont val="Times New Roman"/>
        <family val="1"/>
      </rPr>
      <t>s</t>
    </r>
    <r>
      <rPr>
        <sz val="12"/>
        <color rgb="FF000000"/>
        <rFont val="Times New Roman"/>
        <family val="1"/>
      </rPr>
      <t xml:space="preserve"> (kJ/kg-K)</t>
    </r>
  </si>
  <si>
    <r>
      <t xml:space="preserve">Entropy, </t>
    </r>
    <r>
      <rPr>
        <i/>
        <sz val="12"/>
        <rFont val="Times New Roman"/>
        <family val="1"/>
      </rPr>
      <t>s</t>
    </r>
    <r>
      <rPr>
        <sz val="12"/>
        <rFont val="Times New Roman"/>
        <family val="1"/>
      </rPr>
      <t xml:space="preserve"> (kJ/kg-K)</t>
    </r>
  </si>
  <si>
    <r>
      <t xml:space="preserve">Internal Energy, </t>
    </r>
    <r>
      <rPr>
        <i/>
        <sz val="12"/>
        <rFont val="Times New Roman"/>
        <family val="1"/>
      </rPr>
      <t>u</t>
    </r>
    <r>
      <rPr>
        <sz val="12"/>
        <rFont val="Times New Roman"/>
        <family val="1"/>
      </rPr>
      <t xml:space="preserve"> (kJ/kg)</t>
    </r>
  </si>
  <si>
    <r>
      <t xml:space="preserve">Enthalpy, </t>
    </r>
    <r>
      <rPr>
        <i/>
        <sz val="12"/>
        <rFont val="Times New Roman"/>
        <family val="1"/>
      </rPr>
      <t xml:space="preserve">h </t>
    </r>
    <r>
      <rPr>
        <sz val="12"/>
        <rFont val="Times New Roman"/>
        <family val="1"/>
      </rPr>
      <t>(kJ/kg)</t>
    </r>
  </si>
  <si>
    <r>
      <t xml:space="preserve">Enthalpy, </t>
    </r>
    <r>
      <rPr>
        <i/>
        <sz val="12"/>
        <color rgb="FF000000"/>
        <rFont val="Times New Roman"/>
        <family val="1"/>
      </rPr>
      <t>h</t>
    </r>
    <r>
      <rPr>
        <sz val="12"/>
        <color rgb="FF000000"/>
        <rFont val="Times New Roman"/>
        <family val="1"/>
      </rPr>
      <t xml:space="preserve"> (kJ/kg)</t>
    </r>
  </si>
  <si>
    <r>
      <rPr>
        <sz val="11"/>
        <rFont val="PMingLiU"/>
        <family val="1"/>
      </rPr>
      <t>p (kPa)</t>
    </r>
    <r>
      <rPr>
        <sz val="11"/>
        <rFont val="Arial"/>
        <family val="2"/>
      </rPr>
      <t/>
    </r>
  </si>
  <si>
    <t>T</t>
  </si>
  <si>
    <t>Vapour Fraction</t>
  </si>
  <si>
    <r>
      <t xml:space="preserve">Specific Volume, </t>
    </r>
    <r>
      <rPr>
        <i/>
        <sz val="12"/>
        <rFont val="Times New Roman"/>
        <family val="1"/>
      </rPr>
      <t>v</t>
    </r>
    <r>
      <rPr>
        <sz val="12"/>
        <rFont val="Times New Roman"/>
        <family val="1"/>
      </rPr>
      <t xml:space="preserve"> (m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>/kg)</t>
    </r>
  </si>
  <si>
    <r>
      <t xml:space="preserve">Specific Volume, </t>
    </r>
    <r>
      <rPr>
        <i/>
        <sz val="12"/>
        <color rgb="FF000000"/>
        <rFont val="Times New Roman"/>
        <family val="1"/>
      </rPr>
      <t>v</t>
    </r>
    <r>
      <rPr>
        <sz val="12"/>
        <color rgb="FF000000"/>
        <rFont val="Times New Roman"/>
        <family val="1"/>
      </rPr>
      <t xml:space="preserve"> (m</t>
    </r>
    <r>
      <rPr>
        <vertAlign val="superscript"/>
        <sz val="12"/>
        <color rgb="FF000000"/>
        <rFont val="Times New Roman"/>
        <family val="1"/>
      </rPr>
      <t>3</t>
    </r>
    <r>
      <rPr>
        <sz val="12"/>
        <color rgb="FF000000"/>
        <rFont val="Times New Roman"/>
        <family val="1"/>
      </rPr>
      <t>/kg)</t>
    </r>
  </si>
  <si>
    <r>
      <rPr>
        <sz val="12"/>
        <color rgb="FF000000"/>
        <rFont val="Times New Roman"/>
        <family val="1"/>
      </rPr>
      <t>Density(kg/m</t>
    </r>
    <r>
      <rPr>
        <vertAlign val="superscript"/>
        <sz val="12"/>
        <color rgb="FF000000"/>
        <rFont val="Times New Roman"/>
        <family val="1"/>
      </rPr>
      <t>3</t>
    </r>
    <r>
      <rPr>
        <sz val="12"/>
        <color rgb="FF000000"/>
        <rFont val="Times New Roman"/>
        <family val="1"/>
      </rPr>
      <t>)</t>
    </r>
  </si>
  <si>
    <r>
      <rPr>
        <b/>
        <i/>
        <sz val="14"/>
        <color rgb="FF006600"/>
        <rFont val="Times New Roman"/>
        <family val="1"/>
      </rPr>
      <t>h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</si>
  <si>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h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</si>
  <si>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h</t>
    </r>
    <r>
      <rPr>
        <b/>
        <vertAlign val="subscript"/>
        <sz val="14"/>
        <color rgb="FF006600"/>
        <rFont val="Times New Roman"/>
        <family val="1"/>
      </rPr>
      <t>fg</t>
    </r>
  </si>
  <si>
    <r>
      <rPr>
        <b/>
        <i/>
        <sz val="14"/>
        <color rgb="FF006600"/>
        <rFont val="Times New Roman"/>
        <family val="1"/>
      </rPr>
      <t>v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</si>
  <si>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v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</si>
  <si>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s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</si>
  <si>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s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</si>
  <si>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s</t>
    </r>
    <r>
      <rPr>
        <b/>
        <vertAlign val="subscript"/>
        <sz val="14"/>
        <color rgb="FF006600"/>
        <rFont val="Times New Roman"/>
        <family val="1"/>
      </rPr>
      <t>fg</t>
    </r>
  </si>
  <si>
    <r>
      <rPr>
        <b/>
        <i/>
        <sz val="14"/>
        <color rgb="FF006600"/>
        <rFont val="Times New Roman"/>
        <family val="1"/>
      </rPr>
      <t>u</t>
    </r>
    <r>
      <rPr>
        <b/>
        <vertAlign val="subscript"/>
        <sz val="14"/>
        <color rgb="FF006600"/>
        <rFont val="Times New Roman"/>
        <family val="1"/>
      </rPr>
      <t>f</t>
    </r>
  </si>
  <si>
    <r>
      <rPr>
        <b/>
        <i/>
        <sz val="14"/>
        <color rgb="FF006600"/>
        <rFont val="Times New Roman"/>
        <family val="1"/>
      </rPr>
      <t>u</t>
    </r>
    <r>
      <rPr>
        <b/>
        <vertAlign val="subscript"/>
        <sz val="14"/>
        <color rgb="FF006600"/>
        <rFont val="Times New Roman"/>
        <family val="1"/>
      </rPr>
      <t>g</t>
    </r>
  </si>
  <si>
    <r>
      <rPr>
        <b/>
        <i/>
        <sz val="14"/>
        <color rgb="FF006600"/>
        <rFont val="Times New Roman"/>
        <family val="1"/>
      </rPr>
      <t>u</t>
    </r>
    <r>
      <rPr>
        <b/>
        <vertAlign val="subscript"/>
        <sz val="14"/>
        <color rgb="FF006600"/>
        <rFont val="Times New Roman"/>
        <family val="1"/>
      </rPr>
      <t>fg</t>
    </r>
  </si>
  <si>
    <t xml:space="preserve">Isobaric heat capacity(kJ/kg) </t>
  </si>
  <si>
    <t>Enter Pressure,P(kPa)</t>
  </si>
  <si>
    <t>Enter Enthalpy,h(kJ/kg)</t>
  </si>
  <si>
    <r>
      <t>Temperature(</t>
    </r>
    <r>
      <rPr>
        <vertAlign val="superscript"/>
        <sz val="14"/>
        <color rgb="FF000000"/>
        <rFont val="Times New Roman"/>
        <family val="1"/>
      </rPr>
      <t>o</t>
    </r>
    <r>
      <rPr>
        <sz val="14"/>
        <color rgb="FF000000"/>
        <rFont val="Times New Roman"/>
        <family val="1"/>
      </rPr>
      <t>C)</t>
    </r>
  </si>
  <si>
    <t xml:space="preserve">Thermodynamic Properties </t>
  </si>
  <si>
    <t>(Given Temperature and Pressure)</t>
  </si>
  <si>
    <t>All Saturation Properties</t>
  </si>
  <si>
    <t xml:space="preserve"> (Given Temperature)</t>
  </si>
  <si>
    <t xml:space="preserve">All Saturation Properties </t>
  </si>
  <si>
    <t>(Given Pressure)</t>
  </si>
  <si>
    <t xml:space="preserve">Isobaric heat capacity(kJ/kg.K) </t>
  </si>
  <si>
    <t xml:space="preserve">Note: 1) The values of temperature should lie between 0.01 deg C to  critical temperature (Tc = 373.96 deg C). </t>
  </si>
  <si>
    <t>2) The values of pressure should typically be between 0.62 kPa-22050 kPa.</t>
  </si>
  <si>
    <t>(Given Pressure and Enthalpy)</t>
  </si>
  <si>
    <t>Rankine Cycle</t>
  </si>
  <si>
    <r>
      <rPr>
        <b/>
        <sz val="14"/>
        <color rgb="FF000000"/>
        <rFont val="Times New Roman"/>
        <family val="1"/>
      </rPr>
      <t>Boiler Pressure,P</t>
    </r>
    <r>
      <rPr>
        <b/>
        <vertAlign val="subscript"/>
        <sz val="14"/>
        <color rgb="FF000000"/>
        <rFont val="Times New Roman"/>
        <family val="1"/>
      </rPr>
      <t>b</t>
    </r>
    <r>
      <rPr>
        <b/>
        <sz val="14"/>
        <color rgb="FF000000"/>
        <rFont val="Times New Roman"/>
        <family val="1"/>
      </rPr>
      <t xml:space="preserve"> =</t>
    </r>
  </si>
  <si>
    <t>s2=</t>
  </si>
  <si>
    <t>p2=</t>
  </si>
  <si>
    <t>s1</t>
  </si>
  <si>
    <t>s2</t>
  </si>
  <si>
    <t>s3</t>
  </si>
  <si>
    <r>
      <t>Condenser Pressure,P</t>
    </r>
    <r>
      <rPr>
        <b/>
        <vertAlign val="subscript"/>
        <sz val="14"/>
        <color rgb="FF000000"/>
        <rFont val="Times New Roman"/>
        <family val="1"/>
      </rPr>
      <t>c</t>
    </r>
    <r>
      <rPr>
        <b/>
        <sz val="14"/>
        <color rgb="FF000000"/>
        <rFont val="Times New Roman"/>
        <family val="1"/>
      </rPr>
      <t>(KPa)</t>
    </r>
    <r>
      <rPr>
        <b/>
        <vertAlign val="subscript"/>
        <sz val="14"/>
        <color rgb="FF000000"/>
        <rFont val="Times New Roman"/>
        <family val="1"/>
      </rPr>
      <t xml:space="preserve"> </t>
    </r>
    <r>
      <rPr>
        <b/>
        <sz val="14"/>
        <color rgb="FF000000"/>
        <rFont val="Times New Roman"/>
        <family val="1"/>
      </rPr>
      <t>=</t>
    </r>
  </si>
  <si>
    <t>s1=</t>
  </si>
  <si>
    <t>T1=</t>
  </si>
  <si>
    <t>T2=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</si>
</sst>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0"/>
    <numFmt numFmtId="165" formatCode="0.00000000"/>
    <numFmt numFmtId="166" formatCode="0.000"/>
    <numFmt numFmtId="167" formatCode="0.0"/>
    <numFmt numFmtId="168" formatCode="0.0000"/>
    <numFmt numFmtId="169" formatCode="0.00000"/>
    <numFmt numFmtId="170" formatCode="0.000000"/>
  </numFmts>
  <fonts count="62" x14ac:knownFonts="1">
    <font>
      <sz val="10"/>
      <color rgb="FF000000"/>
      <name val="Times New Roman"/>
      <charset val="204"/>
    </font>
    <font>
      <sz val="11"/>
      <name val="PMingLiU"/>
      <family val="1"/>
      <charset val="136"/>
    </font>
    <font>
      <sz val="11"/>
      <name val="Arial"/>
      <family val="2"/>
    </font>
    <font>
      <sz val="11"/>
      <color rgb="FF000000"/>
      <name val="PMingLiU"/>
      <family val="2"/>
    </font>
    <font>
      <sz val="17"/>
      <name val="PMingLiU"/>
      <family val="1"/>
    </font>
    <font>
      <sz val="11"/>
      <name val="PMingLiU"/>
      <family val="1"/>
    </font>
    <font>
      <sz val="11"/>
      <name val="Arial"/>
      <family val="2"/>
    </font>
    <font>
      <i/>
      <sz val="8"/>
      <name val="Times New Roman"/>
      <family val="1"/>
    </font>
    <font>
      <vertAlign val="superscript"/>
      <sz val="11"/>
      <name val="Arial"/>
      <family val="2"/>
    </font>
    <font>
      <sz val="8"/>
      <name val="Century"/>
      <family val="1"/>
    </font>
    <font>
      <vertAlign val="superscript"/>
      <sz val="11"/>
      <name val="Century"/>
      <family val="1"/>
    </font>
    <font>
      <vertAlign val="subscript"/>
      <sz val="11"/>
      <name val="Arial"/>
      <family val="2"/>
    </font>
    <font>
      <sz val="8"/>
      <name val="Arial"/>
      <family val="2"/>
    </font>
    <font>
      <vertAlign val="subscript"/>
      <sz val="11"/>
      <name val="Century"/>
      <family val="1"/>
    </font>
    <font>
      <sz val="11"/>
      <name val="Century"/>
      <family val="1"/>
    </font>
    <font>
      <i/>
      <sz val="7.5"/>
      <name val="Times New Roman"/>
      <family val="1"/>
    </font>
    <font>
      <sz val="14"/>
      <color rgb="FF00B05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sz val="14"/>
      <color rgb="FF002060"/>
      <name val="Times New Roman"/>
      <family val="1"/>
    </font>
    <font>
      <i/>
      <sz val="14"/>
      <color rgb="FF002060"/>
      <name val="Times New Roman"/>
      <family val="1"/>
    </font>
    <font>
      <vertAlign val="superscript"/>
      <sz val="14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2060"/>
      <name val="Times New Roman"/>
      <family val="1"/>
    </font>
    <font>
      <sz val="14"/>
      <color theme="0"/>
      <name val="Times New Roman"/>
      <family val="1"/>
    </font>
    <font>
      <b/>
      <sz val="14"/>
      <color theme="0"/>
      <name val="Times New Roman"/>
      <family val="1"/>
    </font>
    <font>
      <sz val="10"/>
      <name val="Times New Roman"/>
      <family val="2"/>
      <charset val="204"/>
    </font>
    <font>
      <vertAlign val="superscript"/>
      <sz val="12"/>
      <name val="Times New Roman"/>
      <family val="1"/>
    </font>
    <font>
      <sz val="11"/>
      <name val="Times New Roman"/>
      <family val="1"/>
      <charset val="204"/>
    </font>
    <font>
      <sz val="11"/>
      <color rgb="FF000000"/>
      <name val="PMingLiU-ExtB"/>
      <family val="1"/>
    </font>
    <font>
      <sz val="10"/>
      <color theme="0"/>
      <name val="Times New Roman"/>
      <family val="1"/>
    </font>
    <font>
      <sz val="12"/>
      <color rgb="FF000000"/>
      <name val="Times New Roman"/>
      <family val="1"/>
    </font>
    <font>
      <vertAlign val="superscript"/>
      <sz val="12"/>
      <color rgb="FF000000"/>
      <name val="Times New Roman"/>
      <family val="1"/>
    </font>
    <font>
      <i/>
      <sz val="12"/>
      <color rgb="FF000000"/>
      <name val="Times New Roman"/>
      <family val="1"/>
    </font>
    <font>
      <sz val="14"/>
      <color rgb="FF000000"/>
      <name val="Times New Roman"/>
      <family val="1"/>
    </font>
    <font>
      <vertAlign val="superscript"/>
      <sz val="14"/>
      <color rgb="FF000000"/>
      <name val="Times New Roman"/>
      <family val="1"/>
    </font>
    <font>
      <b/>
      <sz val="16"/>
      <color rgb="FFFF0000"/>
      <name val="Times New Roman"/>
      <family val="1"/>
    </font>
    <font>
      <b/>
      <sz val="14"/>
      <color rgb="FF006600"/>
      <name val="Times New Roman"/>
      <family val="1"/>
    </font>
    <font>
      <b/>
      <i/>
      <sz val="14"/>
      <color rgb="FF006600"/>
      <name val="Times New Roman"/>
      <family val="1"/>
    </font>
    <font>
      <b/>
      <vertAlign val="subscript"/>
      <sz val="14"/>
      <color rgb="FF006600"/>
      <name val="Times New Roman"/>
      <family val="1"/>
    </font>
    <font>
      <sz val="14"/>
      <color rgb="FF006600"/>
      <name val="Times New Roman"/>
      <family val="1"/>
    </font>
    <font>
      <sz val="10"/>
      <name val="Arial"/>
      <family val="2"/>
    </font>
    <font>
      <sz val="16"/>
      <color theme="0"/>
      <name val="Times New Roman"/>
      <family val="1"/>
    </font>
    <font>
      <sz val="10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FF33CC"/>
      <name val="Times New Roman"/>
      <family val="1"/>
    </font>
    <font>
      <b/>
      <sz val="16"/>
      <color rgb="FF00B050"/>
      <name val="Times New Roman"/>
      <family val="1"/>
    </font>
    <font>
      <sz val="20"/>
      <color rgb="FF000000"/>
      <name val="Times New Roman"/>
      <family val="1"/>
    </font>
    <font>
      <sz val="28"/>
      <color theme="9" tint="0.79998168889431442"/>
      <name val="Times New Roman"/>
      <family val="1"/>
    </font>
    <font>
      <b/>
      <sz val="14"/>
      <color rgb="FF00B050"/>
      <name val="Times New Roman"/>
      <family val="1"/>
    </font>
    <font>
      <b/>
      <sz val="14"/>
      <color rgb="FFFF33CC"/>
      <name val="Times New Roman"/>
      <family val="1"/>
    </font>
    <font>
      <b/>
      <sz val="14"/>
      <color rgb="FFFF0000"/>
      <name val="Times New Roman"/>
      <family val="1"/>
    </font>
    <font>
      <sz val="10"/>
      <color rgb="FF000000"/>
      <name val="Times New Roman"/>
      <family val="1"/>
    </font>
    <font>
      <b/>
      <sz val="20"/>
      <color theme="0"/>
      <name val="Times New Roman"/>
      <family val="1"/>
    </font>
    <font>
      <u/>
      <sz val="10"/>
      <color theme="10"/>
      <name val="Times New Roman"/>
      <family val="1"/>
    </font>
    <font>
      <sz val="14"/>
      <color theme="1"/>
      <name val="Times New Roman"/>
      <family val="1"/>
    </font>
    <font>
      <b/>
      <sz val="12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vertAlign val="subscript"/>
      <sz val="14"/>
      <color rgb="FF000000"/>
      <name val="Times New Roman"/>
      <family val="1"/>
    </font>
    <font>
      <b/>
      <sz val="16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PMingLiU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41" fillId="0" borderId="0"/>
    <xf numFmtId="0" fontId="54" fillId="0" borderId="0" applyNumberFormat="0" applyFill="0" applyBorder="0" applyAlignment="0" applyProtection="0"/>
  </cellStyleXfs>
  <cellXfs count="232">
    <xf numFmtId="0" fontId="0" fillId="0" borderId="0" xfId="0" applyFill="1" applyBorder="1" applyAlignment="1">
      <alignment horizontal="left" vertical="top"/>
    </xf>
    <xf numFmtId="0" fontId="0" fillId="0" borderId="1" xfId="0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center" vertical="top" wrapText="1"/>
    </xf>
    <xf numFmtId="1" fontId="3" fillId="0" borderId="2" xfId="0" applyNumberFormat="1" applyFont="1" applyFill="1" applyBorder="1" applyAlignment="1">
      <alignment horizontal="center" vertical="top" shrinkToFit="1"/>
    </xf>
    <xf numFmtId="1" fontId="3" fillId="0" borderId="6" xfId="0" applyNumberFormat="1" applyFont="1" applyFill="1" applyBorder="1" applyAlignment="1">
      <alignment horizontal="center" vertical="top" shrinkToFit="1"/>
    </xf>
    <xf numFmtId="1" fontId="3" fillId="0" borderId="3" xfId="0" applyNumberFormat="1" applyFont="1" applyFill="1" applyBorder="1" applyAlignment="1">
      <alignment horizontal="center" vertical="top" shrinkToFit="1"/>
    </xf>
    <xf numFmtId="0" fontId="2" fillId="0" borderId="13" xfId="0" applyFont="1" applyFill="1" applyBorder="1" applyAlignment="1">
      <alignment horizontal="center" vertical="top" wrapText="1"/>
    </xf>
    <xf numFmtId="1" fontId="3" fillId="0" borderId="13" xfId="0" applyNumberFormat="1" applyFont="1" applyFill="1" applyBorder="1" applyAlignment="1">
      <alignment horizontal="center" vertical="top" shrinkToFit="1"/>
    </xf>
    <xf numFmtId="165" fontId="3" fillId="0" borderId="13" xfId="0" applyNumberFormat="1" applyFont="1" applyFill="1" applyBorder="1" applyAlignment="1">
      <alignment horizontal="center" vertical="top" shrinkToFit="1"/>
    </xf>
    <xf numFmtId="166" fontId="3" fillId="0" borderId="13" xfId="0" applyNumberFormat="1" applyFont="1" applyFill="1" applyBorder="1" applyAlignment="1">
      <alignment horizontal="center" vertical="top" shrinkToFit="1"/>
    </xf>
    <xf numFmtId="167" fontId="3" fillId="0" borderId="13" xfId="0" applyNumberFormat="1" applyFont="1" applyFill="1" applyBorder="1" applyAlignment="1">
      <alignment horizontal="center" vertical="top" shrinkToFit="1"/>
    </xf>
    <xf numFmtId="164" fontId="3" fillId="0" borderId="13" xfId="0" applyNumberFormat="1" applyFont="1" applyFill="1" applyBorder="1" applyAlignment="1">
      <alignment horizontal="center" vertical="top" shrinkToFit="1"/>
    </xf>
    <xf numFmtId="164" fontId="3" fillId="0" borderId="13" xfId="0" applyNumberFormat="1" applyFont="1" applyFill="1" applyBorder="1" applyAlignment="1">
      <alignment horizontal="center" vertical="top" shrinkToFi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2" fillId="0" borderId="13" xfId="0" applyFont="1" applyFill="1" applyBorder="1" applyAlignment="1">
      <alignment horizontal="left" vertical="top" wrapText="1" indent="1"/>
    </xf>
    <xf numFmtId="0" fontId="0" fillId="0" borderId="13" xfId="0" applyFill="1" applyBorder="1" applyAlignment="1">
      <alignment horizontal="center" vertical="top" wrapText="1"/>
    </xf>
    <xf numFmtId="2" fontId="3" fillId="0" borderId="13" xfId="0" applyNumberFormat="1" applyFont="1" applyFill="1" applyBorder="1" applyAlignment="1">
      <alignment horizontal="right" vertical="top" indent="1" shrinkToFit="1"/>
    </xf>
    <xf numFmtId="166" fontId="3" fillId="0" borderId="13" xfId="0" applyNumberFormat="1" applyFont="1" applyFill="1" applyBorder="1" applyAlignment="1">
      <alignment horizontal="right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horizontal="center" vertical="top" shrinkToFit="1"/>
    </xf>
    <xf numFmtId="169" fontId="3" fillId="0" borderId="13" xfId="0" applyNumberFormat="1" applyFont="1" applyFill="1" applyBorder="1" applyAlignment="1">
      <alignment horizontal="right" vertical="top" shrinkToFit="1"/>
    </xf>
    <xf numFmtId="2" fontId="3" fillId="0" borderId="13" xfId="0" applyNumberFormat="1" applyFont="1" applyFill="1" applyBorder="1" applyAlignment="1">
      <alignment horizontal="right" vertical="top" shrinkToFit="1"/>
    </xf>
    <xf numFmtId="168" fontId="3" fillId="0" borderId="13" xfId="0" applyNumberFormat="1" applyFont="1" applyFill="1" applyBorder="1" applyAlignment="1">
      <alignment horizontal="right" vertical="top" shrinkToFit="1"/>
    </xf>
    <xf numFmtId="166" fontId="3" fillId="0" borderId="13" xfId="0" applyNumberFormat="1" applyFont="1" applyFill="1" applyBorder="1" applyAlignment="1">
      <alignment horizontal="left" vertical="top" shrinkToFit="1"/>
    </xf>
    <xf numFmtId="169" fontId="3" fillId="0" borderId="13" xfId="0" applyNumberFormat="1" applyFont="1" applyFill="1" applyBorder="1" applyAlignment="1">
      <alignment horizontal="center" vertical="top" shrinkToFit="1"/>
    </xf>
    <xf numFmtId="170" fontId="3" fillId="0" borderId="13" xfId="0" applyNumberFormat="1" applyFont="1" applyFill="1" applyBorder="1" applyAlignment="1">
      <alignment horizontal="right" vertical="top" shrinkToFit="1"/>
    </xf>
    <xf numFmtId="170" fontId="3" fillId="0" borderId="13" xfId="0" applyNumberFormat="1" applyFont="1" applyFill="1" applyBorder="1" applyAlignment="1">
      <alignment horizontal="center" vertical="top" shrinkToFit="1"/>
    </xf>
    <xf numFmtId="167" fontId="3" fillId="0" borderId="13" xfId="0" applyNumberFormat="1" applyFont="1" applyFill="1" applyBorder="1" applyAlignment="1">
      <alignment horizontal="left" vertical="top" shrinkToFit="1"/>
    </xf>
    <xf numFmtId="0" fontId="0" fillId="0" borderId="13" xfId="0" applyFill="1" applyBorder="1" applyAlignment="1">
      <alignment horizontal="center" vertical="top"/>
    </xf>
    <xf numFmtId="0" fontId="2" fillId="0" borderId="13" xfId="0" applyFont="1" applyFill="1" applyBorder="1" applyAlignment="1">
      <alignment horizontal="center" vertical="top" wrapText="1"/>
    </xf>
    <xf numFmtId="0" fontId="1" fillId="0" borderId="13" xfId="0" applyFont="1" applyFill="1" applyBorder="1" applyAlignment="1">
      <alignment horizontal="center" vertical="top" wrapText="1"/>
    </xf>
    <xf numFmtId="165" fontId="3" fillId="0" borderId="13" xfId="0" applyNumberFormat="1" applyFont="1" applyFill="1" applyBorder="1" applyAlignment="1">
      <alignment horizontal="center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169" fontId="3" fillId="0" borderId="13" xfId="0" applyNumberFormat="1" applyFont="1" applyFill="1" applyBorder="1" applyAlignment="1">
      <alignment horizontal="center" vertical="top" shrinkToFit="1"/>
    </xf>
    <xf numFmtId="166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horizontal="center" vertical="top" shrinkToFit="1"/>
    </xf>
    <xf numFmtId="0" fontId="0" fillId="0" borderId="13" xfId="0" applyFill="1" applyBorder="1" applyAlignment="1">
      <alignment horizontal="center" vertical="top" wrapText="1"/>
    </xf>
    <xf numFmtId="166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0" fontId="2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horizontal="left" vertical="top"/>
    </xf>
    <xf numFmtId="164" fontId="3" fillId="0" borderId="13" xfId="0" applyNumberFormat="1" applyFont="1" applyFill="1" applyBorder="1" applyAlignment="1">
      <alignment horizontal="left" vertical="top" shrinkToFit="1"/>
    </xf>
    <xf numFmtId="0" fontId="0" fillId="0" borderId="13" xfId="0" applyFill="1" applyBorder="1" applyAlignment="1">
      <alignment horizontal="left" vertical="top" wrapText="1"/>
    </xf>
    <xf numFmtId="0" fontId="2" fillId="0" borderId="13" xfId="0" applyFont="1" applyFill="1" applyBorder="1" applyAlignment="1">
      <alignment vertical="top" wrapText="1"/>
    </xf>
    <xf numFmtId="0" fontId="0" fillId="0" borderId="13" xfId="0" applyFill="1" applyBorder="1" applyAlignment="1">
      <alignment vertical="top" wrapText="1"/>
    </xf>
    <xf numFmtId="1" fontId="3" fillId="0" borderId="13" xfId="0" applyNumberFormat="1" applyFont="1" applyFill="1" applyBorder="1" applyAlignment="1">
      <alignment vertical="top" shrinkToFit="1"/>
    </xf>
    <xf numFmtId="166" fontId="3" fillId="0" borderId="13" xfId="0" applyNumberFormat="1" applyFont="1" applyFill="1" applyBorder="1" applyAlignment="1">
      <alignment vertical="top" shrinkToFit="1"/>
    </xf>
    <xf numFmtId="0" fontId="0" fillId="0" borderId="13" xfId="0" applyFill="1" applyBorder="1" applyAlignment="1">
      <alignment vertical="top"/>
    </xf>
    <xf numFmtId="0" fontId="2" fillId="0" borderId="13" xfId="0" applyFont="1" applyFill="1" applyBorder="1" applyAlignment="1">
      <alignment horizontal="center" vertical="top" wrapText="1"/>
    </xf>
    <xf numFmtId="164" fontId="3" fillId="0" borderId="13" xfId="0" applyNumberFormat="1" applyFont="1" applyFill="1" applyBorder="1" applyAlignment="1">
      <alignment vertical="top" shrinkToFit="1"/>
    </xf>
    <xf numFmtId="0" fontId="0" fillId="0" borderId="13" xfId="0" applyFill="1" applyBorder="1" applyAlignment="1">
      <alignment horizontal="center" vertical="top" wrapTex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0" fontId="2" fillId="0" borderId="13" xfId="0" applyFont="1" applyFill="1" applyBorder="1" applyAlignment="1">
      <alignment horizontal="center" vertical="top" wrapText="1"/>
    </xf>
    <xf numFmtId="165" fontId="3" fillId="0" borderId="13" xfId="0" applyNumberFormat="1" applyFont="1" applyFill="1" applyBorder="1" applyAlignment="1">
      <alignment horizontal="center" vertical="top" shrinkToFit="1"/>
    </xf>
    <xf numFmtId="2" fontId="3" fillId="0" borderId="13" xfId="0" applyNumberFormat="1" applyFont="1" applyFill="1" applyBorder="1" applyAlignment="1">
      <alignment horizontal="center" vertical="top" shrinkToFit="1"/>
    </xf>
    <xf numFmtId="169" fontId="3" fillId="0" borderId="13" xfId="0" applyNumberFormat="1" applyFont="1" applyFill="1" applyBorder="1" applyAlignment="1">
      <alignment horizontal="center" vertical="top" shrinkToFit="1"/>
    </xf>
    <xf numFmtId="166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horizontal="center" vertical="top" shrinkToFit="1"/>
    </xf>
    <xf numFmtId="168" fontId="3" fillId="0" borderId="13" xfId="0" applyNumberFormat="1" applyFont="1" applyFill="1" applyBorder="1" applyAlignment="1">
      <alignment vertical="top" shrinkToFit="1"/>
    </xf>
    <xf numFmtId="167" fontId="3" fillId="0" borderId="13" xfId="0" applyNumberFormat="1" applyFont="1" applyFill="1" applyBorder="1" applyAlignment="1">
      <alignment vertical="top" shrinkToFit="1"/>
    </xf>
    <xf numFmtId="169" fontId="3" fillId="0" borderId="13" xfId="0" applyNumberFormat="1" applyFont="1" applyFill="1" applyBorder="1" applyAlignment="1">
      <alignment vertical="top" shrinkToFit="1"/>
    </xf>
    <xf numFmtId="165" fontId="3" fillId="0" borderId="13" xfId="0" applyNumberFormat="1" applyFont="1" applyFill="1" applyBorder="1" applyAlignment="1">
      <alignment vertical="top" shrinkToFit="1"/>
    </xf>
    <xf numFmtId="2" fontId="3" fillId="0" borderId="13" xfId="0" applyNumberFormat="1" applyFont="1" applyFill="1" applyBorder="1" applyAlignment="1">
      <alignment vertical="top" shrinkToFit="1"/>
    </xf>
    <xf numFmtId="0" fontId="0" fillId="0" borderId="13" xfId="0" applyFill="1" applyBorder="1" applyAlignment="1">
      <alignment vertical="top" wrapText="1"/>
    </xf>
    <xf numFmtId="0" fontId="2" fillId="0" borderId="13" xfId="0" applyFont="1" applyFill="1" applyBorder="1" applyAlignment="1">
      <alignment vertical="top" wrapText="1"/>
    </xf>
    <xf numFmtId="0" fontId="1" fillId="0" borderId="13" xfId="0" applyFont="1" applyFill="1" applyBorder="1" applyAlignment="1">
      <alignment vertical="top" wrapText="1"/>
    </xf>
    <xf numFmtId="0" fontId="16" fillId="3" borderId="13" xfId="0" applyFont="1" applyFill="1" applyBorder="1" applyAlignment="1">
      <alignment horizontal="left" vertical="top"/>
    </xf>
    <xf numFmtId="0" fontId="22" fillId="0" borderId="0" xfId="0" applyFont="1" applyFill="1" applyBorder="1" applyAlignment="1">
      <alignment horizontal="left" vertical="top"/>
    </xf>
    <xf numFmtId="0" fontId="26" fillId="0" borderId="13" xfId="0" applyFont="1" applyFill="1" applyBorder="1" applyAlignment="1">
      <alignment horizontal="left" vertical="top" wrapText="1"/>
    </xf>
    <xf numFmtId="0" fontId="29" fillId="0" borderId="13" xfId="0" applyFont="1" applyFill="1" applyBorder="1" applyAlignment="1">
      <alignment horizontal="center" vertical="top"/>
    </xf>
    <xf numFmtId="0" fontId="0" fillId="0" borderId="13" xfId="0" applyFill="1" applyBorder="1" applyAlignment="1">
      <alignment horizontal="center" vertical="top" wrapTex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2" fontId="3" fillId="0" borderId="13" xfId="0" applyNumberFormat="1" applyFont="1" applyFill="1" applyBorder="1" applyAlignment="1">
      <alignment horizontal="center" vertical="top" shrinkToFit="1"/>
    </xf>
    <xf numFmtId="0" fontId="2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vertical="top" wrapText="1"/>
    </xf>
    <xf numFmtId="0" fontId="2" fillId="0" borderId="13" xfId="0" applyFont="1" applyFill="1" applyBorder="1" applyAlignment="1">
      <alignment vertical="top" wrapText="1"/>
    </xf>
    <xf numFmtId="0" fontId="1" fillId="0" borderId="13" xfId="0" applyFont="1" applyFill="1" applyBorder="1" applyAlignment="1">
      <alignment vertical="top" wrapText="1"/>
    </xf>
    <xf numFmtId="165" fontId="3" fillId="0" borderId="13" xfId="0" applyNumberFormat="1" applyFont="1" applyFill="1" applyBorder="1" applyAlignment="1">
      <alignment vertical="top" shrinkToFit="1"/>
    </xf>
    <xf numFmtId="2" fontId="3" fillId="0" borderId="13" xfId="0" applyNumberFormat="1" applyFont="1" applyFill="1" applyBorder="1" applyAlignment="1">
      <alignment vertical="top" shrinkToFit="1"/>
    </xf>
    <xf numFmtId="169" fontId="3" fillId="0" borderId="13" xfId="0" applyNumberFormat="1" applyFont="1" applyFill="1" applyBorder="1" applyAlignment="1">
      <alignment vertical="top" shrinkToFit="1"/>
    </xf>
    <xf numFmtId="168" fontId="3" fillId="0" borderId="13" xfId="0" applyNumberFormat="1" applyFont="1" applyFill="1" applyBorder="1" applyAlignment="1">
      <alignment vertical="top" shrinkToFit="1"/>
    </xf>
    <xf numFmtId="167" fontId="3" fillId="0" borderId="13" xfId="0" applyNumberFormat="1" applyFont="1" applyFill="1" applyBorder="1" applyAlignment="1">
      <alignment vertical="top" shrinkToFit="1"/>
    </xf>
    <xf numFmtId="0" fontId="0" fillId="0" borderId="0" xfId="0" applyFill="1" applyBorder="1" applyAlignment="1">
      <alignment horizontal="left" vertical="top" wrapText="1" indent="15"/>
    </xf>
    <xf numFmtId="164" fontId="3" fillId="0" borderId="13" xfId="0" applyNumberFormat="1" applyFont="1" applyFill="1" applyBorder="1" applyAlignment="1">
      <alignment vertical="top" shrinkToFit="1"/>
    </xf>
    <xf numFmtId="1" fontId="3" fillId="0" borderId="13" xfId="0" applyNumberFormat="1" applyFont="1" applyFill="1" applyBorder="1" applyAlignment="1">
      <alignment vertical="top" shrinkToFit="1"/>
    </xf>
    <xf numFmtId="1" fontId="3" fillId="0" borderId="13" xfId="0" applyNumberFormat="1" applyFont="1" applyFill="1" applyBorder="1" applyAlignment="1">
      <alignment horizontal="center" vertical="top" shrinkToFit="1"/>
    </xf>
    <xf numFmtId="0" fontId="0" fillId="0" borderId="0" xfId="0" applyFill="1" applyBorder="1" applyAlignment="1">
      <alignment horizontal="left" vertical="top" wrapText="1" indent="22"/>
    </xf>
    <xf numFmtId="0" fontId="28" fillId="2" borderId="13" xfId="0" applyFont="1" applyFill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top" wrapText="1"/>
    </xf>
    <xf numFmtId="0" fontId="6" fillId="0" borderId="13" xfId="0" applyFont="1" applyFill="1" applyBorder="1" applyAlignment="1">
      <alignment vertical="top" wrapText="1"/>
    </xf>
    <xf numFmtId="0" fontId="2" fillId="0" borderId="4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 wrapText="1"/>
    </xf>
    <xf numFmtId="0" fontId="0" fillId="0" borderId="4" xfId="0" applyFill="1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1" fillId="0" borderId="4" xfId="0" applyFont="1" applyFill="1" applyBorder="1" applyAlignment="1">
      <alignment vertical="top" wrapText="1"/>
    </xf>
    <xf numFmtId="0" fontId="1" fillId="0" borderId="5" xfId="0" applyFont="1" applyFill="1" applyBorder="1" applyAlignment="1">
      <alignment vertical="top" wrapText="1"/>
    </xf>
    <xf numFmtId="1" fontId="3" fillId="0" borderId="7" xfId="0" applyNumberFormat="1" applyFont="1" applyFill="1" applyBorder="1" applyAlignment="1">
      <alignment vertical="top" shrinkToFit="1"/>
    </xf>
    <xf numFmtId="165" fontId="3" fillId="0" borderId="7" xfId="0" applyNumberFormat="1" applyFont="1" applyFill="1" applyBorder="1" applyAlignment="1">
      <alignment vertical="top" shrinkToFit="1"/>
    </xf>
    <xf numFmtId="2" fontId="3" fillId="0" borderId="7" xfId="0" applyNumberFormat="1" applyFont="1" applyFill="1" applyBorder="1" applyAlignment="1">
      <alignment vertical="top" shrinkToFit="1"/>
    </xf>
    <xf numFmtId="169" fontId="3" fillId="0" borderId="7" xfId="0" applyNumberFormat="1" applyFont="1" applyFill="1" applyBorder="1" applyAlignment="1">
      <alignment vertical="top" shrinkToFit="1"/>
    </xf>
    <xf numFmtId="169" fontId="3" fillId="0" borderId="8" xfId="0" applyNumberFormat="1" applyFont="1" applyFill="1" applyBorder="1" applyAlignment="1">
      <alignment vertical="top" shrinkToFit="1"/>
    </xf>
    <xf numFmtId="1" fontId="3" fillId="0" borderId="9" xfId="0" applyNumberFormat="1" applyFont="1" applyFill="1" applyBorder="1" applyAlignment="1">
      <alignment vertical="top" shrinkToFit="1"/>
    </xf>
    <xf numFmtId="165" fontId="3" fillId="0" borderId="9" xfId="0" applyNumberFormat="1" applyFont="1" applyFill="1" applyBorder="1" applyAlignment="1">
      <alignment vertical="top" shrinkToFit="1"/>
    </xf>
    <xf numFmtId="2" fontId="3" fillId="0" borderId="9" xfId="0" applyNumberFormat="1" applyFont="1" applyFill="1" applyBorder="1" applyAlignment="1">
      <alignment vertical="top" shrinkToFit="1"/>
    </xf>
    <xf numFmtId="169" fontId="3" fillId="0" borderId="9" xfId="0" applyNumberFormat="1" applyFont="1" applyFill="1" applyBorder="1" applyAlignment="1">
      <alignment vertical="top" shrinkToFit="1"/>
    </xf>
    <xf numFmtId="169" fontId="3" fillId="0" borderId="10" xfId="0" applyNumberFormat="1" applyFont="1" applyFill="1" applyBorder="1" applyAlignment="1">
      <alignment vertical="top" shrinkToFit="1"/>
    </xf>
    <xf numFmtId="168" fontId="3" fillId="0" borderId="9" xfId="0" applyNumberFormat="1" applyFont="1" applyFill="1" applyBorder="1" applyAlignment="1">
      <alignment vertical="top" shrinkToFit="1"/>
    </xf>
    <xf numFmtId="168" fontId="3" fillId="0" borderId="10" xfId="0" applyNumberFormat="1" applyFont="1" applyFill="1" applyBorder="1" applyAlignment="1">
      <alignment vertical="top" shrinkToFit="1"/>
    </xf>
    <xf numFmtId="165" fontId="3" fillId="0" borderId="11" xfId="0" applyNumberFormat="1" applyFont="1" applyFill="1" applyBorder="1" applyAlignment="1">
      <alignment vertical="top" shrinkToFit="1"/>
    </xf>
    <xf numFmtId="168" fontId="3" fillId="0" borderId="11" xfId="0" applyNumberFormat="1" applyFont="1" applyFill="1" applyBorder="1" applyAlignment="1">
      <alignment vertical="top" shrinkToFit="1"/>
    </xf>
    <xf numFmtId="168" fontId="3" fillId="0" borderId="12" xfId="0" applyNumberFormat="1" applyFont="1" applyFill="1" applyBorder="1" applyAlignment="1">
      <alignment vertical="top" shrinkToFit="1"/>
    </xf>
    <xf numFmtId="166" fontId="3" fillId="0" borderId="7" xfId="0" applyNumberFormat="1" applyFont="1" applyFill="1" applyBorder="1" applyAlignment="1">
      <alignment vertical="top" shrinkToFit="1"/>
    </xf>
    <xf numFmtId="164" fontId="3" fillId="0" borderId="7" xfId="0" applyNumberFormat="1" applyFont="1" applyFill="1" applyBorder="1" applyAlignment="1">
      <alignment vertical="top" shrinkToFit="1"/>
    </xf>
    <xf numFmtId="167" fontId="3" fillId="0" borderId="7" xfId="0" applyNumberFormat="1" applyFont="1" applyFill="1" applyBorder="1" applyAlignment="1">
      <alignment vertical="top" shrinkToFit="1"/>
    </xf>
    <xf numFmtId="167" fontId="3" fillId="0" borderId="8" xfId="0" applyNumberFormat="1" applyFont="1" applyFill="1" applyBorder="1" applyAlignment="1">
      <alignment vertical="top" shrinkToFit="1"/>
    </xf>
    <xf numFmtId="168" fontId="3" fillId="0" borderId="7" xfId="0" applyNumberFormat="1" applyFont="1" applyFill="1" applyBorder="1" applyAlignment="1">
      <alignment vertical="top" shrinkToFit="1"/>
    </xf>
    <xf numFmtId="168" fontId="3" fillId="0" borderId="8" xfId="0" applyNumberFormat="1" applyFont="1" applyFill="1" applyBorder="1" applyAlignment="1">
      <alignment vertical="top" shrinkToFit="1"/>
    </xf>
    <xf numFmtId="167" fontId="3" fillId="0" borderId="9" xfId="0" applyNumberFormat="1" applyFont="1" applyFill="1" applyBorder="1" applyAlignment="1">
      <alignment vertical="top" shrinkToFit="1"/>
    </xf>
    <xf numFmtId="167" fontId="3" fillId="0" borderId="10" xfId="0" applyNumberFormat="1" applyFont="1" applyFill="1" applyBorder="1" applyAlignment="1">
      <alignment vertical="top" shrinkToFit="1"/>
    </xf>
    <xf numFmtId="1" fontId="3" fillId="0" borderId="11" xfId="0" applyNumberFormat="1" applyFont="1" applyFill="1" applyBorder="1" applyAlignment="1">
      <alignment vertical="top" shrinkToFit="1"/>
    </xf>
    <xf numFmtId="169" fontId="3" fillId="0" borderId="11" xfId="0" applyNumberFormat="1" applyFont="1" applyFill="1" applyBorder="1" applyAlignment="1">
      <alignment vertical="top" shrinkToFit="1"/>
    </xf>
    <xf numFmtId="169" fontId="3" fillId="0" borderId="12" xfId="0" applyNumberFormat="1" applyFont="1" applyFill="1" applyBorder="1" applyAlignment="1">
      <alignment vertical="top" shrinkToFit="1"/>
    </xf>
    <xf numFmtId="167" fontId="3" fillId="0" borderId="11" xfId="0" applyNumberFormat="1" applyFont="1" applyFill="1" applyBorder="1" applyAlignment="1">
      <alignment vertical="top" shrinkToFit="1"/>
    </xf>
    <xf numFmtId="167" fontId="3" fillId="0" borderId="12" xfId="0" applyNumberFormat="1" applyFont="1" applyFill="1" applyBorder="1" applyAlignment="1">
      <alignment vertical="top" shrinkToFit="1"/>
    </xf>
    <xf numFmtId="0" fontId="30" fillId="0" borderId="0" xfId="0" applyFont="1" applyFill="1" applyBorder="1" applyAlignment="1">
      <alignment horizontal="left" vertical="top"/>
    </xf>
    <xf numFmtId="0" fontId="37" fillId="3" borderId="13" xfId="0" applyFont="1" applyFill="1" applyBorder="1" applyAlignment="1">
      <alignment horizontal="left" vertical="top"/>
    </xf>
    <xf numFmtId="0" fontId="40" fillId="3" borderId="13" xfId="0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 vertical="top"/>
    </xf>
    <xf numFmtId="0" fontId="44" fillId="0" borderId="0" xfId="0" applyFont="1" applyFill="1" applyBorder="1" applyAlignment="1">
      <alignment horizontal="left" vertical="top"/>
    </xf>
    <xf numFmtId="0" fontId="47" fillId="0" borderId="0" xfId="0" applyFont="1" applyFill="1" applyBorder="1" applyAlignment="1">
      <alignment vertical="top"/>
    </xf>
    <xf numFmtId="0" fontId="24" fillId="5" borderId="0" xfId="0" applyFont="1" applyFill="1" applyBorder="1" applyAlignment="1" applyProtection="1">
      <alignment horizontal="left" vertical="top"/>
      <protection locked="0"/>
    </xf>
    <xf numFmtId="0" fontId="42" fillId="6" borderId="0" xfId="0" applyFont="1" applyFill="1" applyBorder="1" applyAlignment="1" applyProtection="1">
      <alignment horizontal="left" vertical="top"/>
      <protection locked="0"/>
    </xf>
    <xf numFmtId="0" fontId="25" fillId="4" borderId="0" xfId="0" applyFont="1" applyFill="1" applyBorder="1" applyAlignment="1" applyProtection="1">
      <alignment horizontal="left" vertical="top"/>
      <protection locked="0"/>
    </xf>
    <xf numFmtId="0" fontId="24" fillId="4" borderId="0" xfId="0" applyFont="1" applyFill="1" applyBorder="1" applyAlignment="1" applyProtection="1">
      <alignment horizontal="left" vertical="top"/>
      <protection locked="0"/>
    </xf>
    <xf numFmtId="0" fontId="23" fillId="0" borderId="0" xfId="0" applyFont="1" applyFill="1" applyBorder="1" applyAlignment="1">
      <alignment vertical="top"/>
    </xf>
    <xf numFmtId="0" fontId="22" fillId="0" borderId="0" xfId="0" applyFont="1" applyFill="1" applyBorder="1" applyAlignment="1">
      <alignment vertical="top"/>
    </xf>
    <xf numFmtId="0" fontId="0" fillId="0" borderId="0" xfId="0" applyFill="1" applyBorder="1" applyAlignment="1">
      <alignment vertical="top" wrapText="1"/>
    </xf>
    <xf numFmtId="0" fontId="46" fillId="3" borderId="0" xfId="0" applyFont="1" applyFill="1" applyBorder="1" applyAlignment="1">
      <alignment vertical="top"/>
    </xf>
    <xf numFmtId="0" fontId="48" fillId="0" borderId="0" xfId="0" applyFont="1" applyFill="1" applyBorder="1" applyAlignment="1">
      <alignment vertical="top"/>
    </xf>
    <xf numFmtId="0" fontId="54" fillId="0" borderId="0" xfId="2" applyFill="1" applyBorder="1" applyAlignment="1">
      <alignment horizontal="left" vertical="top"/>
    </xf>
    <xf numFmtId="0" fontId="0" fillId="3" borderId="13" xfId="0" applyFill="1" applyBorder="1" applyAlignment="1">
      <alignment horizontal="left" vertical="top"/>
    </xf>
    <xf numFmtId="165" fontId="3" fillId="3" borderId="13" xfId="0" applyNumberFormat="1" applyFont="1" applyFill="1" applyBorder="1" applyAlignment="1">
      <alignment horizontal="center" vertical="top" shrinkToFit="1"/>
    </xf>
    <xf numFmtId="166" fontId="3" fillId="3" borderId="13" xfId="0" applyNumberFormat="1" applyFont="1" applyFill="1" applyBorder="1" applyAlignment="1">
      <alignment horizontal="center" vertical="top" shrinkToFit="1"/>
    </xf>
    <xf numFmtId="2" fontId="3" fillId="3" borderId="13" xfId="0" applyNumberFormat="1" applyFont="1" applyFill="1" applyBorder="1" applyAlignment="1">
      <alignment horizontal="center" vertical="top" shrinkToFit="1"/>
    </xf>
    <xf numFmtId="1" fontId="3" fillId="3" borderId="13" xfId="0" applyNumberFormat="1" applyFont="1" applyFill="1" applyBorder="1" applyAlignment="1">
      <alignment horizontal="center" vertical="top" shrinkToFit="1"/>
    </xf>
    <xf numFmtId="168" fontId="3" fillId="3" borderId="13" xfId="0" applyNumberFormat="1" applyFont="1" applyFill="1" applyBorder="1" applyAlignment="1">
      <alignment horizontal="center" vertical="top" shrinkToFit="1"/>
    </xf>
    <xf numFmtId="169" fontId="3" fillId="3" borderId="13" xfId="0" applyNumberFormat="1" applyFont="1" applyFill="1" applyBorder="1" applyAlignment="1">
      <alignment horizontal="center" vertical="top" shrinkToFit="1"/>
    </xf>
    <xf numFmtId="170" fontId="3" fillId="3" borderId="13" xfId="0" applyNumberFormat="1" applyFont="1" applyFill="1" applyBorder="1" applyAlignment="1">
      <alignment horizontal="center" vertical="top" shrinkToFit="1"/>
    </xf>
    <xf numFmtId="164" fontId="3" fillId="3" borderId="13" xfId="0" applyNumberFormat="1" applyFont="1" applyFill="1" applyBorder="1" applyAlignment="1">
      <alignment horizontal="center" vertical="top" shrinkToFit="1"/>
    </xf>
    <xf numFmtId="164" fontId="3" fillId="3" borderId="13" xfId="0" applyNumberFormat="1" applyFont="1" applyFill="1" applyBorder="1" applyAlignment="1">
      <alignment vertical="top" shrinkToFit="1"/>
    </xf>
    <xf numFmtId="0" fontId="2" fillId="3" borderId="13" xfId="0" applyFont="1" applyFill="1" applyBorder="1" applyAlignment="1">
      <alignment horizontal="center" vertical="top" wrapText="1"/>
    </xf>
    <xf numFmtId="0" fontId="0" fillId="3" borderId="13" xfId="0" applyFill="1" applyBorder="1" applyAlignment="1">
      <alignment horizontal="left" vertical="top" wrapText="1"/>
    </xf>
    <xf numFmtId="0" fontId="52" fillId="0" borderId="0" xfId="0" applyFont="1" applyFill="1" applyBorder="1" applyAlignment="1">
      <alignment vertical="top"/>
    </xf>
    <xf numFmtId="0" fontId="55" fillId="0" borderId="0" xfId="0" applyFont="1" applyFill="1" applyBorder="1" applyAlignment="1">
      <alignment vertical="top"/>
    </xf>
    <xf numFmtId="0" fontId="52" fillId="0" borderId="0" xfId="0" applyFont="1" applyFill="1" applyBorder="1" applyAlignment="1">
      <alignment horizontal="left" vertical="top"/>
    </xf>
    <xf numFmtId="0" fontId="56" fillId="0" borderId="0" xfId="0" applyFont="1" applyFill="1" applyBorder="1" applyAlignment="1">
      <alignment horizontal="center" vertical="top"/>
    </xf>
    <xf numFmtId="0" fontId="53" fillId="7" borderId="0" xfId="0" applyFont="1" applyFill="1" applyBorder="1" applyAlignment="1">
      <alignment horizontal="center" vertical="top"/>
    </xf>
    <xf numFmtId="0" fontId="47" fillId="7" borderId="0" xfId="0" applyFont="1" applyFill="1" applyBorder="1" applyAlignment="1">
      <alignment horizontal="center" vertical="top"/>
    </xf>
    <xf numFmtId="0" fontId="52" fillId="0" borderId="0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top" wrapText="1"/>
    </xf>
    <xf numFmtId="0" fontId="45" fillId="3" borderId="0" xfId="0" applyFont="1" applyFill="1" applyBorder="1" applyAlignment="1">
      <alignment horizontal="center" vertical="top"/>
    </xf>
    <xf numFmtId="0" fontId="50" fillId="0" borderId="0" xfId="0" applyFont="1" applyFill="1" applyBorder="1" applyAlignment="1">
      <alignment horizontal="center" vertical="top"/>
    </xf>
    <xf numFmtId="0" fontId="49" fillId="0" borderId="0" xfId="0" applyFont="1" applyFill="1" applyBorder="1" applyAlignment="1">
      <alignment horizontal="center" vertical="top"/>
    </xf>
    <xf numFmtId="0" fontId="46" fillId="3" borderId="19" xfId="0" applyFont="1" applyFill="1" applyBorder="1" applyAlignment="1">
      <alignment horizontal="center" vertical="top"/>
    </xf>
    <xf numFmtId="0" fontId="17" fillId="3" borderId="13" xfId="0" applyFont="1" applyFill="1" applyBorder="1" applyAlignment="1">
      <alignment horizontal="center" vertical="top"/>
    </xf>
    <xf numFmtId="0" fontId="40" fillId="3" borderId="13" xfId="0" applyFont="1" applyFill="1" applyBorder="1" applyAlignment="1">
      <alignment horizontal="center" vertical="top"/>
    </xf>
    <xf numFmtId="0" fontId="36" fillId="3" borderId="0" xfId="0" applyFont="1" applyFill="1" applyBorder="1" applyAlignment="1">
      <alignment horizontal="center" vertical="top"/>
    </xf>
    <xf numFmtId="0" fontId="19" fillId="2" borderId="0" xfId="0" applyFont="1" applyFill="1" applyBorder="1" applyAlignment="1">
      <alignment horizontal="center" vertical="top"/>
    </xf>
    <xf numFmtId="0" fontId="22" fillId="3" borderId="13" xfId="0" applyFont="1" applyFill="1" applyBorder="1" applyAlignment="1">
      <alignment horizontal="center" vertical="top"/>
    </xf>
    <xf numFmtId="0" fontId="23" fillId="0" borderId="14" xfId="0" applyFont="1" applyFill="1" applyBorder="1" applyAlignment="1">
      <alignment horizontal="center" vertical="top"/>
    </xf>
    <xf numFmtId="0" fontId="40" fillId="0" borderId="15" xfId="0" applyFont="1" applyFill="1" applyBorder="1" applyAlignment="1">
      <alignment horizontal="center" vertical="top"/>
    </xf>
    <xf numFmtId="0" fontId="40" fillId="0" borderId="18" xfId="0" applyFont="1" applyFill="1" applyBorder="1" applyAlignment="1">
      <alignment horizontal="center" vertical="top"/>
    </xf>
    <xf numFmtId="0" fontId="31" fillId="0" borderId="13" xfId="0" applyFont="1" applyFill="1" applyBorder="1" applyAlignment="1">
      <alignment horizontal="center" vertical="top"/>
    </xf>
    <xf numFmtId="0" fontId="40" fillId="0" borderId="16" xfId="0" applyFont="1" applyFill="1" applyBorder="1" applyAlignment="1">
      <alignment horizontal="center" vertical="top"/>
    </xf>
    <xf numFmtId="0" fontId="31" fillId="0" borderId="17" xfId="0" applyFont="1" applyFill="1" applyBorder="1" applyAlignment="1">
      <alignment horizontal="center" vertical="top"/>
    </xf>
    <xf numFmtId="0" fontId="0" fillId="0" borderId="17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22" fillId="0" borderId="14" xfId="0" applyFont="1" applyFill="1" applyBorder="1" applyAlignment="1">
      <alignment horizontal="center" vertical="top"/>
    </xf>
    <xf numFmtId="0" fontId="51" fillId="0" borderId="0" xfId="0" applyFont="1" applyFill="1" applyBorder="1" applyAlignment="1">
      <alignment horizontal="center" vertical="top"/>
    </xf>
    <xf numFmtId="0" fontId="40" fillId="0" borderId="13" xfId="0" applyFont="1" applyFill="1" applyBorder="1" applyAlignment="1">
      <alignment horizontal="center" vertical="top"/>
    </xf>
    <xf numFmtId="0" fontId="17" fillId="0" borderId="13" xfId="1" applyFont="1" applyBorder="1" applyAlignment="1">
      <alignment horizontal="center"/>
    </xf>
    <xf numFmtId="0" fontId="17" fillId="0" borderId="15" xfId="1" applyFont="1" applyBorder="1" applyAlignment="1">
      <alignment horizontal="center"/>
    </xf>
    <xf numFmtId="0" fontId="17" fillId="3" borderId="15" xfId="0" applyFont="1" applyFill="1" applyBorder="1" applyAlignment="1">
      <alignment horizontal="center" vertical="top"/>
    </xf>
    <xf numFmtId="0" fontId="31" fillId="0" borderId="15" xfId="0" applyFont="1" applyFill="1" applyBorder="1" applyAlignment="1">
      <alignment horizontal="center" vertical="top"/>
    </xf>
    <xf numFmtId="0" fontId="40" fillId="0" borderId="0" xfId="0" applyFont="1" applyFill="1" applyBorder="1" applyAlignment="1">
      <alignment horizontal="center" vertical="top"/>
    </xf>
    <xf numFmtId="0" fontId="40" fillId="0" borderId="13" xfId="1" applyFont="1" applyBorder="1" applyAlignment="1">
      <alignment horizontal="center"/>
    </xf>
    <xf numFmtId="0" fontId="34" fillId="0" borderId="14" xfId="0" applyFont="1" applyFill="1" applyBorder="1" applyAlignment="1">
      <alignment horizontal="center" vertical="top"/>
    </xf>
    <xf numFmtId="0" fontId="57" fillId="0" borderId="0" xfId="0" applyFont="1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59" fillId="2" borderId="0" xfId="0" applyFont="1" applyFill="1" applyBorder="1" applyAlignment="1">
      <alignment horizontal="center" vertical="top"/>
    </xf>
    <xf numFmtId="0" fontId="57" fillId="2" borderId="0" xfId="0" applyFont="1" applyFill="1" applyBorder="1" applyAlignment="1">
      <alignment horizontal="center" vertical="top"/>
    </xf>
    <xf numFmtId="0" fontId="0" fillId="0" borderId="13" xfId="0" applyFill="1" applyBorder="1" applyAlignment="1">
      <alignment horizontal="center" vertical="top" wrapText="1"/>
    </xf>
    <xf numFmtId="167" fontId="3" fillId="0" borderId="13" xfId="0" applyNumberFormat="1" applyFont="1" applyFill="1" applyBorder="1" applyAlignment="1">
      <alignment horizontal="center" vertical="top" shrinkToFit="1"/>
    </xf>
    <xf numFmtId="0" fontId="1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horizontal="left" vertical="top" wrapText="1" indent="2"/>
    </xf>
    <xf numFmtId="0" fontId="5" fillId="0" borderId="13" xfId="0" applyFont="1" applyFill="1" applyBorder="1" applyAlignment="1">
      <alignment horizontal="left" vertical="top" wrapText="1" indent="1"/>
    </xf>
    <xf numFmtId="0" fontId="0" fillId="0" borderId="13" xfId="0" applyFill="1" applyBorder="1" applyAlignment="1">
      <alignment horizontal="left" vertical="top" wrapText="1" indent="1"/>
    </xf>
    <xf numFmtId="0" fontId="1" fillId="0" borderId="13" xfId="0" applyFont="1" applyFill="1" applyBorder="1" applyAlignment="1">
      <alignment horizontal="left" vertical="top" wrapText="1"/>
    </xf>
    <xf numFmtId="0" fontId="1" fillId="0" borderId="13" xfId="0" applyFont="1" applyFill="1" applyBorder="1" applyAlignment="1">
      <alignment horizontal="left" vertical="top" wrapText="1" indent="2"/>
    </xf>
    <xf numFmtId="0" fontId="1" fillId="0" borderId="13" xfId="0" applyFont="1" applyFill="1" applyBorder="1" applyAlignment="1">
      <alignment horizontal="left" vertical="top" wrapText="1" indent="1"/>
    </xf>
    <xf numFmtId="164" fontId="3" fillId="0" borderId="13" xfId="0" applyNumberFormat="1" applyFont="1" applyFill="1" applyBorder="1" applyAlignment="1">
      <alignment horizontal="center" vertical="top" shrinkToFit="1"/>
    </xf>
    <xf numFmtId="0" fontId="28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4" fillId="0" borderId="13" xfId="0" applyFont="1" applyFill="1" applyBorder="1" applyAlignment="1">
      <alignment horizontal="center" vertical="top" wrapText="1"/>
    </xf>
    <xf numFmtId="0" fontId="0" fillId="0" borderId="13" xfId="0" applyFill="1" applyBorder="1" applyAlignment="1">
      <alignment vertical="top" wrapText="1"/>
    </xf>
    <xf numFmtId="0" fontId="0" fillId="0" borderId="0" xfId="0" applyFill="1" applyBorder="1" applyAlignment="1">
      <alignment horizontal="left" vertical="top" wrapText="1" indent="15"/>
    </xf>
    <xf numFmtId="0" fontId="0" fillId="0" borderId="0" xfId="0" applyFill="1" applyBorder="1" applyAlignment="1">
      <alignment horizontal="left" vertical="top" wrapText="1" indent="22"/>
    </xf>
    <xf numFmtId="169" fontId="3" fillId="0" borderId="13" xfId="0" applyNumberFormat="1" applyFont="1" applyBorder="1" applyAlignment="1">
      <alignment vertical="top" shrinkToFit="1"/>
    </xf>
    <xf numFmtId="168" fontId="3" fillId="0" borderId="13" xfId="0" applyNumberFormat="1" applyFont="1" applyBorder="1" applyAlignment="1">
      <alignment vertical="top" shrinkToFit="1"/>
    </xf>
    <xf numFmtId="166" fontId="3" fillId="0" borderId="13" xfId="0" applyNumberFormat="1" applyFont="1" applyBorder="1" applyAlignment="1">
      <alignment vertical="top" shrinkToFit="1"/>
    </xf>
    <xf numFmtId="0" fontId="31" fillId="0" borderId="0" xfId="0" applyFont="1" applyFill="1" applyBorder="1" applyAlignment="1">
      <alignment horizontal="left" vertical="top"/>
    </xf>
    <xf numFmtId="0" fontId="60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/>
    </xf>
    <xf numFmtId="169" fontId="61" fillId="0" borderId="13" xfId="0" applyNumberFormat="1" applyFont="1" applyFill="1" applyBorder="1" applyAlignment="1">
      <alignment vertical="top" shrinkToFit="1"/>
    </xf>
    <xf numFmtId="168" fontId="61" fillId="0" borderId="13" xfId="0" applyNumberFormat="1" applyFont="1" applyFill="1" applyBorder="1" applyAlignment="1">
      <alignment vertical="top" shrinkToFit="1"/>
    </xf>
    <xf numFmtId="166" fontId="61" fillId="0" borderId="13" xfId="0" applyNumberFormat="1" applyFont="1" applyFill="1" applyBorder="1" applyAlignment="1">
      <alignment vertical="top" shrinkToFit="1"/>
    </xf>
    <xf numFmtId="1" fontId="3" fillId="0" borderId="13" xfId="0" applyNumberFormat="1" applyFont="1" applyBorder="1" applyAlignment="1">
      <alignment vertical="top" shrinkToFit="1"/>
    </xf>
    <xf numFmtId="165" fontId="3" fillId="0" borderId="13" xfId="0" applyNumberFormat="1" applyFont="1" applyBorder="1" applyAlignment="1">
      <alignment vertical="top" shrinkToFit="1"/>
    </xf>
    <xf numFmtId="167" fontId="3" fillId="0" borderId="13" xfId="0" applyNumberFormat="1" applyFont="1" applyBorder="1" applyAlignment="1">
      <alignment vertical="top" shrinkToFit="1"/>
    </xf>
    <xf numFmtId="164" fontId="3" fillId="0" borderId="13" xfId="0" applyNumberFormat="1" applyFont="1" applyBorder="1" applyAlignment="1">
      <alignment vertical="top" shrinkToFit="1"/>
    </xf>
    <xf numFmtId="168" fontId="3" fillId="0" borderId="13" xfId="0" applyNumberFormat="1" applyFont="1" applyBorder="1" applyAlignment="1">
      <alignment horizontal="center" vertical="top" shrinkToFit="1"/>
    </xf>
    <xf numFmtId="165" fontId="3" fillId="0" borderId="15" xfId="0" applyNumberFormat="1" applyFont="1" applyBorder="1" applyAlignment="1">
      <alignment vertical="top" shrinkToFit="1"/>
    </xf>
    <xf numFmtId="164" fontId="3" fillId="0" borderId="15" xfId="0" applyNumberFormat="1" applyFont="1" applyBorder="1" applyAlignment="1">
      <alignment vertical="top" shrinkToFit="1"/>
    </xf>
    <xf numFmtId="165" fontId="3" fillId="0" borderId="9" xfId="0" applyNumberFormat="1" applyFont="1" applyBorder="1" applyAlignment="1">
      <alignment vertical="top" shrinkToFit="1"/>
    </xf>
    <xf numFmtId="167" fontId="3" fillId="0" borderId="9" xfId="0" applyNumberFormat="1" applyFont="1" applyBorder="1" applyAlignment="1">
      <alignment vertical="top" shrinkToFit="1"/>
    </xf>
    <xf numFmtId="168" fontId="3" fillId="0" borderId="9" xfId="0" applyNumberFormat="1" applyFont="1" applyBorder="1" applyAlignment="1">
      <alignment vertical="top" shrinkToFit="1"/>
    </xf>
    <xf numFmtId="164" fontId="3" fillId="0" borderId="9" xfId="0" applyNumberFormat="1" applyFont="1" applyBorder="1" applyAlignment="1">
      <alignment vertical="top" shrinkToFit="1"/>
    </xf>
    <xf numFmtId="164" fontId="3" fillId="0" borderId="11" xfId="0" applyNumberFormat="1" applyFont="1" applyBorder="1" applyAlignment="1">
      <alignment vertical="top" shrinkToFit="1"/>
    </xf>
    <xf numFmtId="167" fontId="3" fillId="0" borderId="11" xfId="0" applyNumberFormat="1" applyFont="1" applyBorder="1" applyAlignment="1">
      <alignment vertical="top" shrinkToFit="1"/>
    </xf>
    <xf numFmtId="168" fontId="3" fillId="0" borderId="11" xfId="0" applyNumberFormat="1" applyFont="1" applyBorder="1" applyAlignment="1">
      <alignment vertical="top" shrinkToFit="1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colors>
    <mruColors>
      <color rgb="FFFF33CC"/>
      <color rgb="FFCC0000"/>
      <color rgb="FFFF66CC"/>
      <color rgb="FF00660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1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09803921568628"/>
          <c:y val="4.9253737131711967E-2"/>
          <c:w val="0.8529411764705882"/>
          <c:h val="0.7863916150565935"/>
        </c:manualLayout>
      </c:layout>
      <c:scatterChart>
        <c:scatterStyle val="lineMarker"/>
        <c:varyColors val="0"/>
        <c:ser>
          <c:idx val="0"/>
          <c:order val="0"/>
          <c:tx>
            <c:v>T and Sf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Sat_T_based!$J$5:$J$379</c:f>
              <c:numCache>
                <c:formatCode>0.00000</c:formatCode>
                <c:ptCount val="375"/>
                <c:pt idx="0" formatCode="0">
                  <c:v>0</c:v>
                </c:pt>
                <c:pt idx="1">
                  <c:v>1.5259999999999999E-2</c:v>
                </c:pt>
                <c:pt idx="2">
                  <c:v>3.0609999999999998E-2</c:v>
                </c:pt>
                <c:pt idx="3">
                  <c:v>4.589E-2</c:v>
                </c:pt>
                <c:pt idx="4">
                  <c:v>6.1100000000000002E-2</c:v>
                </c:pt>
                <c:pt idx="5">
                  <c:v>7.6249999999999998E-2</c:v>
                </c:pt>
                <c:pt idx="6">
                  <c:v>9.1340000000000005E-2</c:v>
                </c:pt>
                <c:pt idx="7">
                  <c:v>0.10637000000000001</c:v>
                </c:pt>
                <c:pt idx="8">
                  <c:v>0.12132999999999999</c:v>
                </c:pt>
                <c:pt idx="9">
                  <c:v>0.13624</c:v>
                </c:pt>
                <c:pt idx="10">
                  <c:v>0.15109</c:v>
                </c:pt>
                <c:pt idx="11">
                  <c:v>0.16586999999999999</c:v>
                </c:pt>
                <c:pt idx="12">
                  <c:v>0.18060999999999999</c:v>
                </c:pt>
                <c:pt idx="13">
                  <c:v>0.19528000000000001</c:v>
                </c:pt>
                <c:pt idx="14">
                  <c:v>0.2099</c:v>
                </c:pt>
                <c:pt idx="15">
                  <c:v>0.22445999999999999</c:v>
                </c:pt>
                <c:pt idx="16">
                  <c:v>0.23896999999999999</c:v>
                </c:pt>
                <c:pt idx="17">
                  <c:v>0.25342999999999999</c:v>
                </c:pt>
                <c:pt idx="18">
                  <c:v>0.26783000000000001</c:v>
                </c:pt>
                <c:pt idx="19">
                  <c:v>0.28217999999999999</c:v>
                </c:pt>
                <c:pt idx="20">
                  <c:v>0.29648000000000002</c:v>
                </c:pt>
                <c:pt idx="21">
                  <c:v>0.31073000000000001</c:v>
                </c:pt>
                <c:pt idx="22">
                  <c:v>0.32493</c:v>
                </c:pt>
                <c:pt idx="23">
                  <c:v>0.33907999999999999</c:v>
                </c:pt>
                <c:pt idx="24">
                  <c:v>0.35317999999999999</c:v>
                </c:pt>
                <c:pt idx="25">
                  <c:v>0.36721999999999999</c:v>
                </c:pt>
                <c:pt idx="26">
                  <c:v>0.38123000000000001</c:v>
                </c:pt>
                <c:pt idx="27">
                  <c:v>0.39517999999999998</c:v>
                </c:pt>
                <c:pt idx="28">
                  <c:v>0.40908</c:v>
                </c:pt>
                <c:pt idx="29">
                  <c:v>0.42293999999999998</c:v>
                </c:pt>
                <c:pt idx="30">
                  <c:v>0.43675000000000003</c:v>
                </c:pt>
                <c:pt idx="31">
                  <c:v>0.45051999999999998</c:v>
                </c:pt>
                <c:pt idx="32">
                  <c:v>0.46423999999999999</c:v>
                </c:pt>
                <c:pt idx="33">
                  <c:v>0.47792000000000001</c:v>
                </c:pt>
                <c:pt idx="34">
                  <c:v>0.49154999999999999</c:v>
                </c:pt>
                <c:pt idx="35">
                  <c:v>0.50512999999999997</c:v>
                </c:pt>
                <c:pt idx="36">
                  <c:v>0.51866999999999996</c:v>
                </c:pt>
                <c:pt idx="37">
                  <c:v>0.53217000000000003</c:v>
                </c:pt>
                <c:pt idx="38">
                  <c:v>0.54561999999999999</c:v>
                </c:pt>
                <c:pt idx="39">
                  <c:v>0.55903000000000003</c:v>
                </c:pt>
                <c:pt idx="40">
                  <c:v>0.57240000000000002</c:v>
                </c:pt>
                <c:pt idx="41">
                  <c:v>0.58572999999999997</c:v>
                </c:pt>
                <c:pt idx="42">
                  <c:v>0.59901000000000004</c:v>
                </c:pt>
                <c:pt idx="43">
                  <c:v>0.61224999999999996</c:v>
                </c:pt>
                <c:pt idx="44">
                  <c:v>0.62544999999999995</c:v>
                </c:pt>
                <c:pt idx="45">
                  <c:v>0.63861000000000001</c:v>
                </c:pt>
                <c:pt idx="46">
                  <c:v>0.65173000000000003</c:v>
                </c:pt>
                <c:pt idx="47">
                  <c:v>0.66481000000000001</c:v>
                </c:pt>
                <c:pt idx="48">
                  <c:v>0.67784999999999995</c:v>
                </c:pt>
                <c:pt idx="49">
                  <c:v>0.69084999999999996</c:v>
                </c:pt>
                <c:pt idx="50">
                  <c:v>0.70381000000000005</c:v>
                </c:pt>
                <c:pt idx="51">
                  <c:v>0.71672999999999998</c:v>
                </c:pt>
                <c:pt idx="52">
                  <c:v>0.72960999999999998</c:v>
                </c:pt>
                <c:pt idx="53">
                  <c:v>0.74245000000000005</c:v>
                </c:pt>
                <c:pt idx="54">
                  <c:v>0.75526000000000004</c:v>
                </c:pt>
                <c:pt idx="55">
                  <c:v>0.76802000000000004</c:v>
                </c:pt>
                <c:pt idx="56">
                  <c:v>0.78075000000000006</c:v>
                </c:pt>
                <c:pt idx="57">
                  <c:v>0.79344000000000003</c:v>
                </c:pt>
                <c:pt idx="58">
                  <c:v>0.80610000000000004</c:v>
                </c:pt>
                <c:pt idx="59">
                  <c:v>0.81871000000000005</c:v>
                </c:pt>
                <c:pt idx="60">
                  <c:v>0.83128999999999997</c:v>
                </c:pt>
                <c:pt idx="61">
                  <c:v>0.84384000000000003</c:v>
                </c:pt>
                <c:pt idx="62">
                  <c:v>0.85633999999999999</c:v>
                </c:pt>
                <c:pt idx="63">
                  <c:v>0.86882000000000004</c:v>
                </c:pt>
                <c:pt idx="64">
                  <c:v>0.88124999999999998</c:v>
                </c:pt>
                <c:pt idx="65">
                  <c:v>0.89365000000000006</c:v>
                </c:pt>
                <c:pt idx="66">
                  <c:v>0.90602000000000005</c:v>
                </c:pt>
                <c:pt idx="67">
                  <c:v>0.91835</c:v>
                </c:pt>
                <c:pt idx="68">
                  <c:v>0.93064000000000002</c:v>
                </c:pt>
                <c:pt idx="69">
                  <c:v>0.94291000000000003</c:v>
                </c:pt>
                <c:pt idx="70">
                  <c:v>0.95513000000000003</c:v>
                </c:pt>
                <c:pt idx="71">
                  <c:v>0.96733000000000002</c:v>
                </c:pt>
                <c:pt idx="72">
                  <c:v>0.97948999999999997</c:v>
                </c:pt>
                <c:pt idx="73">
                  <c:v>0.99160999999999999</c:v>
                </c:pt>
                <c:pt idx="74" formatCode="0.0000">
                  <c:v>1.0037</c:v>
                </c:pt>
                <c:pt idx="75" formatCode="0.0000">
                  <c:v>1.0158</c:v>
                </c:pt>
                <c:pt idx="76" formatCode="0.0000">
                  <c:v>1.0278</c:v>
                </c:pt>
                <c:pt idx="77" formatCode="0.0000">
                  <c:v>1.0398000000000001</c:v>
                </c:pt>
                <c:pt idx="78" formatCode="0.0000">
                  <c:v>1.0517000000000001</c:v>
                </c:pt>
                <c:pt idx="79" formatCode="0.0000">
                  <c:v>1.0637000000000001</c:v>
                </c:pt>
                <c:pt idx="80" formatCode="0.0000">
                  <c:v>1.0755999999999999</c:v>
                </c:pt>
                <c:pt idx="81" formatCode="0.0000">
                  <c:v>1.0873999999999999</c:v>
                </c:pt>
                <c:pt idx="82" formatCode="0.0000">
                  <c:v>1.0992999999999999</c:v>
                </c:pt>
                <c:pt idx="83" formatCode="0.0000">
                  <c:v>1.1111</c:v>
                </c:pt>
                <c:pt idx="84" formatCode="0.0000">
                  <c:v>1.1229</c:v>
                </c:pt>
                <c:pt idx="85" formatCode="0.0000">
                  <c:v>1.1346000000000001</c:v>
                </c:pt>
                <c:pt idx="86" formatCode="0.0000">
                  <c:v>1.1463000000000001</c:v>
                </c:pt>
                <c:pt idx="87" formatCode="0.0000">
                  <c:v>1.1579999999999999</c:v>
                </c:pt>
                <c:pt idx="88" formatCode="0.0000">
                  <c:v>1.1696</c:v>
                </c:pt>
                <c:pt idx="89" formatCode="0.0000">
                  <c:v>1.1813</c:v>
                </c:pt>
                <c:pt idx="90" formatCode="0.0000">
                  <c:v>1.1929000000000001</c:v>
                </c:pt>
                <c:pt idx="91" formatCode="0.0000">
                  <c:v>1.2043999999999999</c:v>
                </c:pt>
                <c:pt idx="92" formatCode="0.0000">
                  <c:v>1.216</c:v>
                </c:pt>
                <c:pt idx="93" formatCode="0.0000">
                  <c:v>1.2275</c:v>
                </c:pt>
                <c:pt idx="94" formatCode="0.0000">
                  <c:v>1.2388999999999999</c:v>
                </c:pt>
                <c:pt idx="95" formatCode="0.0000">
                  <c:v>1.2504</c:v>
                </c:pt>
                <c:pt idx="96" formatCode="0.0000">
                  <c:v>1.2618</c:v>
                </c:pt>
                <c:pt idx="97" formatCode="0.0000">
                  <c:v>1.2732000000000001</c:v>
                </c:pt>
                <c:pt idx="98" formatCode="0.0000">
                  <c:v>1.2846</c:v>
                </c:pt>
                <c:pt idx="99" formatCode="0.0000">
                  <c:v>1.2959000000000001</c:v>
                </c:pt>
                <c:pt idx="100" formatCode="0.0000">
                  <c:v>1.3071999999999999</c:v>
                </c:pt>
                <c:pt idx="101" formatCode="0.0000">
                  <c:v>1.3185</c:v>
                </c:pt>
                <c:pt idx="102" formatCode="0.0000">
                  <c:v>1.3297000000000001</c:v>
                </c:pt>
                <c:pt idx="103" formatCode="0.0000">
                  <c:v>1.341</c:v>
                </c:pt>
                <c:pt idx="104" formatCode="0.0000">
                  <c:v>1.3522000000000001</c:v>
                </c:pt>
                <c:pt idx="105" formatCode="0.0000">
                  <c:v>1.3633</c:v>
                </c:pt>
                <c:pt idx="106" formatCode="0.0000">
                  <c:v>1.3745000000000001</c:v>
                </c:pt>
                <c:pt idx="107" formatCode="0.0000">
                  <c:v>1.3855999999999999</c:v>
                </c:pt>
                <c:pt idx="108" formatCode="0.0000">
                  <c:v>1.3967000000000001</c:v>
                </c:pt>
                <c:pt idx="109" formatCode="0.0000">
                  <c:v>1.4077999999999999</c:v>
                </c:pt>
                <c:pt idx="110" formatCode="0.0000">
                  <c:v>1.4188000000000001</c:v>
                </c:pt>
                <c:pt idx="111" formatCode="0.0000">
                  <c:v>1.4298</c:v>
                </c:pt>
                <c:pt idx="112" formatCode="0.0000">
                  <c:v>1.4408000000000001</c:v>
                </c:pt>
                <c:pt idx="113" formatCode="0.0000">
                  <c:v>1.4518</c:v>
                </c:pt>
                <c:pt idx="114" formatCode="0.0000">
                  <c:v>1.4628000000000001</c:v>
                </c:pt>
                <c:pt idx="115" formatCode="0.0000">
                  <c:v>1.4737</c:v>
                </c:pt>
                <c:pt idx="116" formatCode="0.0000">
                  <c:v>1.4845999999999999</c:v>
                </c:pt>
                <c:pt idx="117" formatCode="0.0000">
                  <c:v>1.4954000000000001</c:v>
                </c:pt>
                <c:pt idx="118" formatCode="0.0000">
                  <c:v>1.5063</c:v>
                </c:pt>
                <c:pt idx="119" formatCode="0.0000">
                  <c:v>1.5170999999999999</c:v>
                </c:pt>
                <c:pt idx="120" formatCode="0.0000">
                  <c:v>1.5279</c:v>
                </c:pt>
                <c:pt idx="121" formatCode="0.0000">
                  <c:v>1.5387</c:v>
                </c:pt>
                <c:pt idx="122" formatCode="0.0000">
                  <c:v>1.5494000000000001</c:v>
                </c:pt>
                <c:pt idx="123" formatCode="0.0000">
                  <c:v>1.5602</c:v>
                </c:pt>
                <c:pt idx="124" formatCode="0.0000">
                  <c:v>1.5709</c:v>
                </c:pt>
                <c:pt idx="125" formatCode="0.0000">
                  <c:v>1.5815999999999999</c:v>
                </c:pt>
                <c:pt idx="126" formatCode="0.0000">
                  <c:v>1.5922000000000001</c:v>
                </c:pt>
                <c:pt idx="127" formatCode="0.0000">
                  <c:v>1.6029</c:v>
                </c:pt>
                <c:pt idx="128" formatCode="0.0000">
                  <c:v>1.6134999999999999</c:v>
                </c:pt>
                <c:pt idx="129" formatCode="0.0000">
                  <c:v>1.6241000000000001</c:v>
                </c:pt>
                <c:pt idx="130" formatCode="0.0000">
                  <c:v>1.6346000000000001</c:v>
                </c:pt>
                <c:pt idx="131" formatCode="0.0000">
                  <c:v>1.6452</c:v>
                </c:pt>
                <c:pt idx="132" formatCode="0.0000">
                  <c:v>1.6556999999999999</c:v>
                </c:pt>
                <c:pt idx="133" formatCode="0.0000">
                  <c:v>1.6661999999999999</c:v>
                </c:pt>
                <c:pt idx="134" formatCode="0.0000">
                  <c:v>1.6767000000000001</c:v>
                </c:pt>
                <c:pt idx="135" formatCode="0.0000">
                  <c:v>1.6872</c:v>
                </c:pt>
                <c:pt idx="136" formatCode="0.0000">
                  <c:v>1.6976</c:v>
                </c:pt>
                <c:pt idx="137" formatCode="0.0000">
                  <c:v>1.7081</c:v>
                </c:pt>
                <c:pt idx="138" formatCode="0.0000">
                  <c:v>1.7184999999999999</c:v>
                </c:pt>
                <c:pt idx="139" formatCode="0.0000">
                  <c:v>1.7289000000000001</c:v>
                </c:pt>
                <c:pt idx="140" formatCode="0.0000">
                  <c:v>1.7392000000000001</c:v>
                </c:pt>
                <c:pt idx="141" formatCode="0.0000">
                  <c:v>1.7496</c:v>
                </c:pt>
                <c:pt idx="142" formatCode="0.0000">
                  <c:v>1.7599</c:v>
                </c:pt>
                <c:pt idx="143" formatCode="0.0000">
                  <c:v>1.7702</c:v>
                </c:pt>
                <c:pt idx="144" formatCode="0.0000">
                  <c:v>1.7805</c:v>
                </c:pt>
                <c:pt idx="145" formatCode="0.0000">
                  <c:v>1.7907</c:v>
                </c:pt>
                <c:pt idx="146" formatCode="0.0000">
                  <c:v>1.8009999999999999</c:v>
                </c:pt>
                <c:pt idx="147" formatCode="0.0000">
                  <c:v>1.8111999999999999</c:v>
                </c:pt>
                <c:pt idx="148" formatCode="0.0000">
                  <c:v>1.8213999999999999</c:v>
                </c:pt>
                <c:pt idx="149" formatCode="0.0000">
                  <c:v>1.8315999999999999</c:v>
                </c:pt>
                <c:pt idx="150" formatCode="0.0000">
                  <c:v>1.8418000000000001</c:v>
                </c:pt>
                <c:pt idx="151" formatCode="0.0000">
                  <c:v>1.8520000000000001</c:v>
                </c:pt>
                <c:pt idx="152" formatCode="0.0000">
                  <c:v>1.8621000000000001</c:v>
                </c:pt>
                <c:pt idx="153" formatCode="0.0000">
                  <c:v>1.8722000000000001</c:v>
                </c:pt>
                <c:pt idx="154" formatCode="0.0000">
                  <c:v>1.8823000000000001</c:v>
                </c:pt>
                <c:pt idx="155" formatCode="0.0000">
                  <c:v>1.8924000000000001</c:v>
                </c:pt>
                <c:pt idx="156" formatCode="0.0000">
                  <c:v>1.9025000000000001</c:v>
                </c:pt>
                <c:pt idx="157" formatCode="0.0000">
                  <c:v>1.9125000000000001</c:v>
                </c:pt>
                <c:pt idx="158" formatCode="0.0000">
                  <c:v>1.9225000000000001</c:v>
                </c:pt>
                <c:pt idx="159" formatCode="0.0000">
                  <c:v>1.9326000000000001</c:v>
                </c:pt>
                <c:pt idx="160" formatCode="0.0000">
                  <c:v>1.9426000000000001</c:v>
                </c:pt>
                <c:pt idx="161" formatCode="0.0000">
                  <c:v>1.9524999999999999</c:v>
                </c:pt>
                <c:pt idx="162" formatCode="0.0000">
                  <c:v>1.9624999999999999</c:v>
                </c:pt>
                <c:pt idx="163" formatCode="0.0000">
                  <c:v>1.9724999999999999</c:v>
                </c:pt>
                <c:pt idx="164" formatCode="0.0000">
                  <c:v>1.9823999999999999</c:v>
                </c:pt>
                <c:pt idx="165" formatCode="0.0000">
                  <c:v>1.9923</c:v>
                </c:pt>
                <c:pt idx="166" formatCode="0.0000">
                  <c:v>2.0022000000000002</c:v>
                </c:pt>
                <c:pt idx="167" formatCode="0.0000">
                  <c:v>2.0121000000000002</c:v>
                </c:pt>
                <c:pt idx="168" formatCode="0.0000">
                  <c:v>2.0219999999999998</c:v>
                </c:pt>
                <c:pt idx="169" formatCode="0.0000">
                  <c:v>2.0318000000000001</c:v>
                </c:pt>
                <c:pt idx="170" formatCode="0.0000">
                  <c:v>2.0417000000000001</c:v>
                </c:pt>
                <c:pt idx="171" formatCode="0.0000">
                  <c:v>2.0514999999999999</c:v>
                </c:pt>
                <c:pt idx="172" formatCode="0.0000">
                  <c:v>2.0613000000000001</c:v>
                </c:pt>
                <c:pt idx="173" formatCode="0.0000">
                  <c:v>2.0710999999999999</c:v>
                </c:pt>
                <c:pt idx="174" formatCode="0.0000">
                  <c:v>2.0809000000000002</c:v>
                </c:pt>
                <c:pt idx="175" formatCode="0.0000">
                  <c:v>2.0905999999999998</c:v>
                </c:pt>
                <c:pt idx="176" formatCode="0.0000">
                  <c:v>2.1004</c:v>
                </c:pt>
                <c:pt idx="177" formatCode="0.0000">
                  <c:v>2.1101000000000001</c:v>
                </c:pt>
                <c:pt idx="178" formatCode="0.0000">
                  <c:v>2.1198000000000001</c:v>
                </c:pt>
                <c:pt idx="179" formatCode="0.0000">
                  <c:v>2.1295999999999999</c:v>
                </c:pt>
                <c:pt idx="180" formatCode="0.0000">
                  <c:v>2.1392000000000002</c:v>
                </c:pt>
                <c:pt idx="181" formatCode="0.0000">
                  <c:v>2.1488999999999998</c:v>
                </c:pt>
                <c:pt idx="182" formatCode="0.0000">
                  <c:v>2.1585999999999999</c:v>
                </c:pt>
                <c:pt idx="183" formatCode="0.0000">
                  <c:v>2.1682999999999999</c:v>
                </c:pt>
                <c:pt idx="184" formatCode="0.0000">
                  <c:v>2.1779000000000002</c:v>
                </c:pt>
                <c:pt idx="185" formatCode="0.0000">
                  <c:v>2.1875</c:v>
                </c:pt>
                <c:pt idx="186" formatCode="0.0000">
                  <c:v>2.1970999999999998</c:v>
                </c:pt>
                <c:pt idx="187" formatCode="0.0000">
                  <c:v>2.2067000000000001</c:v>
                </c:pt>
                <c:pt idx="188" formatCode="0.0000">
                  <c:v>2.2162999999999999</c:v>
                </c:pt>
                <c:pt idx="189" formatCode="0.0000">
                  <c:v>2.2259000000000002</c:v>
                </c:pt>
                <c:pt idx="190" formatCode="0.0000">
                  <c:v>2.2355</c:v>
                </c:pt>
                <c:pt idx="191" formatCode="0.0000">
                  <c:v>2.2450000000000001</c:v>
                </c:pt>
                <c:pt idx="192" formatCode="0.0000">
                  <c:v>2.2545999999999999</c:v>
                </c:pt>
                <c:pt idx="193" formatCode="0.0000">
                  <c:v>2.2641</c:v>
                </c:pt>
                <c:pt idx="194" formatCode="0.0000">
                  <c:v>2.2736000000000001</c:v>
                </c:pt>
                <c:pt idx="195" formatCode="0.0000">
                  <c:v>2.2831999999999999</c:v>
                </c:pt>
                <c:pt idx="196" formatCode="0.0000">
                  <c:v>2.2926000000000002</c:v>
                </c:pt>
                <c:pt idx="197" formatCode="0.0000">
                  <c:v>2.3020999999999998</c:v>
                </c:pt>
                <c:pt idx="198" formatCode="0.0000">
                  <c:v>2.3115999999999999</c:v>
                </c:pt>
                <c:pt idx="199" formatCode="0.0000">
                  <c:v>2.3210999999999999</c:v>
                </c:pt>
                <c:pt idx="200" formatCode="0.0000">
                  <c:v>2.3304999999999998</c:v>
                </c:pt>
                <c:pt idx="201" formatCode="0.0000">
                  <c:v>2.34</c:v>
                </c:pt>
                <c:pt idx="202" formatCode="0.0000">
                  <c:v>2.3494000000000002</c:v>
                </c:pt>
                <c:pt idx="203" formatCode="0.0000">
                  <c:v>2.3588</c:v>
                </c:pt>
                <c:pt idx="204" formatCode="0.0000">
                  <c:v>2.3683000000000001</c:v>
                </c:pt>
                <c:pt idx="205" formatCode="0.0000">
                  <c:v>2.3776999999999999</c:v>
                </c:pt>
                <c:pt idx="206" formatCode="0.0000">
                  <c:v>2.3871000000000002</c:v>
                </c:pt>
                <c:pt idx="207" formatCode="0.0000">
                  <c:v>2.3963999999999999</c:v>
                </c:pt>
                <c:pt idx="208" formatCode="0.0000">
                  <c:v>2.4058000000000002</c:v>
                </c:pt>
                <c:pt idx="209" formatCode="0.0000">
                  <c:v>2.4152</c:v>
                </c:pt>
                <c:pt idx="210" formatCode="0.0000">
                  <c:v>2.4245000000000001</c:v>
                </c:pt>
                <c:pt idx="211" formatCode="0.0000">
                  <c:v>2.4339</c:v>
                </c:pt>
                <c:pt idx="212" formatCode="0.0000">
                  <c:v>2.4432</c:v>
                </c:pt>
                <c:pt idx="213" formatCode="0.0000">
                  <c:v>2.4525999999999999</c:v>
                </c:pt>
                <c:pt idx="214" formatCode="0.0000">
                  <c:v>2.4619</c:v>
                </c:pt>
                <c:pt idx="215" formatCode="0.0000">
                  <c:v>2.4712000000000001</c:v>
                </c:pt>
                <c:pt idx="216" formatCode="0.0000">
                  <c:v>2.4805000000000001</c:v>
                </c:pt>
                <c:pt idx="217" formatCode="0.0000">
                  <c:v>2.4897999999999998</c:v>
                </c:pt>
                <c:pt idx="218" formatCode="0.0000">
                  <c:v>2.4990999999999999</c:v>
                </c:pt>
                <c:pt idx="219" formatCode="0.0000">
                  <c:v>2.5084</c:v>
                </c:pt>
                <c:pt idx="220" formatCode="0.0000">
                  <c:v>2.5177</c:v>
                </c:pt>
                <c:pt idx="221" formatCode="0.0000">
                  <c:v>2.5268999999999999</c:v>
                </c:pt>
                <c:pt idx="222" formatCode="0.0000">
                  <c:v>2.5362</c:v>
                </c:pt>
                <c:pt idx="223" formatCode="0.0000">
                  <c:v>2.5455000000000001</c:v>
                </c:pt>
                <c:pt idx="224" formatCode="0.0000">
                  <c:v>2.5547</c:v>
                </c:pt>
                <c:pt idx="225" formatCode="0.0000">
                  <c:v>2.5640000000000001</c:v>
                </c:pt>
                <c:pt idx="226" formatCode="0.0000">
                  <c:v>2.5731999999999999</c:v>
                </c:pt>
                <c:pt idx="227" formatCode="0.0000">
                  <c:v>2.5823999999999998</c:v>
                </c:pt>
                <c:pt idx="228" formatCode="0.0000">
                  <c:v>2.5916999999999999</c:v>
                </c:pt>
                <c:pt idx="229" formatCode="0.0000">
                  <c:v>2.6009000000000002</c:v>
                </c:pt>
                <c:pt idx="230" formatCode="0.0000">
                  <c:v>2.6101000000000001</c:v>
                </c:pt>
                <c:pt idx="231" formatCode="0.0000">
                  <c:v>2.6193</c:v>
                </c:pt>
                <c:pt idx="232" formatCode="0.0000">
                  <c:v>2.6284999999999998</c:v>
                </c:pt>
                <c:pt idx="233" formatCode="0.0000">
                  <c:v>2.6377000000000002</c:v>
                </c:pt>
                <c:pt idx="234" formatCode="0.0000">
                  <c:v>2.6469</c:v>
                </c:pt>
                <c:pt idx="235" formatCode="0.0000">
                  <c:v>2.6560999999999999</c:v>
                </c:pt>
                <c:pt idx="236" formatCode="0.0000">
                  <c:v>2.6652999999999998</c:v>
                </c:pt>
                <c:pt idx="237" formatCode="0.0000">
                  <c:v>2.6745000000000001</c:v>
                </c:pt>
                <c:pt idx="238" formatCode="0.0000">
                  <c:v>2.6836000000000002</c:v>
                </c:pt>
                <c:pt idx="239" formatCode="0.0000">
                  <c:v>2.6928000000000001</c:v>
                </c:pt>
                <c:pt idx="240" formatCode="0.0000">
                  <c:v>2.702</c:v>
                </c:pt>
                <c:pt idx="241" formatCode="0.0000">
                  <c:v>2.7111000000000001</c:v>
                </c:pt>
                <c:pt idx="242" formatCode="0.0000">
                  <c:v>2.7202999999999999</c:v>
                </c:pt>
                <c:pt idx="243" formatCode="0.0000">
                  <c:v>2.7294999999999998</c:v>
                </c:pt>
                <c:pt idx="244" formatCode="0.0000">
                  <c:v>2.7385999999999999</c:v>
                </c:pt>
                <c:pt idx="245" formatCode="0.0000">
                  <c:v>2.7477999999999998</c:v>
                </c:pt>
                <c:pt idx="246" formatCode="0.0000">
                  <c:v>2.7568999999999999</c:v>
                </c:pt>
                <c:pt idx="247" formatCode="0.0000">
                  <c:v>2.7660999999999998</c:v>
                </c:pt>
                <c:pt idx="248" formatCode="0.0000">
                  <c:v>2.7751999999999999</c:v>
                </c:pt>
                <c:pt idx="249" formatCode="0.0000">
                  <c:v>2.7844000000000002</c:v>
                </c:pt>
                <c:pt idx="250" formatCode="0.0000">
                  <c:v>2.7934999999999999</c:v>
                </c:pt>
                <c:pt idx="251" formatCode="0.0000">
                  <c:v>2.8027000000000002</c:v>
                </c:pt>
                <c:pt idx="252" formatCode="0.0000">
                  <c:v>2.8117999999999999</c:v>
                </c:pt>
                <c:pt idx="253" formatCode="0.0000">
                  <c:v>2.8210000000000002</c:v>
                </c:pt>
                <c:pt idx="254" formatCode="0.0000">
                  <c:v>2.8300999999999998</c:v>
                </c:pt>
                <c:pt idx="255" formatCode="0.0000">
                  <c:v>2.8391999999999999</c:v>
                </c:pt>
                <c:pt idx="256" formatCode="0.0000">
                  <c:v>2.8483999999999998</c:v>
                </c:pt>
                <c:pt idx="257" formatCode="0.0000">
                  <c:v>2.8574999999999999</c:v>
                </c:pt>
                <c:pt idx="258" formatCode="0.0000">
                  <c:v>2.8666999999999998</c:v>
                </c:pt>
                <c:pt idx="259" formatCode="0.0000">
                  <c:v>2.8757999999999999</c:v>
                </c:pt>
                <c:pt idx="260" formatCode="0.0000">
                  <c:v>2.8849</c:v>
                </c:pt>
                <c:pt idx="261" formatCode="0.0000">
                  <c:v>2.8940999999999999</c:v>
                </c:pt>
                <c:pt idx="262" formatCode="0.0000">
                  <c:v>2.9032</c:v>
                </c:pt>
                <c:pt idx="263" formatCode="0.0000">
                  <c:v>2.9123999999999999</c:v>
                </c:pt>
                <c:pt idx="264" formatCode="0.0000">
                  <c:v>2.9215</c:v>
                </c:pt>
                <c:pt idx="265" formatCode="0.0000">
                  <c:v>2.9306999999999999</c:v>
                </c:pt>
                <c:pt idx="266" formatCode="0.0000">
                  <c:v>2.9398</c:v>
                </c:pt>
                <c:pt idx="267" formatCode="0.0000">
                  <c:v>2.9489999999999998</c:v>
                </c:pt>
                <c:pt idx="268" formatCode="0.0000">
                  <c:v>2.9582000000000002</c:v>
                </c:pt>
                <c:pt idx="269" formatCode="0.0000">
                  <c:v>2.9672999999999998</c:v>
                </c:pt>
                <c:pt idx="270" formatCode="0.0000">
                  <c:v>2.9765000000000001</c:v>
                </c:pt>
                <c:pt idx="271" formatCode="0.0000">
                  <c:v>2.9857</c:v>
                </c:pt>
                <c:pt idx="272" formatCode="0.0000">
                  <c:v>2.9948000000000001</c:v>
                </c:pt>
                <c:pt idx="273" formatCode="0.0000">
                  <c:v>3.004</c:v>
                </c:pt>
                <c:pt idx="274" formatCode="0.0000">
                  <c:v>3.0131999999999999</c:v>
                </c:pt>
                <c:pt idx="275" formatCode="0.0000">
                  <c:v>3.0224000000000002</c:v>
                </c:pt>
                <c:pt idx="276" formatCode="0.0000">
                  <c:v>3.0316000000000001</c:v>
                </c:pt>
                <c:pt idx="277" formatCode="0.0000">
                  <c:v>3.0407999999999999</c:v>
                </c:pt>
                <c:pt idx="278" formatCode="0.0000">
                  <c:v>3.05</c:v>
                </c:pt>
                <c:pt idx="279" formatCode="0.0000">
                  <c:v>3.0592000000000001</c:v>
                </c:pt>
                <c:pt idx="280" formatCode="0.0000">
                  <c:v>3.0684999999999998</c:v>
                </c:pt>
                <c:pt idx="281" formatCode="0.0000">
                  <c:v>3.0777000000000001</c:v>
                </c:pt>
                <c:pt idx="282" formatCode="0.0000">
                  <c:v>3.0869</c:v>
                </c:pt>
                <c:pt idx="283" formatCode="0.0000">
                  <c:v>3.0962000000000001</c:v>
                </c:pt>
                <c:pt idx="284" formatCode="0.0000">
                  <c:v>3.1053999999999999</c:v>
                </c:pt>
                <c:pt idx="285" formatCode="0.0000">
                  <c:v>3.1147</c:v>
                </c:pt>
                <c:pt idx="286" formatCode="0.0000">
                  <c:v>3.1240000000000001</c:v>
                </c:pt>
                <c:pt idx="287" formatCode="0.0000">
                  <c:v>3.1333000000000002</c:v>
                </c:pt>
                <c:pt idx="288" formatCode="0.0000">
                  <c:v>3.1425999999999998</c:v>
                </c:pt>
                <c:pt idx="289" formatCode="0.0000">
                  <c:v>3.1518999999999999</c:v>
                </c:pt>
                <c:pt idx="290" formatCode="0.0000">
                  <c:v>3.1612</c:v>
                </c:pt>
                <c:pt idx="291" formatCode="0.0000">
                  <c:v>3.1705000000000001</c:v>
                </c:pt>
                <c:pt idx="292" formatCode="0.0000">
                  <c:v>3.1798999999999999</c:v>
                </c:pt>
                <c:pt idx="293" formatCode="0.0000">
                  <c:v>3.1892</c:v>
                </c:pt>
                <c:pt idx="294" formatCode="0.0000">
                  <c:v>3.1985999999999999</c:v>
                </c:pt>
                <c:pt idx="295" formatCode="0.0000">
                  <c:v>3.2080000000000002</c:v>
                </c:pt>
                <c:pt idx="296" formatCode="0.0000">
                  <c:v>3.2174</c:v>
                </c:pt>
                <c:pt idx="297" formatCode="0.0000">
                  <c:v>3.2267999999999999</c:v>
                </c:pt>
                <c:pt idx="298" formatCode="0.0000">
                  <c:v>3.2362000000000002</c:v>
                </c:pt>
                <c:pt idx="299" formatCode="0.0000">
                  <c:v>3.2456999999999998</c:v>
                </c:pt>
                <c:pt idx="300" formatCode="0.0000">
                  <c:v>3.2551999999999999</c:v>
                </c:pt>
                <c:pt idx="301" formatCode="0.0000">
                  <c:v>3.2646999999999999</c:v>
                </c:pt>
                <c:pt idx="302" formatCode="0.0000">
                  <c:v>3.2742</c:v>
                </c:pt>
                <c:pt idx="303" formatCode="0.0000">
                  <c:v>3.2837000000000001</c:v>
                </c:pt>
                <c:pt idx="304" formatCode="0.0000">
                  <c:v>3.2932000000000001</c:v>
                </c:pt>
                <c:pt idx="305" formatCode="0.0000">
                  <c:v>3.3028</c:v>
                </c:pt>
                <c:pt idx="306" formatCode="0.0000">
                  <c:v>3.3123999999999998</c:v>
                </c:pt>
                <c:pt idx="307" formatCode="0.0000">
                  <c:v>3.3220000000000001</c:v>
                </c:pt>
                <c:pt idx="308" formatCode="0.0000">
                  <c:v>3.3315999999999999</c:v>
                </c:pt>
                <c:pt idx="309" formatCode="0.0000">
                  <c:v>3.3412999999999999</c:v>
                </c:pt>
                <c:pt idx="310" formatCode="0.0000">
                  <c:v>3.351</c:v>
                </c:pt>
                <c:pt idx="311" formatCode="0.0000">
                  <c:v>3.3607</c:v>
                </c:pt>
                <c:pt idx="312" formatCode="0.0000">
                  <c:v>3.3704000000000001</c:v>
                </c:pt>
                <c:pt idx="313" formatCode="0.0000">
                  <c:v>3.3801999999999999</c:v>
                </c:pt>
                <c:pt idx="314" formatCode="0.0000">
                  <c:v>3.39</c:v>
                </c:pt>
                <c:pt idx="315" formatCode="0.0000">
                  <c:v>3.3997999999999999</c:v>
                </c:pt>
                <c:pt idx="316" formatCode="0.0000">
                  <c:v>3.4097</c:v>
                </c:pt>
                <c:pt idx="317" formatCode="0.0000">
                  <c:v>3.4195000000000002</c:v>
                </c:pt>
                <c:pt idx="318" formatCode="0.0000">
                  <c:v>3.4295</c:v>
                </c:pt>
                <c:pt idx="319" formatCode="0.0000">
                  <c:v>3.4394</c:v>
                </c:pt>
                <c:pt idx="320" formatCode="0.0000">
                  <c:v>3.4493999999999998</c:v>
                </c:pt>
                <c:pt idx="321" formatCode="0.0000">
                  <c:v>3.4594999999999998</c:v>
                </c:pt>
                <c:pt idx="322" formatCode="0.0000">
                  <c:v>3.4695</c:v>
                </c:pt>
                <c:pt idx="323" formatCode="0.0000">
                  <c:v>3.4796999999999998</c:v>
                </c:pt>
                <c:pt idx="324" formatCode="0.0000">
                  <c:v>3.4897999999999998</c:v>
                </c:pt>
                <c:pt idx="325" formatCode="0.0000">
                  <c:v>3.5</c:v>
                </c:pt>
                <c:pt idx="326" formatCode="0.0000">
                  <c:v>3.5103</c:v>
                </c:pt>
                <c:pt idx="327" formatCode="0.0000">
                  <c:v>3.5206</c:v>
                </c:pt>
                <c:pt idx="328" formatCode="0.0000">
                  <c:v>3.5308999999999999</c:v>
                </c:pt>
                <c:pt idx="329" formatCode="0.0000">
                  <c:v>3.5413000000000001</c:v>
                </c:pt>
                <c:pt idx="330" formatCode="0.0000">
                  <c:v>3.5518000000000001</c:v>
                </c:pt>
                <c:pt idx="331" formatCode="0.0000">
                  <c:v>3.5623</c:v>
                </c:pt>
                <c:pt idx="332" formatCode="0.0000">
                  <c:v>3.5729000000000002</c:v>
                </c:pt>
                <c:pt idx="333" formatCode="0.0000">
                  <c:v>3.5834999999999999</c:v>
                </c:pt>
                <c:pt idx="334" formatCode="0.0000">
                  <c:v>3.5943000000000001</c:v>
                </c:pt>
                <c:pt idx="335" formatCode="0.0000">
                  <c:v>3.605</c:v>
                </c:pt>
                <c:pt idx="336" formatCode="0.0000">
                  <c:v>3.6158999999999999</c:v>
                </c:pt>
                <c:pt idx="337" formatCode="0.0000">
                  <c:v>3.6267999999999998</c:v>
                </c:pt>
                <c:pt idx="338" formatCode="0.0000">
                  <c:v>3.6377999999999999</c:v>
                </c:pt>
                <c:pt idx="339" formatCode="0.0000">
                  <c:v>3.6488999999999998</c:v>
                </c:pt>
                <c:pt idx="340" formatCode="0.0000">
                  <c:v>3.6600999999999999</c:v>
                </c:pt>
                <c:pt idx="341" formatCode="0.0000">
                  <c:v>3.6714000000000002</c:v>
                </c:pt>
                <c:pt idx="342" formatCode="0.0000">
                  <c:v>3.6827999999999999</c:v>
                </c:pt>
                <c:pt idx="343" formatCode="0.0000">
                  <c:v>3.6943000000000001</c:v>
                </c:pt>
                <c:pt idx="344" formatCode="0.0000">
                  <c:v>3.7059000000000002</c:v>
                </c:pt>
                <c:pt idx="345" formatCode="0.0000">
                  <c:v>3.7176</c:v>
                </c:pt>
                <c:pt idx="346" formatCode="0.0000">
                  <c:v>3.7294999999999998</c:v>
                </c:pt>
                <c:pt idx="347" formatCode="0.0000">
                  <c:v>3.7414000000000001</c:v>
                </c:pt>
                <c:pt idx="348" formatCode="0.0000">
                  <c:v>3.7536</c:v>
                </c:pt>
                <c:pt idx="349" formatCode="0.0000">
                  <c:v>3.7658999999999998</c:v>
                </c:pt>
                <c:pt idx="350" formatCode="0.0000">
                  <c:v>3.7784</c:v>
                </c:pt>
                <c:pt idx="351" formatCode="0.0000">
                  <c:v>3.7909999999999999</c:v>
                </c:pt>
                <c:pt idx="352" formatCode="0.0000">
                  <c:v>3.8039000000000001</c:v>
                </c:pt>
                <c:pt idx="353" formatCode="0.0000">
                  <c:v>3.8170000000000002</c:v>
                </c:pt>
                <c:pt idx="354" formatCode="0.0000">
                  <c:v>3.8302999999999998</c:v>
                </c:pt>
                <c:pt idx="355" formatCode="0.0000">
                  <c:v>3.8439000000000001</c:v>
                </c:pt>
                <c:pt idx="356" formatCode="0.0000">
                  <c:v>3.8576999999999999</c:v>
                </c:pt>
                <c:pt idx="357" formatCode="0.0000">
                  <c:v>3.8719000000000001</c:v>
                </c:pt>
                <c:pt idx="358" formatCode="0.0000">
                  <c:v>3.8864000000000001</c:v>
                </c:pt>
                <c:pt idx="359" formatCode="0.0000">
                  <c:v>3.9014000000000002</c:v>
                </c:pt>
                <c:pt idx="360" formatCode="0.0000">
                  <c:v>3.9167000000000001</c:v>
                </c:pt>
                <c:pt idx="361" formatCode="General">
                  <c:v>3.9325000000000001</c:v>
                </c:pt>
                <c:pt idx="362" formatCode="General">
                  <c:v>3.9487999999999999</c:v>
                </c:pt>
                <c:pt idx="363" formatCode="General">
                  <c:v>3.9655999999999998</c:v>
                </c:pt>
                <c:pt idx="364" formatCode="General">
                  <c:v>3.9830999999999999</c:v>
                </c:pt>
                <c:pt idx="365" formatCode="General">
                  <c:v>4.0014000000000003</c:v>
                </c:pt>
                <c:pt idx="366" formatCode="General">
                  <c:v>4.0205000000000002</c:v>
                </c:pt>
                <c:pt idx="367" formatCode="General">
                  <c:v>4.0406000000000004</c:v>
                </c:pt>
                <c:pt idx="368" formatCode="General">
                  <c:v>4.0621</c:v>
                </c:pt>
                <c:pt idx="369" formatCode="General">
                  <c:v>4.0853000000000002</c:v>
                </c:pt>
                <c:pt idx="370" formatCode="General">
                  <c:v>4.1112000000000002</c:v>
                </c:pt>
                <c:pt idx="371" formatCode="General">
                  <c:v>4.1412000000000004</c:v>
                </c:pt>
                <c:pt idx="372" formatCode="General">
                  <c:v>4.1784999999999997</c:v>
                </c:pt>
                <c:pt idx="373" formatCode="General">
                  <c:v>4.2308000000000003</c:v>
                </c:pt>
                <c:pt idx="374" formatCode="General">
                  <c:v>4.407</c:v>
                </c:pt>
              </c:numCache>
            </c:numRef>
          </c:xVal>
          <c:yVal>
            <c:numRef>
              <c:f>Sat_T_based!$A$5:$A$379</c:f>
              <c:numCache>
                <c:formatCode>0</c:formatCode>
                <c:ptCount val="375"/>
                <c:pt idx="0" formatCode="0.00">
                  <c:v>0.01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 formatCode="General">
                  <c:v>373.94600000000003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B-40DA-8A85-DDD7B47CA8B4}"/>
            </c:ext>
          </c:extLst>
        </c:ser>
        <c:ser>
          <c:idx val="1"/>
          <c:order val="1"/>
          <c:tx>
            <c:v>T and Sg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Sat_T_based!$K$5:$K$379</c:f>
              <c:numCache>
                <c:formatCode>0.0000</c:formatCode>
                <c:ptCount val="375"/>
                <c:pt idx="0">
                  <c:v>9.1555</c:v>
                </c:pt>
                <c:pt idx="1">
                  <c:v>9.1290999999999993</c:v>
                </c:pt>
                <c:pt idx="2">
                  <c:v>9.1027000000000005</c:v>
                </c:pt>
                <c:pt idx="3">
                  <c:v>9.0764999999999993</c:v>
                </c:pt>
                <c:pt idx="4">
                  <c:v>9.0504999999999995</c:v>
                </c:pt>
                <c:pt idx="5">
                  <c:v>9.0248000000000008</c:v>
                </c:pt>
                <c:pt idx="6">
                  <c:v>8.9992999999999999</c:v>
                </c:pt>
                <c:pt idx="7">
                  <c:v>8.9741</c:v>
                </c:pt>
                <c:pt idx="8">
                  <c:v>8.9490999999999996</c:v>
                </c:pt>
                <c:pt idx="9">
                  <c:v>8.9243000000000006</c:v>
                </c:pt>
                <c:pt idx="10">
                  <c:v>8.8998000000000008</c:v>
                </c:pt>
                <c:pt idx="11">
                  <c:v>8.8754000000000008</c:v>
                </c:pt>
                <c:pt idx="12">
                  <c:v>8.8513000000000002</c:v>
                </c:pt>
                <c:pt idx="13">
                  <c:v>8.8274000000000008</c:v>
                </c:pt>
                <c:pt idx="14">
                  <c:v>8.8036999999999992</c:v>
                </c:pt>
                <c:pt idx="15">
                  <c:v>8.7803000000000004</c:v>
                </c:pt>
                <c:pt idx="16">
                  <c:v>8.7569999999999997</c:v>
                </c:pt>
                <c:pt idx="17">
                  <c:v>8.7339000000000002</c:v>
                </c:pt>
                <c:pt idx="18">
                  <c:v>8.7111000000000001</c:v>
                </c:pt>
                <c:pt idx="19">
                  <c:v>8.6883999999999997</c:v>
                </c:pt>
                <c:pt idx="20">
                  <c:v>8.6660000000000004</c:v>
                </c:pt>
                <c:pt idx="21">
                  <c:v>8.6437000000000008</c:v>
                </c:pt>
                <c:pt idx="22">
                  <c:v>8.6217000000000006</c:v>
                </c:pt>
                <c:pt idx="23">
                  <c:v>8.5998000000000001</c:v>
                </c:pt>
                <c:pt idx="24">
                  <c:v>8.5780999999999992</c:v>
                </c:pt>
                <c:pt idx="25">
                  <c:v>8.5565999999999995</c:v>
                </c:pt>
                <c:pt idx="26">
                  <c:v>8.5352999999999994</c:v>
                </c:pt>
                <c:pt idx="27">
                  <c:v>8.5142000000000007</c:v>
                </c:pt>
                <c:pt idx="28">
                  <c:v>8.4932999999999996</c:v>
                </c:pt>
                <c:pt idx="29">
                  <c:v>8.4725000000000001</c:v>
                </c:pt>
                <c:pt idx="30">
                  <c:v>8.452</c:v>
                </c:pt>
                <c:pt idx="31">
                  <c:v>8.4315999999999995</c:v>
                </c:pt>
                <c:pt idx="32">
                  <c:v>8.4113000000000007</c:v>
                </c:pt>
                <c:pt idx="33">
                  <c:v>8.3912999999999993</c:v>
                </c:pt>
                <c:pt idx="34">
                  <c:v>8.3713999999999995</c:v>
                </c:pt>
                <c:pt idx="35">
                  <c:v>8.3516999999999992</c:v>
                </c:pt>
                <c:pt idx="36">
                  <c:v>8.3321000000000005</c:v>
                </c:pt>
                <c:pt idx="37">
                  <c:v>8.3126999999999995</c:v>
                </c:pt>
                <c:pt idx="38">
                  <c:v>8.2934999999999999</c:v>
                </c:pt>
                <c:pt idx="39">
                  <c:v>8.2744999999999997</c:v>
                </c:pt>
                <c:pt idx="40">
                  <c:v>8.2554999999999996</c:v>
                </c:pt>
                <c:pt idx="41">
                  <c:v>8.2368000000000006</c:v>
                </c:pt>
                <c:pt idx="42">
                  <c:v>8.2181999999999995</c:v>
                </c:pt>
                <c:pt idx="43">
                  <c:v>8.1997999999999998</c:v>
                </c:pt>
                <c:pt idx="44">
                  <c:v>8.1814999999999998</c:v>
                </c:pt>
                <c:pt idx="45">
                  <c:v>8.1632999999999996</c:v>
                </c:pt>
                <c:pt idx="46">
                  <c:v>8.1453000000000007</c:v>
                </c:pt>
                <c:pt idx="47">
                  <c:v>8.1274999999999995</c:v>
                </c:pt>
                <c:pt idx="48">
                  <c:v>8.1097999999999999</c:v>
                </c:pt>
                <c:pt idx="49">
                  <c:v>8.0922000000000001</c:v>
                </c:pt>
                <c:pt idx="50">
                  <c:v>8.0747999999999998</c:v>
                </c:pt>
                <c:pt idx="51">
                  <c:v>8.0576000000000008</c:v>
                </c:pt>
                <c:pt idx="52">
                  <c:v>8.0404</c:v>
                </c:pt>
                <c:pt idx="53">
                  <c:v>8.0234000000000005</c:v>
                </c:pt>
                <c:pt idx="54">
                  <c:v>8.0066000000000006</c:v>
                </c:pt>
                <c:pt idx="55">
                  <c:v>7.9897999999999998</c:v>
                </c:pt>
                <c:pt idx="56">
                  <c:v>7.9732000000000003</c:v>
                </c:pt>
                <c:pt idx="57">
                  <c:v>7.9568000000000003</c:v>
                </c:pt>
                <c:pt idx="58">
                  <c:v>7.9404000000000003</c:v>
                </c:pt>
                <c:pt idx="59">
                  <c:v>7.9241999999999999</c:v>
                </c:pt>
                <c:pt idx="60">
                  <c:v>7.9081000000000001</c:v>
                </c:pt>
                <c:pt idx="61">
                  <c:v>7.8921999999999999</c:v>
                </c:pt>
                <c:pt idx="62">
                  <c:v>7.8764000000000003</c:v>
                </c:pt>
                <c:pt idx="63">
                  <c:v>7.8606999999999996</c:v>
                </c:pt>
                <c:pt idx="64">
                  <c:v>7.8451000000000004</c:v>
                </c:pt>
                <c:pt idx="65">
                  <c:v>7.8296000000000001</c:v>
                </c:pt>
                <c:pt idx="66">
                  <c:v>7.8141999999999996</c:v>
                </c:pt>
                <c:pt idx="67">
                  <c:v>7.7990000000000004</c:v>
                </c:pt>
                <c:pt idx="68">
                  <c:v>7.7839</c:v>
                </c:pt>
                <c:pt idx="69">
                  <c:v>7.7689000000000004</c:v>
                </c:pt>
                <c:pt idx="70">
                  <c:v>7.7539999999999996</c:v>
                </c:pt>
                <c:pt idx="71">
                  <c:v>7.7392000000000003</c:v>
                </c:pt>
                <c:pt idx="72">
                  <c:v>7.7245999999999997</c:v>
                </c:pt>
                <c:pt idx="73">
                  <c:v>7.71</c:v>
                </c:pt>
                <c:pt idx="74">
                  <c:v>7.6955</c:v>
                </c:pt>
                <c:pt idx="75">
                  <c:v>7.6811999999999996</c:v>
                </c:pt>
                <c:pt idx="76">
                  <c:v>7.6669999999999998</c:v>
                </c:pt>
                <c:pt idx="77">
                  <c:v>7.6528</c:v>
                </c:pt>
                <c:pt idx="78">
                  <c:v>7.6387999999999998</c:v>
                </c:pt>
                <c:pt idx="79">
                  <c:v>7.6249000000000002</c:v>
                </c:pt>
                <c:pt idx="80">
                  <c:v>7.6111000000000004</c:v>
                </c:pt>
                <c:pt idx="81">
                  <c:v>7.5972999999999997</c:v>
                </c:pt>
                <c:pt idx="82">
                  <c:v>7.5837000000000003</c:v>
                </c:pt>
                <c:pt idx="83">
                  <c:v>7.5701999999999998</c:v>
                </c:pt>
                <c:pt idx="84">
                  <c:v>7.5567000000000002</c:v>
                </c:pt>
                <c:pt idx="85">
                  <c:v>7.5434000000000001</c:v>
                </c:pt>
                <c:pt idx="86">
                  <c:v>7.5301999999999998</c:v>
                </c:pt>
                <c:pt idx="87">
                  <c:v>7.5170000000000003</c:v>
                </c:pt>
                <c:pt idx="88">
                  <c:v>7.5039999999999996</c:v>
                </c:pt>
                <c:pt idx="89">
                  <c:v>7.4909999999999997</c:v>
                </c:pt>
                <c:pt idx="90">
                  <c:v>7.4781000000000004</c:v>
                </c:pt>
                <c:pt idx="91">
                  <c:v>7.4653</c:v>
                </c:pt>
                <c:pt idx="92">
                  <c:v>7.4526000000000003</c:v>
                </c:pt>
                <c:pt idx="93">
                  <c:v>7.44</c:v>
                </c:pt>
                <c:pt idx="94">
                  <c:v>7.4275000000000002</c:v>
                </c:pt>
                <c:pt idx="95">
                  <c:v>7.4150999999999998</c:v>
                </c:pt>
                <c:pt idx="96">
                  <c:v>7.4027000000000003</c:v>
                </c:pt>
                <c:pt idx="97">
                  <c:v>7.3903999999999996</c:v>
                </c:pt>
                <c:pt idx="98">
                  <c:v>7.3783000000000003</c:v>
                </c:pt>
                <c:pt idx="99">
                  <c:v>7.3661000000000003</c:v>
                </c:pt>
                <c:pt idx="100">
                  <c:v>7.3540999999999999</c:v>
                </c:pt>
                <c:pt idx="101">
                  <c:v>7.3422000000000001</c:v>
                </c:pt>
                <c:pt idx="102">
                  <c:v>7.3303000000000003</c:v>
                </c:pt>
                <c:pt idx="103">
                  <c:v>7.3185000000000002</c:v>
                </c:pt>
                <c:pt idx="104">
                  <c:v>7.3068</c:v>
                </c:pt>
                <c:pt idx="105">
                  <c:v>7.2952000000000004</c:v>
                </c:pt>
                <c:pt idx="106">
                  <c:v>7.2835999999999999</c:v>
                </c:pt>
                <c:pt idx="107">
                  <c:v>7.2721</c:v>
                </c:pt>
                <c:pt idx="108">
                  <c:v>7.2606999999999999</c:v>
                </c:pt>
                <c:pt idx="109">
                  <c:v>7.2492999999999999</c:v>
                </c:pt>
                <c:pt idx="110">
                  <c:v>7.2381000000000002</c:v>
                </c:pt>
                <c:pt idx="111">
                  <c:v>7.2268999999999997</c:v>
                </c:pt>
                <c:pt idx="112">
                  <c:v>7.2157</c:v>
                </c:pt>
                <c:pt idx="113">
                  <c:v>7.2046999999999999</c:v>
                </c:pt>
                <c:pt idx="114">
                  <c:v>7.1936999999999998</c:v>
                </c:pt>
                <c:pt idx="115">
                  <c:v>7.1828000000000003</c:v>
                </c:pt>
                <c:pt idx="116">
                  <c:v>7.1718999999999999</c:v>
                </c:pt>
                <c:pt idx="117">
                  <c:v>7.1611000000000002</c:v>
                </c:pt>
                <c:pt idx="118">
                  <c:v>7.1504000000000003</c:v>
                </c:pt>
                <c:pt idx="119">
                  <c:v>7.1397000000000004</c:v>
                </c:pt>
                <c:pt idx="120">
                  <c:v>7.1291000000000002</c:v>
                </c:pt>
                <c:pt idx="121">
                  <c:v>7.1185999999999998</c:v>
                </c:pt>
                <c:pt idx="122">
                  <c:v>7.1081000000000003</c:v>
                </c:pt>
                <c:pt idx="123">
                  <c:v>7.0976999999999997</c:v>
                </c:pt>
                <c:pt idx="124">
                  <c:v>7.0872999999999999</c:v>
                </c:pt>
                <c:pt idx="125">
                  <c:v>7.077</c:v>
                </c:pt>
                <c:pt idx="126">
                  <c:v>7.0667999999999997</c:v>
                </c:pt>
                <c:pt idx="127">
                  <c:v>7.0566000000000004</c:v>
                </c:pt>
                <c:pt idx="128">
                  <c:v>7.0465</c:v>
                </c:pt>
                <c:pt idx="129">
                  <c:v>7.0364000000000004</c:v>
                </c:pt>
                <c:pt idx="130">
                  <c:v>7.0263999999999998</c:v>
                </c:pt>
                <c:pt idx="131">
                  <c:v>7.0164999999999997</c:v>
                </c:pt>
                <c:pt idx="132">
                  <c:v>7.0065999999999997</c:v>
                </c:pt>
                <c:pt idx="133">
                  <c:v>6.9966999999999997</c:v>
                </c:pt>
                <c:pt idx="134">
                  <c:v>6.9869000000000003</c:v>
                </c:pt>
                <c:pt idx="135">
                  <c:v>6.9771999999999998</c:v>
                </c:pt>
                <c:pt idx="136">
                  <c:v>6.9675000000000002</c:v>
                </c:pt>
                <c:pt idx="137">
                  <c:v>6.9579000000000004</c:v>
                </c:pt>
                <c:pt idx="138">
                  <c:v>6.9482999999999997</c:v>
                </c:pt>
                <c:pt idx="139">
                  <c:v>6.9387999999999996</c:v>
                </c:pt>
                <c:pt idx="140">
                  <c:v>6.9292999999999996</c:v>
                </c:pt>
                <c:pt idx="141">
                  <c:v>6.9199000000000002</c:v>
                </c:pt>
                <c:pt idx="142">
                  <c:v>6.9104999999999999</c:v>
                </c:pt>
                <c:pt idx="143">
                  <c:v>6.9010999999999996</c:v>
                </c:pt>
                <c:pt idx="144">
                  <c:v>6.8918999999999997</c:v>
                </c:pt>
                <c:pt idx="145">
                  <c:v>6.8826000000000001</c:v>
                </c:pt>
                <c:pt idx="146">
                  <c:v>6.8734000000000002</c:v>
                </c:pt>
                <c:pt idx="147">
                  <c:v>6.8643000000000001</c:v>
                </c:pt>
                <c:pt idx="148">
                  <c:v>6.8552</c:v>
                </c:pt>
                <c:pt idx="149">
                  <c:v>6.8460999999999999</c:v>
                </c:pt>
                <c:pt idx="150">
                  <c:v>6.8371000000000004</c:v>
                </c:pt>
                <c:pt idx="151">
                  <c:v>6.8281000000000001</c:v>
                </c:pt>
                <c:pt idx="152">
                  <c:v>6.8192000000000004</c:v>
                </c:pt>
                <c:pt idx="153">
                  <c:v>6.8102999999999998</c:v>
                </c:pt>
                <c:pt idx="154">
                  <c:v>6.8014000000000001</c:v>
                </c:pt>
                <c:pt idx="155">
                  <c:v>6.7926000000000002</c:v>
                </c:pt>
                <c:pt idx="156">
                  <c:v>6.7838000000000003</c:v>
                </c:pt>
                <c:pt idx="157">
                  <c:v>6.7751000000000001</c:v>
                </c:pt>
                <c:pt idx="158">
                  <c:v>6.7664</c:v>
                </c:pt>
                <c:pt idx="159">
                  <c:v>6.7577999999999996</c:v>
                </c:pt>
                <c:pt idx="160">
                  <c:v>6.7491000000000003</c:v>
                </c:pt>
                <c:pt idx="161">
                  <c:v>6.7405999999999997</c:v>
                </c:pt>
                <c:pt idx="162">
                  <c:v>6.7320000000000002</c:v>
                </c:pt>
                <c:pt idx="163">
                  <c:v>6.7234999999999996</c:v>
                </c:pt>
                <c:pt idx="164">
                  <c:v>6.7149999999999999</c:v>
                </c:pt>
                <c:pt idx="165">
                  <c:v>6.7065999999999999</c:v>
                </c:pt>
                <c:pt idx="166">
                  <c:v>6.6981999999999999</c:v>
                </c:pt>
                <c:pt idx="167">
                  <c:v>6.6898</c:v>
                </c:pt>
                <c:pt idx="168">
                  <c:v>6.6814999999999998</c:v>
                </c:pt>
                <c:pt idx="169">
                  <c:v>6.6731999999999996</c:v>
                </c:pt>
                <c:pt idx="170">
                  <c:v>6.665</c:v>
                </c:pt>
                <c:pt idx="171">
                  <c:v>6.6566999999999998</c:v>
                </c:pt>
                <c:pt idx="172">
                  <c:v>6.6485000000000003</c:v>
                </c:pt>
                <c:pt idx="173">
                  <c:v>6.6403999999999996</c:v>
                </c:pt>
                <c:pt idx="174">
                  <c:v>6.6322000000000001</c:v>
                </c:pt>
                <c:pt idx="175">
                  <c:v>6.6241000000000003</c:v>
                </c:pt>
                <c:pt idx="176">
                  <c:v>6.6161000000000003</c:v>
                </c:pt>
                <c:pt idx="177">
                  <c:v>6.6079999999999997</c:v>
                </c:pt>
                <c:pt idx="178">
                  <c:v>6.6</c:v>
                </c:pt>
                <c:pt idx="179">
                  <c:v>6.5919999999999996</c:v>
                </c:pt>
                <c:pt idx="180">
                  <c:v>6.5839999999999996</c:v>
                </c:pt>
                <c:pt idx="181">
                  <c:v>6.5761000000000003</c:v>
                </c:pt>
                <c:pt idx="182">
                  <c:v>6.5682</c:v>
                </c:pt>
                <c:pt idx="183">
                  <c:v>6.5602999999999998</c:v>
                </c:pt>
                <c:pt idx="184">
                  <c:v>6.5525000000000002</c:v>
                </c:pt>
                <c:pt idx="185">
                  <c:v>6.5446999999999997</c:v>
                </c:pt>
                <c:pt idx="186">
                  <c:v>6.5369000000000002</c:v>
                </c:pt>
                <c:pt idx="187">
                  <c:v>6.5290999999999997</c:v>
                </c:pt>
                <c:pt idx="188">
                  <c:v>6.5213000000000001</c:v>
                </c:pt>
                <c:pt idx="189">
                  <c:v>6.5136000000000003</c:v>
                </c:pt>
                <c:pt idx="190">
                  <c:v>6.5058999999999996</c:v>
                </c:pt>
                <c:pt idx="191">
                  <c:v>6.4981999999999998</c:v>
                </c:pt>
                <c:pt idx="192">
                  <c:v>6.4905999999999997</c:v>
                </c:pt>
                <c:pt idx="193">
                  <c:v>6.4829999999999997</c:v>
                </c:pt>
                <c:pt idx="194">
                  <c:v>6.4753999999999996</c:v>
                </c:pt>
                <c:pt idx="195">
                  <c:v>6.4678000000000004</c:v>
                </c:pt>
                <c:pt idx="196">
                  <c:v>6.4602000000000004</c:v>
                </c:pt>
                <c:pt idx="197">
                  <c:v>6.4527000000000001</c:v>
                </c:pt>
                <c:pt idx="198">
                  <c:v>6.4451000000000001</c:v>
                </c:pt>
                <c:pt idx="199">
                  <c:v>6.4375999999999998</c:v>
                </c:pt>
                <c:pt idx="200">
                  <c:v>6.4302000000000001</c:v>
                </c:pt>
                <c:pt idx="201">
                  <c:v>6.4226999999999999</c:v>
                </c:pt>
                <c:pt idx="202">
                  <c:v>6.4151999999999996</c:v>
                </c:pt>
                <c:pt idx="203">
                  <c:v>6.4077999999999999</c:v>
                </c:pt>
                <c:pt idx="204">
                  <c:v>6.4004000000000003</c:v>
                </c:pt>
                <c:pt idx="205">
                  <c:v>6.3929999999999998</c:v>
                </c:pt>
                <c:pt idx="206">
                  <c:v>6.3856000000000002</c:v>
                </c:pt>
                <c:pt idx="207">
                  <c:v>6.3783000000000003</c:v>
                </c:pt>
                <c:pt idx="208">
                  <c:v>6.3710000000000004</c:v>
                </c:pt>
                <c:pt idx="209">
                  <c:v>6.3635999999999999</c:v>
                </c:pt>
                <c:pt idx="210">
                  <c:v>6.3563000000000001</c:v>
                </c:pt>
                <c:pt idx="211">
                  <c:v>6.3490000000000002</c:v>
                </c:pt>
                <c:pt idx="212">
                  <c:v>6.3417000000000003</c:v>
                </c:pt>
                <c:pt idx="213">
                  <c:v>6.3345000000000002</c:v>
                </c:pt>
                <c:pt idx="214">
                  <c:v>6.3272000000000004</c:v>
                </c:pt>
                <c:pt idx="215">
                  <c:v>6.32</c:v>
                </c:pt>
                <c:pt idx="216">
                  <c:v>6.3128000000000002</c:v>
                </c:pt>
                <c:pt idx="217">
                  <c:v>6.3056000000000001</c:v>
                </c:pt>
                <c:pt idx="218">
                  <c:v>6.2984</c:v>
                </c:pt>
                <c:pt idx="219">
                  <c:v>6.2911999999999999</c:v>
                </c:pt>
                <c:pt idx="220">
                  <c:v>6.2839999999999998</c:v>
                </c:pt>
                <c:pt idx="221">
                  <c:v>6.2767999999999997</c:v>
                </c:pt>
                <c:pt idx="222">
                  <c:v>6.2697000000000003</c:v>
                </c:pt>
                <c:pt idx="223">
                  <c:v>6.2625000000000002</c:v>
                </c:pt>
                <c:pt idx="224">
                  <c:v>6.2553999999999998</c:v>
                </c:pt>
                <c:pt idx="225">
                  <c:v>6.2483000000000004</c:v>
                </c:pt>
                <c:pt idx="226">
                  <c:v>6.2412000000000001</c:v>
                </c:pt>
                <c:pt idx="227">
                  <c:v>6.2340999999999998</c:v>
                </c:pt>
                <c:pt idx="228">
                  <c:v>6.2270000000000003</c:v>
                </c:pt>
                <c:pt idx="229">
                  <c:v>6.2199</c:v>
                </c:pt>
                <c:pt idx="230">
                  <c:v>6.2127999999999997</c:v>
                </c:pt>
                <c:pt idx="231">
                  <c:v>6.2057000000000002</c:v>
                </c:pt>
                <c:pt idx="232">
                  <c:v>6.1986999999999997</c:v>
                </c:pt>
                <c:pt idx="233">
                  <c:v>6.1916000000000002</c:v>
                </c:pt>
                <c:pt idx="234">
                  <c:v>6.1844999999999999</c:v>
                </c:pt>
                <c:pt idx="235">
                  <c:v>6.1775000000000002</c:v>
                </c:pt>
                <c:pt idx="236">
                  <c:v>6.1703999999999999</c:v>
                </c:pt>
                <c:pt idx="237">
                  <c:v>6.1634000000000002</c:v>
                </c:pt>
                <c:pt idx="238">
                  <c:v>6.1563999999999997</c:v>
                </c:pt>
                <c:pt idx="239">
                  <c:v>6.1493000000000002</c:v>
                </c:pt>
                <c:pt idx="240">
                  <c:v>6.1422999999999996</c:v>
                </c:pt>
                <c:pt idx="241">
                  <c:v>6.1353</c:v>
                </c:pt>
                <c:pt idx="242">
                  <c:v>6.1281999999999996</c:v>
                </c:pt>
                <c:pt idx="243">
                  <c:v>6.1212</c:v>
                </c:pt>
                <c:pt idx="244">
                  <c:v>6.1142000000000003</c:v>
                </c:pt>
                <c:pt idx="245">
                  <c:v>6.1071999999999997</c:v>
                </c:pt>
                <c:pt idx="246">
                  <c:v>6.1002000000000001</c:v>
                </c:pt>
                <c:pt idx="247">
                  <c:v>6.0930999999999997</c:v>
                </c:pt>
                <c:pt idx="248">
                  <c:v>6.0861000000000001</c:v>
                </c:pt>
                <c:pt idx="249">
                  <c:v>6.0791000000000004</c:v>
                </c:pt>
                <c:pt idx="250">
                  <c:v>6.0720999999999998</c:v>
                </c:pt>
                <c:pt idx="251">
                  <c:v>6.0650000000000004</c:v>
                </c:pt>
                <c:pt idx="252">
                  <c:v>6.0579999999999998</c:v>
                </c:pt>
                <c:pt idx="253">
                  <c:v>6.0510000000000002</c:v>
                </c:pt>
                <c:pt idx="254">
                  <c:v>6.0438999999999998</c:v>
                </c:pt>
                <c:pt idx="255">
                  <c:v>6.0369000000000002</c:v>
                </c:pt>
                <c:pt idx="256">
                  <c:v>6.0297999999999998</c:v>
                </c:pt>
                <c:pt idx="257">
                  <c:v>6.0228000000000002</c:v>
                </c:pt>
                <c:pt idx="258">
                  <c:v>6.0156999999999998</c:v>
                </c:pt>
                <c:pt idx="259">
                  <c:v>6.0087000000000002</c:v>
                </c:pt>
                <c:pt idx="260">
                  <c:v>6.0015999999999998</c:v>
                </c:pt>
                <c:pt idx="261">
                  <c:v>5.9945000000000004</c:v>
                </c:pt>
                <c:pt idx="262">
                  <c:v>5.9874000000000001</c:v>
                </c:pt>
                <c:pt idx="263">
                  <c:v>5.9804000000000004</c:v>
                </c:pt>
                <c:pt idx="264">
                  <c:v>5.9732000000000003</c:v>
                </c:pt>
                <c:pt idx="265">
                  <c:v>5.9661</c:v>
                </c:pt>
                <c:pt idx="266">
                  <c:v>5.9589999999999996</c:v>
                </c:pt>
                <c:pt idx="267">
                  <c:v>5.9519000000000002</c:v>
                </c:pt>
                <c:pt idx="268">
                  <c:v>5.9447000000000001</c:v>
                </c:pt>
                <c:pt idx="269">
                  <c:v>5.9375999999999998</c:v>
                </c:pt>
                <c:pt idx="270">
                  <c:v>5.9303999999999997</c:v>
                </c:pt>
                <c:pt idx="271">
                  <c:v>5.9231999999999996</c:v>
                </c:pt>
                <c:pt idx="272">
                  <c:v>5.9160000000000004</c:v>
                </c:pt>
                <c:pt idx="273">
                  <c:v>5.9088000000000003</c:v>
                </c:pt>
                <c:pt idx="274">
                  <c:v>5.9016000000000002</c:v>
                </c:pt>
                <c:pt idx="275">
                  <c:v>5.8944000000000001</c:v>
                </c:pt>
                <c:pt idx="276">
                  <c:v>5.8871000000000002</c:v>
                </c:pt>
                <c:pt idx="277">
                  <c:v>5.8798000000000004</c:v>
                </c:pt>
                <c:pt idx="278">
                  <c:v>5.8724999999999996</c:v>
                </c:pt>
                <c:pt idx="279">
                  <c:v>5.8651999999999997</c:v>
                </c:pt>
                <c:pt idx="280">
                  <c:v>5.8578999999999999</c:v>
                </c:pt>
                <c:pt idx="281">
                  <c:v>5.8506</c:v>
                </c:pt>
                <c:pt idx="282">
                  <c:v>5.8432000000000004</c:v>
                </c:pt>
                <c:pt idx="283">
                  <c:v>5.8357999999999999</c:v>
                </c:pt>
                <c:pt idx="284">
                  <c:v>5.8284000000000002</c:v>
                </c:pt>
                <c:pt idx="285">
                  <c:v>5.8209</c:v>
                </c:pt>
                <c:pt idx="286">
                  <c:v>5.8135000000000003</c:v>
                </c:pt>
                <c:pt idx="287">
                  <c:v>5.806</c:v>
                </c:pt>
                <c:pt idx="288">
                  <c:v>5.7984999999999998</c:v>
                </c:pt>
                <c:pt idx="289">
                  <c:v>5.7908999999999997</c:v>
                </c:pt>
                <c:pt idx="290">
                  <c:v>5.7834000000000003</c:v>
                </c:pt>
                <c:pt idx="291">
                  <c:v>5.7758000000000003</c:v>
                </c:pt>
                <c:pt idx="292">
                  <c:v>5.7680999999999996</c:v>
                </c:pt>
                <c:pt idx="293">
                  <c:v>5.7605000000000004</c:v>
                </c:pt>
                <c:pt idx="294">
                  <c:v>5.7527999999999997</c:v>
                </c:pt>
                <c:pt idx="295">
                  <c:v>5.7450999999999999</c:v>
                </c:pt>
                <c:pt idx="296">
                  <c:v>5.7373000000000003</c:v>
                </c:pt>
                <c:pt idx="297">
                  <c:v>5.7294999999999998</c:v>
                </c:pt>
                <c:pt idx="298">
                  <c:v>5.7217000000000002</c:v>
                </c:pt>
                <c:pt idx="299">
                  <c:v>5.7138</c:v>
                </c:pt>
                <c:pt idx="300">
                  <c:v>5.7058999999999997</c:v>
                </c:pt>
                <c:pt idx="301">
                  <c:v>5.6978999999999997</c:v>
                </c:pt>
                <c:pt idx="302">
                  <c:v>5.6898999999999997</c:v>
                </c:pt>
                <c:pt idx="303">
                  <c:v>5.6818999999999997</c:v>
                </c:pt>
                <c:pt idx="304">
                  <c:v>5.6738</c:v>
                </c:pt>
                <c:pt idx="305">
                  <c:v>5.6657000000000002</c:v>
                </c:pt>
                <c:pt idx="306">
                  <c:v>5.6574999999999998</c:v>
                </c:pt>
                <c:pt idx="307">
                  <c:v>5.6493000000000002</c:v>
                </c:pt>
                <c:pt idx="308">
                  <c:v>5.6410999999999998</c:v>
                </c:pt>
                <c:pt idx="309">
                  <c:v>5.6326999999999998</c:v>
                </c:pt>
                <c:pt idx="310">
                  <c:v>5.6243999999999996</c:v>
                </c:pt>
                <c:pt idx="311">
                  <c:v>5.6158999999999999</c:v>
                </c:pt>
                <c:pt idx="312">
                  <c:v>5.6074000000000002</c:v>
                </c:pt>
                <c:pt idx="313">
                  <c:v>5.5989000000000004</c:v>
                </c:pt>
                <c:pt idx="314">
                  <c:v>5.5903</c:v>
                </c:pt>
                <c:pt idx="315">
                  <c:v>5.5815999999999999</c:v>
                </c:pt>
                <c:pt idx="316">
                  <c:v>5.5728999999999997</c:v>
                </c:pt>
                <c:pt idx="317">
                  <c:v>5.5640999999999998</c:v>
                </c:pt>
                <c:pt idx="318">
                  <c:v>5.5552000000000001</c:v>
                </c:pt>
                <c:pt idx="319">
                  <c:v>5.5461999999999998</c:v>
                </c:pt>
                <c:pt idx="320">
                  <c:v>5.5372000000000003</c:v>
                </c:pt>
                <c:pt idx="321">
                  <c:v>5.5281000000000002</c:v>
                </c:pt>
                <c:pt idx="322">
                  <c:v>5.5189000000000004</c:v>
                </c:pt>
                <c:pt idx="323">
                  <c:v>5.5095999999999998</c:v>
                </c:pt>
                <c:pt idx="324">
                  <c:v>5.5003000000000002</c:v>
                </c:pt>
                <c:pt idx="325">
                  <c:v>5.4908000000000001</c:v>
                </c:pt>
                <c:pt idx="326">
                  <c:v>5.4813000000000001</c:v>
                </c:pt>
                <c:pt idx="327">
                  <c:v>5.4717000000000002</c:v>
                </c:pt>
                <c:pt idx="328">
                  <c:v>5.4619</c:v>
                </c:pt>
                <c:pt idx="329">
                  <c:v>5.4520999999999997</c:v>
                </c:pt>
                <c:pt idx="330">
                  <c:v>5.4421999999999997</c:v>
                </c:pt>
                <c:pt idx="331">
                  <c:v>5.4321000000000002</c:v>
                </c:pt>
                <c:pt idx="332">
                  <c:v>5.4218999999999999</c:v>
                </c:pt>
                <c:pt idx="333">
                  <c:v>5.4116</c:v>
                </c:pt>
                <c:pt idx="334">
                  <c:v>5.4012000000000002</c:v>
                </c:pt>
                <c:pt idx="335">
                  <c:v>5.3906000000000001</c:v>
                </c:pt>
                <c:pt idx="336">
                  <c:v>5.3799000000000001</c:v>
                </c:pt>
                <c:pt idx="337">
                  <c:v>5.3691000000000004</c:v>
                </c:pt>
                <c:pt idx="338">
                  <c:v>5.3581000000000003</c:v>
                </c:pt>
                <c:pt idx="339">
                  <c:v>5.3468999999999998</c:v>
                </c:pt>
                <c:pt idx="340">
                  <c:v>5.3356000000000003</c:v>
                </c:pt>
                <c:pt idx="341">
                  <c:v>5.3240999999999996</c:v>
                </c:pt>
                <c:pt idx="342">
                  <c:v>5.3124000000000002</c:v>
                </c:pt>
                <c:pt idx="343">
                  <c:v>5.3005000000000004</c:v>
                </c:pt>
                <c:pt idx="344">
                  <c:v>5.2885</c:v>
                </c:pt>
                <c:pt idx="345">
                  <c:v>5.2762000000000002</c:v>
                </c:pt>
                <c:pt idx="346">
                  <c:v>5.2636000000000003</c:v>
                </c:pt>
                <c:pt idx="347">
                  <c:v>5.2508999999999997</c:v>
                </c:pt>
                <c:pt idx="348">
                  <c:v>5.2378999999999998</c:v>
                </c:pt>
                <c:pt idx="349">
                  <c:v>5.2245999999999997</c:v>
                </c:pt>
                <c:pt idx="350">
                  <c:v>5.2110000000000003</c:v>
                </c:pt>
                <c:pt idx="351">
                  <c:v>5.1970999999999998</c:v>
                </c:pt>
                <c:pt idx="352">
                  <c:v>5.1829000000000001</c:v>
                </c:pt>
                <c:pt idx="353">
                  <c:v>5.1683000000000003</c:v>
                </c:pt>
                <c:pt idx="354">
                  <c:v>5.1534000000000004</c:v>
                </c:pt>
                <c:pt idx="355">
                  <c:v>5.1379999999999999</c:v>
                </c:pt>
                <c:pt idx="356">
                  <c:v>5.1222000000000003</c:v>
                </c:pt>
                <c:pt idx="357">
                  <c:v>5.1059000000000001</c:v>
                </c:pt>
                <c:pt idx="358">
                  <c:v>5.0891000000000002</c:v>
                </c:pt>
                <c:pt idx="359">
                  <c:v>5.0716999999999999</c:v>
                </c:pt>
                <c:pt idx="360">
                  <c:v>5.0536000000000003</c:v>
                </c:pt>
                <c:pt idx="361" formatCode="General">
                  <c:v>5.0347</c:v>
                </c:pt>
                <c:pt idx="362" formatCode="General">
                  <c:v>5.0151000000000003</c:v>
                </c:pt>
                <c:pt idx="363" formatCode="General">
                  <c:v>4.9945000000000004</c:v>
                </c:pt>
                <c:pt idx="364" formatCode="General">
                  <c:v>4.9726999999999997</c:v>
                </c:pt>
                <c:pt idx="365" formatCode="General">
                  <c:v>4.9497</c:v>
                </c:pt>
                <c:pt idx="366" formatCode="General">
                  <c:v>4.9250999999999996</c:v>
                </c:pt>
                <c:pt idx="367" formatCode="General">
                  <c:v>4.8986000000000001</c:v>
                </c:pt>
                <c:pt idx="368" formatCode="General">
                  <c:v>4.8696999999999999</c:v>
                </c:pt>
                <c:pt idx="369" formatCode="General">
                  <c:v>4.8376000000000001</c:v>
                </c:pt>
                <c:pt idx="370" formatCode="General">
                  <c:v>4.8011999999999997</c:v>
                </c:pt>
                <c:pt idx="371" formatCode="General">
                  <c:v>4.7586000000000004</c:v>
                </c:pt>
                <c:pt idx="372" formatCode="General">
                  <c:v>4.7058999999999997</c:v>
                </c:pt>
                <c:pt idx="373" formatCode="General">
                  <c:v>4.6334</c:v>
                </c:pt>
                <c:pt idx="374" formatCode="General">
                  <c:v>4.407</c:v>
                </c:pt>
              </c:numCache>
            </c:numRef>
          </c:xVal>
          <c:yVal>
            <c:numRef>
              <c:f>Sat_T_based!$A$5:$A$379</c:f>
              <c:numCache>
                <c:formatCode>0</c:formatCode>
                <c:ptCount val="375"/>
                <c:pt idx="0" formatCode="0.00">
                  <c:v>0.01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 formatCode="General">
                  <c:v>373.94600000000003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B-40DA-8A85-DDD7B47CA8B4}"/>
            </c:ext>
          </c:extLst>
        </c:ser>
        <c:ser>
          <c:idx val="2"/>
          <c:order val="2"/>
          <c:tx>
            <c:v>Point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33CC"/>
                </a:solidFill>
                <a:ln w="31750">
                  <a:solidFill>
                    <a:srgbClr val="FF33CC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EFB-40DA-8A85-DDD7B47CA8B4}"/>
              </c:ext>
            </c:extLst>
          </c:dPt>
          <c:xVal>
            <c:numRef>
              <c:f>Mainsheet!$F$201</c:f>
              <c:numCache>
                <c:formatCode>General</c:formatCode>
                <c:ptCount val="1"/>
                <c:pt idx="0">
                  <c:v>2.0939999999999999</c:v>
                </c:pt>
              </c:numCache>
            </c:numRef>
          </c:xVal>
          <c:yVal>
            <c:numRef>
              <c:f>Mainsheet!$D$198</c:f>
              <c:numCache>
                <c:formatCode>General</c:formatCode>
                <c:ptCount val="1"/>
                <c:pt idx="0">
                  <c:v>175.35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FB-40DA-8A85-DDD7B47CA8B4}"/>
            </c:ext>
          </c:extLst>
        </c:ser>
        <c:ser>
          <c:idx val="3"/>
          <c:order val="3"/>
          <c:tx>
            <c:v>point 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Mainsheet!$E$22</c:f>
              <c:numCache>
                <c:formatCode>General</c:formatCode>
                <c:ptCount val="1"/>
                <c:pt idx="0">
                  <c:v>2.0939999999999999</c:v>
                </c:pt>
              </c:numCache>
            </c:numRef>
          </c:xVal>
          <c:yVal>
            <c:numRef>
              <c:f>Mainsheet!$E$23</c:f>
              <c:numCache>
                <c:formatCode>General</c:formatCode>
                <c:ptCount val="1"/>
                <c:pt idx="0">
                  <c:v>178.53467796041599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1B-4697-89C6-D0051963F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206536"/>
        <c:axId val="660204568"/>
      </c:scatterChart>
      <c:valAx>
        <c:axId val="660206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Entropy,s(kJ/kg-K)</a:t>
                </a:r>
              </a:p>
            </c:rich>
          </c:tx>
          <c:layout>
            <c:manualLayout>
              <c:xMode val="edge"/>
              <c:yMode val="edge"/>
              <c:x val="0.31082098193608154"/>
              <c:y val="0.867731048436886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crossAx val="660204568"/>
        <c:crosses val="autoZero"/>
        <c:crossBetween val="midCat"/>
      </c:valAx>
      <c:valAx>
        <c:axId val="6602045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8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Temperature,T</a:t>
                </a:r>
              </a:p>
            </c:rich>
          </c:tx>
          <c:layout>
            <c:manualLayout>
              <c:xMode val="edge"/>
              <c:yMode val="edge"/>
              <c:x val="4.8517060367454068E-2"/>
              <c:y val="0.18790582634066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66020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3585</xdr:colOff>
      <xdr:row>188</xdr:row>
      <xdr:rowOff>251012</xdr:rowOff>
    </xdr:from>
    <xdr:to>
      <xdr:col>12</xdr:col>
      <xdr:colOff>8964</xdr:colOff>
      <xdr:row>194</xdr:row>
      <xdr:rowOff>13895</xdr:rowOff>
    </xdr:to>
    <xdr:sp macro="" textlink="">
      <xdr:nvSpPr>
        <xdr:cNvPr id="4" name="Rectangle 14">
          <a:extLst>
            <a:ext uri="{FF2B5EF4-FFF2-40B4-BE49-F238E27FC236}">
              <a16:creationId xmlns:a16="http://schemas.microsoft.com/office/drawing/2014/main" id="{4205B8C3-47E1-485E-816A-19F7292AAE16}"/>
            </a:ext>
          </a:extLst>
        </xdr:cNvPr>
        <xdr:cNvSpPr>
          <a:spLocks noChangeArrowheads="1"/>
        </xdr:cNvSpPr>
      </xdr:nvSpPr>
      <xdr:spPr bwMode="auto">
        <a:xfrm>
          <a:off x="765585" y="1371600"/>
          <a:ext cx="6253779" cy="1188271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4</xdr:col>
      <xdr:colOff>7620</xdr:colOff>
      <xdr:row>189</xdr:row>
      <xdr:rowOff>0</xdr:rowOff>
    </xdr:from>
    <xdr:to>
      <xdr:col>4</xdr:col>
      <xdr:colOff>7620</xdr:colOff>
      <xdr:row>194</xdr:row>
      <xdr:rowOff>22860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4AE1F57-7D65-4D40-8DD9-A5D135F3A6DD}"/>
            </a:ext>
          </a:extLst>
        </xdr:cNvPr>
        <xdr:cNvCxnSpPr/>
      </xdr:nvCxnSpPr>
      <xdr:spPr>
        <a:xfrm>
          <a:off x="3185160" y="1767840"/>
          <a:ext cx="0" cy="1188720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520065</xdr:colOff>
      <xdr:row>188</xdr:row>
      <xdr:rowOff>247650</xdr:rowOff>
    </xdr:from>
    <xdr:to>
      <xdr:col>9</xdr:col>
      <xdr:colOff>520065</xdr:colOff>
      <xdr:row>194</xdr:row>
      <xdr:rowOff>20955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7EFB193-E65E-4059-91B7-47E5183CFB8A}"/>
            </a:ext>
          </a:extLst>
        </xdr:cNvPr>
        <xdr:cNvCxnSpPr/>
      </xdr:nvCxnSpPr>
      <xdr:spPr>
        <a:xfrm>
          <a:off x="6187440" y="1400175"/>
          <a:ext cx="0" cy="1249680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12551</xdr:colOff>
      <xdr:row>196</xdr:row>
      <xdr:rowOff>259977</xdr:rowOff>
    </xdr:from>
    <xdr:to>
      <xdr:col>11</xdr:col>
      <xdr:colOff>599291</xdr:colOff>
      <xdr:row>202</xdr:row>
      <xdr:rowOff>4931</xdr:rowOff>
    </xdr:to>
    <xdr:sp macro="" textlink="">
      <xdr:nvSpPr>
        <xdr:cNvPr id="9" name="Rectangle 14">
          <a:extLst>
            <a:ext uri="{FF2B5EF4-FFF2-40B4-BE49-F238E27FC236}">
              <a16:creationId xmlns:a16="http://schemas.microsoft.com/office/drawing/2014/main" id="{BBA818B0-5561-4754-98DF-F18FED4BA6FA}"/>
            </a:ext>
          </a:extLst>
        </xdr:cNvPr>
        <xdr:cNvSpPr>
          <a:spLocks noChangeArrowheads="1"/>
        </xdr:cNvSpPr>
      </xdr:nvSpPr>
      <xdr:spPr bwMode="auto">
        <a:xfrm>
          <a:off x="774551" y="4939553"/>
          <a:ext cx="6413799" cy="1403425"/>
        </a:xfrm>
        <a:prstGeom prst="rect">
          <a:avLst/>
        </a:prstGeom>
        <a:noFill/>
        <a:ln w="28575">
          <a:solidFill>
            <a:srgbClr val="C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4</xdr:col>
      <xdr:colOff>7620</xdr:colOff>
      <xdr:row>197</xdr:row>
      <xdr:rowOff>0</xdr:rowOff>
    </xdr:from>
    <xdr:to>
      <xdr:col>4</xdr:col>
      <xdr:colOff>7620</xdr:colOff>
      <xdr:row>202</xdr:row>
      <xdr:rowOff>22860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2CE2353C-565F-47CD-8F11-CE88206453BE}"/>
            </a:ext>
          </a:extLst>
        </xdr:cNvPr>
        <xdr:cNvCxnSpPr/>
      </xdr:nvCxnSpPr>
      <xdr:spPr>
        <a:xfrm>
          <a:off x="3139440" y="1363980"/>
          <a:ext cx="0" cy="1165860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529590</xdr:colOff>
      <xdr:row>196</xdr:row>
      <xdr:rowOff>257175</xdr:rowOff>
    </xdr:from>
    <xdr:to>
      <xdr:col>9</xdr:col>
      <xdr:colOff>529590</xdr:colOff>
      <xdr:row>202</xdr:row>
      <xdr:rowOff>20955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CF74E26-5420-4636-B946-5AA4A90100DC}"/>
            </a:ext>
          </a:extLst>
        </xdr:cNvPr>
        <xdr:cNvCxnSpPr/>
      </xdr:nvCxnSpPr>
      <xdr:spPr>
        <a:xfrm>
          <a:off x="6196965" y="4905375"/>
          <a:ext cx="0" cy="1411605"/>
        </a:xfrm>
        <a:prstGeom prst="line">
          <a:avLst/>
        </a:prstGeom>
        <a:ln>
          <a:solidFill>
            <a:srgbClr val="C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189</xdr:row>
      <xdr:rowOff>255943</xdr:rowOff>
    </xdr:from>
    <xdr:to>
      <xdr:col>18</xdr:col>
      <xdr:colOff>600635</xdr:colOff>
      <xdr:row>198</xdr:row>
      <xdr:rowOff>641</xdr:rowOff>
    </xdr:to>
    <xdr:sp macro="" textlink="">
      <xdr:nvSpPr>
        <xdr:cNvPr id="12" name="Rectangle 14">
          <a:extLst>
            <a:ext uri="{FF2B5EF4-FFF2-40B4-BE49-F238E27FC236}">
              <a16:creationId xmlns:a16="http://schemas.microsoft.com/office/drawing/2014/main" id="{82D786DB-EFD0-41A3-A3AE-5795A5A8B030}"/>
            </a:ext>
          </a:extLst>
        </xdr:cNvPr>
        <xdr:cNvSpPr>
          <a:spLocks noChangeArrowheads="1"/>
        </xdr:cNvSpPr>
      </xdr:nvSpPr>
      <xdr:spPr bwMode="auto">
        <a:xfrm>
          <a:off x="8229600" y="2389543"/>
          <a:ext cx="3833692" cy="1976269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>
            <a:solidFill>
              <a:srgbClr val="C00000"/>
            </a:solidFill>
          </a:endParaRPr>
        </a:p>
      </xdr:txBody>
    </xdr:sp>
    <xdr:clientData/>
  </xdr:twoCellAnchor>
  <xdr:twoCellAnchor>
    <xdr:from>
      <xdr:col>13</xdr:col>
      <xdr:colOff>1</xdr:colOff>
      <xdr:row>202</xdr:row>
      <xdr:rowOff>0</xdr:rowOff>
    </xdr:from>
    <xdr:to>
      <xdr:col>19</xdr:col>
      <xdr:colOff>0</xdr:colOff>
      <xdr:row>210</xdr:row>
      <xdr:rowOff>17929</xdr:rowOff>
    </xdr:to>
    <xdr:sp macro="" textlink="">
      <xdr:nvSpPr>
        <xdr:cNvPr id="14" name="Rectangle 14">
          <a:extLst>
            <a:ext uri="{FF2B5EF4-FFF2-40B4-BE49-F238E27FC236}">
              <a16:creationId xmlns:a16="http://schemas.microsoft.com/office/drawing/2014/main" id="{245DDA04-0D43-4942-9591-07B0155AA802}"/>
            </a:ext>
          </a:extLst>
        </xdr:cNvPr>
        <xdr:cNvSpPr>
          <a:spLocks noChangeArrowheads="1"/>
        </xdr:cNvSpPr>
      </xdr:nvSpPr>
      <xdr:spPr bwMode="auto">
        <a:xfrm>
          <a:off x="8556172" y="6063343"/>
          <a:ext cx="3799114" cy="1999129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 editAs="oneCell">
    <xdr:from>
      <xdr:col>11</xdr:col>
      <xdr:colOff>587831</xdr:colOff>
      <xdr:row>1</xdr:row>
      <xdr:rowOff>141517</xdr:rowOff>
    </xdr:from>
    <xdr:to>
      <xdr:col>18</xdr:col>
      <xdr:colOff>540184</xdr:colOff>
      <xdr:row>7</xdr:row>
      <xdr:rowOff>152402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CC1F84C-EEFF-4138-814C-88D403A06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098" y="310850"/>
          <a:ext cx="4422753" cy="1103085"/>
        </a:xfrm>
        <a:prstGeom prst="rect">
          <a:avLst/>
        </a:prstGeom>
      </xdr:spPr>
    </xdr:pic>
    <xdr:clientData/>
  </xdr:twoCellAnchor>
  <xdr:twoCellAnchor>
    <xdr:from>
      <xdr:col>11</xdr:col>
      <xdr:colOff>16933</xdr:colOff>
      <xdr:row>7</xdr:row>
      <xdr:rowOff>186268</xdr:rowOff>
    </xdr:from>
    <xdr:to>
      <xdr:col>19</xdr:col>
      <xdr:colOff>160867</xdr:colOff>
      <xdr:row>23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35C59-DCE3-4F8E-87F0-DA1876A0C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16933</xdr:colOff>
      <xdr:row>11</xdr:row>
      <xdr:rowOff>186266</xdr:rowOff>
    </xdr:from>
    <xdr:to>
      <xdr:col>9</xdr:col>
      <xdr:colOff>8467</xdr:colOff>
      <xdr:row>18</xdr:row>
      <xdr:rowOff>177800</xdr:rowOff>
    </xdr:to>
    <xdr:sp macro="" textlink="">
      <xdr:nvSpPr>
        <xdr:cNvPr id="13" name="Rectangle 14">
          <a:extLst>
            <a:ext uri="{FF2B5EF4-FFF2-40B4-BE49-F238E27FC236}">
              <a16:creationId xmlns:a16="http://schemas.microsoft.com/office/drawing/2014/main" id="{9427F3DD-9CF8-48FD-8753-5B5709C6C01F}"/>
            </a:ext>
          </a:extLst>
        </xdr:cNvPr>
        <xdr:cNvSpPr>
          <a:spLocks noChangeArrowheads="1"/>
        </xdr:cNvSpPr>
      </xdr:nvSpPr>
      <xdr:spPr bwMode="auto">
        <a:xfrm>
          <a:off x="1219200" y="2252133"/>
          <a:ext cx="4021667" cy="1600200"/>
        </a:xfrm>
        <a:prstGeom prst="rect">
          <a:avLst/>
        </a:prstGeom>
        <a:noFill/>
        <a:ln w="28575">
          <a:solidFill>
            <a:srgbClr val="CC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IN"/>
        </a:p>
      </xdr:txBody>
    </xdr:sp>
    <xdr:clientData/>
  </xdr:twoCellAnchor>
  <xdr:twoCellAnchor>
    <xdr:from>
      <xdr:col>3</xdr:col>
      <xdr:colOff>406400</xdr:colOff>
      <xdr:row>9</xdr:row>
      <xdr:rowOff>93134</xdr:rowOff>
    </xdr:from>
    <xdr:to>
      <xdr:col>6</xdr:col>
      <xdr:colOff>215602</xdr:colOff>
      <xdr:row>11</xdr:row>
      <xdr:rowOff>74875</xdr:rowOff>
    </xdr:to>
    <xdr:sp macro="" textlink="">
      <xdr:nvSpPr>
        <xdr:cNvPr id="15" name="Text Box 24">
          <a:extLst>
            <a:ext uri="{FF2B5EF4-FFF2-40B4-BE49-F238E27FC236}">
              <a16:creationId xmlns:a16="http://schemas.microsoft.com/office/drawing/2014/main" id="{EF3BF63D-CA56-47FC-9689-433E7E0920DB}"/>
            </a:ext>
          </a:extLst>
        </xdr:cNvPr>
        <xdr:cNvSpPr txBox="1">
          <a:spLocks noChangeArrowheads="1"/>
        </xdr:cNvSpPr>
      </xdr:nvSpPr>
      <xdr:spPr bwMode="auto">
        <a:xfrm>
          <a:off x="2218267" y="1862667"/>
          <a:ext cx="1815802" cy="320408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7432" rIns="0" bIns="0" anchor="t" upright="1"/>
        <a:lstStyle/>
        <a:p>
          <a:pPr algn="ctr" rtl="0">
            <a:defRPr sz="1000"/>
          </a:pPr>
          <a:r>
            <a:rPr lang="en-US" sz="2000" b="1" i="0" u="none" strike="noStrike" baseline="0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INPUTS</a:t>
          </a:r>
          <a:endParaRPr lang="en-US" sz="1200">
            <a:solidFill>
              <a:srgbClr val="C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d-ins/ThermoTable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pish/AppData/Roaming/Microsoft/AddIns/Thermodynamic%20Tabl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History"/>
      <sheetName val="List of Current Functions"/>
    </sheetNames>
    <definedNames>
      <definedName name="Cp_pT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History"/>
      <sheetName val="List of Current Functions"/>
    </sheetNames>
    <definedNames>
      <definedName name="Cp_ph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220"/>
  <sheetViews>
    <sheetView tabSelected="1" topLeftCell="A2" zoomScaleNormal="100" workbookViewId="0">
      <selection activeCell="J25" sqref="J25"/>
    </sheetView>
  </sheetViews>
  <sheetFormatPr defaultRowHeight="15.6" x14ac:dyDescent="0.25"/>
  <cols>
    <col min="1" max="1" width="9.6640625" customWidth="1"/>
    <col min="2" max="2" width="7.88671875" customWidth="1"/>
    <col min="4" max="4" width="9.21875" customWidth="1"/>
    <col min="5" max="5" width="9.33203125" customWidth="1"/>
    <col min="6" max="6" width="10.5546875" customWidth="1"/>
    <col min="7" max="7" width="7.109375" customWidth="1"/>
    <col min="8" max="8" width="4.5546875" customWidth="1"/>
    <col min="10" max="10" width="7.77734375" customWidth="1"/>
    <col min="11" max="11" width="5.6640625" customWidth="1"/>
    <col min="13" max="13" width="9.109375" customWidth="1"/>
    <col min="15" max="15" width="12.6640625" customWidth="1"/>
    <col min="16" max="16" width="6.109375" customWidth="1"/>
    <col min="17" max="17" width="10.44140625" customWidth="1"/>
    <col min="19" max="19" width="8.21875" customWidth="1"/>
    <col min="20" max="20" width="9.88671875" customWidth="1"/>
    <col min="21" max="21" width="9.33203125" customWidth="1"/>
    <col min="24" max="24" width="8.77734375" customWidth="1"/>
    <col min="25" max="25" width="8.88671875" style="212"/>
    <col min="26" max="26" width="10.109375" style="212" bestFit="1" customWidth="1"/>
    <col min="27" max="27" width="10.88671875" customWidth="1"/>
    <col min="28" max="28" width="11" style="212" customWidth="1"/>
    <col min="33" max="33" width="11.5546875" customWidth="1"/>
    <col min="36" max="36" width="11.88671875" customWidth="1"/>
  </cols>
  <sheetData>
    <row r="1" spans="1:41" x14ac:dyDescent="0.25">
      <c r="Y1" s="212" t="s">
        <v>161</v>
      </c>
      <c r="Z1" s="212" t="s">
        <v>162</v>
      </c>
      <c r="AA1" s="75" t="s">
        <v>26</v>
      </c>
      <c r="AB1" s="212" t="s">
        <v>163</v>
      </c>
    </row>
    <row r="2" spans="1:41" ht="14.4" customHeight="1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Y2" s="215"/>
      <c r="AA2" s="87">
        <v>0</v>
      </c>
      <c r="AB2" s="212">
        <f>(($H$17-$W$8)*(Z5-Y5))/($W$9-$W$8)+Y5</f>
        <v>4.0719999999999998E-4</v>
      </c>
    </row>
    <row r="3" spans="1:41" ht="13.2" customHeight="1" x14ac:dyDescent="0.25">
      <c r="A3" s="131"/>
      <c r="B3" s="131"/>
      <c r="C3" s="131"/>
      <c r="D3" s="131"/>
      <c r="E3" s="131"/>
      <c r="F3" s="131"/>
      <c r="G3" s="131"/>
      <c r="T3" s="129"/>
      <c r="U3" s="129"/>
      <c r="V3" s="129"/>
      <c r="W3" s="129"/>
      <c r="X3" s="129"/>
      <c r="Y3" s="215"/>
      <c r="Z3" s="213"/>
      <c r="AA3" s="87">
        <v>5</v>
      </c>
      <c r="AB3" s="212">
        <f>(($H$17-$W$8)*(Z6-Y6))/($W$9-$W$8)+Y6</f>
        <v>7.4950799999999998E-2</v>
      </c>
      <c r="AC3" s="129"/>
      <c r="AD3" s="129"/>
      <c r="AE3" s="129"/>
      <c r="AF3" s="129"/>
      <c r="AG3" s="129"/>
      <c r="AH3" s="129"/>
      <c r="AI3" s="129"/>
      <c r="AJ3" s="129"/>
      <c r="AK3" s="129"/>
      <c r="AL3" s="129"/>
      <c r="AM3" s="129"/>
    </row>
    <row r="4" spans="1:41" ht="13.2" customHeight="1" x14ac:dyDescent="0.25">
      <c r="A4" s="131"/>
      <c r="B4" s="158" t="s">
        <v>157</v>
      </c>
      <c r="C4" s="159"/>
      <c r="D4" s="159"/>
      <c r="E4" s="159"/>
      <c r="F4" s="159"/>
      <c r="G4" s="159"/>
      <c r="H4" s="159"/>
      <c r="I4" s="159"/>
      <c r="J4" s="159"/>
      <c r="T4" s="129"/>
      <c r="U4" s="129"/>
      <c r="V4" s="129"/>
      <c r="W4" s="129"/>
      <c r="X4" s="129"/>
      <c r="Y4" s="215"/>
      <c r="AA4" s="87">
        <v>10</v>
      </c>
      <c r="AB4" s="212">
        <f>(($H$17-$W$8)*(Z7-Y7))/($W$9-$W$8)+Y7</f>
        <v>0.14817519999999998</v>
      </c>
      <c r="AO4" s="126"/>
    </row>
    <row r="5" spans="1:41" ht="14.4" customHeight="1" x14ac:dyDescent="0.25">
      <c r="A5" s="131"/>
      <c r="B5" s="159"/>
      <c r="C5" s="159"/>
      <c r="D5" s="159"/>
      <c r="E5" s="159"/>
      <c r="F5" s="159"/>
      <c r="G5" s="159"/>
      <c r="H5" s="159"/>
      <c r="I5" s="159"/>
      <c r="J5" s="159"/>
      <c r="T5" s="129"/>
      <c r="U5" s="129"/>
      <c r="V5" s="129"/>
      <c r="W5" s="129"/>
      <c r="X5" s="129"/>
      <c r="Y5" s="215">
        <v>4.0999999999999999E-4</v>
      </c>
      <c r="Z5" s="212">
        <v>2.7E-4</v>
      </c>
      <c r="AA5" s="87">
        <v>15</v>
      </c>
      <c r="AB5" s="212">
        <f>(($H$17-$W$8)*(Z8-Y8))/($W$9-$W$8)+Y8</f>
        <v>0.2201302</v>
      </c>
      <c r="AO5" s="126"/>
    </row>
    <row r="6" spans="1:41" ht="16.95" customHeight="1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T6" s="129"/>
      <c r="U6" s="129"/>
      <c r="V6" s="129"/>
      <c r="W6" s="129"/>
      <c r="X6" s="129"/>
      <c r="Y6" s="215">
        <v>7.4959999999999999E-2</v>
      </c>
      <c r="Z6" s="212">
        <v>7.4499999999999997E-2</v>
      </c>
      <c r="AA6" s="87">
        <v>20</v>
      </c>
      <c r="AB6" s="212">
        <f>(($H$17-$W$8)*(Z9-Y9))/($W$9-$W$8)+Y9</f>
        <v>0.29086580000000001</v>
      </c>
      <c r="AO6" s="126"/>
    </row>
    <row r="7" spans="1:41" ht="13.2" customHeight="1" x14ac:dyDescent="0.25">
      <c r="A7" s="131"/>
      <c r="B7" s="131"/>
      <c r="C7" s="131"/>
      <c r="D7" s="131"/>
      <c r="E7" s="131"/>
      <c r="F7" s="131"/>
      <c r="G7" s="131"/>
      <c r="T7" s="129"/>
      <c r="U7" s="129"/>
      <c r="V7" s="129"/>
      <c r="W7" s="129"/>
      <c r="X7" s="129"/>
      <c r="Y7" s="215">
        <v>0.14818999999999999</v>
      </c>
      <c r="Z7" s="212">
        <v>0.14745</v>
      </c>
      <c r="AA7" s="87">
        <v>25</v>
      </c>
      <c r="AB7" s="212">
        <f>(($H$17-$W$8)*(Z10-Y10))/($W$9-$W$8)+Y10</f>
        <v>0.36044160000000003</v>
      </c>
      <c r="AO7" s="126"/>
    </row>
    <row r="8" spans="1:41" x14ac:dyDescent="0.25">
      <c r="T8" s="129"/>
      <c r="U8" s="129"/>
      <c r="V8" s="129"/>
      <c r="W8" s="129">
        <f>LNo(H17)</f>
        <v>25000</v>
      </c>
      <c r="X8" s="129">
        <f>sheetNo(H17)</f>
        <v>73</v>
      </c>
      <c r="Y8" s="215">
        <v>0.22015000000000001</v>
      </c>
      <c r="Z8" s="212">
        <v>0.21915999999999999</v>
      </c>
      <c r="AA8" s="87">
        <v>30</v>
      </c>
      <c r="AB8" s="212">
        <f>(($H$17-$W$8)*(Z11-Y11))/($W$9-$W$8)+Y11</f>
        <v>0.4289076</v>
      </c>
      <c r="AO8" s="126"/>
    </row>
    <row r="9" spans="1:41" x14ac:dyDescent="0.25">
      <c r="T9" s="129"/>
      <c r="U9" s="129"/>
      <c r="V9" s="129"/>
      <c r="W9" s="129">
        <f>UNo(H17)</f>
        <v>30000</v>
      </c>
      <c r="X9" s="129">
        <f>X8+1</f>
        <v>74</v>
      </c>
      <c r="Y9" s="215">
        <v>0.29088999999999998</v>
      </c>
      <c r="Z9" s="212">
        <v>0.28967999999999999</v>
      </c>
      <c r="AA9" s="87">
        <v>35</v>
      </c>
      <c r="AB9" s="212">
        <f>(($H$17-$W$8)*(Z12-Y12))/($W$9-$W$8)+Y12</f>
        <v>0.496284</v>
      </c>
      <c r="AO9" s="126">
        <f>LNo(R189)</f>
        <v>900</v>
      </c>
    </row>
    <row r="10" spans="1:41" x14ac:dyDescent="0.25">
      <c r="T10" s="129"/>
      <c r="U10" s="129"/>
      <c r="V10" s="129"/>
      <c r="W10" s="129"/>
      <c r="X10" s="129"/>
      <c r="Y10" s="215">
        <v>0.36047000000000001</v>
      </c>
      <c r="Z10" s="212">
        <v>0.35904999999999998</v>
      </c>
      <c r="AA10" s="87">
        <v>40</v>
      </c>
      <c r="AB10" s="212">
        <f>(($H$17-$W$8)*(Z13-Y13))/($W$9-$W$8)+Y13</f>
        <v>0.56261079999999997</v>
      </c>
      <c r="AO10" s="126"/>
    </row>
    <row r="11" spans="1:41" x14ac:dyDescent="0.25">
      <c r="T11" s="129"/>
      <c r="U11" s="129"/>
      <c r="V11" s="129"/>
      <c r="W11" s="129"/>
      <c r="X11" s="129"/>
      <c r="Y11" s="215">
        <v>0.42893999999999999</v>
      </c>
      <c r="Z11" s="212">
        <v>0.42731999999999998</v>
      </c>
      <c r="AA11" s="87">
        <v>45</v>
      </c>
      <c r="AB11" s="212">
        <f>(($H$17-$W$8)*(Z14-Y14))/($W$9-$W$8)+Y14</f>
        <v>0.62793759999999998</v>
      </c>
      <c r="AO11" s="126"/>
    </row>
    <row r="12" spans="1:41" x14ac:dyDescent="0.25">
      <c r="T12" s="129"/>
      <c r="U12" s="129"/>
      <c r="V12" s="129"/>
      <c r="W12" s="129"/>
      <c r="X12" s="129"/>
      <c r="Y12" s="215">
        <v>0.49631999999999998</v>
      </c>
      <c r="Z12" s="212">
        <v>0.49452000000000002</v>
      </c>
      <c r="AA12" s="87">
        <v>50</v>
      </c>
      <c r="AB12" s="212">
        <f>(($H$17-$W$8)*(Z15-Y15))/($W$9-$W$8)+Y15</f>
        <v>0.69228440000000002</v>
      </c>
      <c r="AO12" s="126"/>
    </row>
    <row r="13" spans="1:41" ht="19.8" customHeight="1" x14ac:dyDescent="0.25">
      <c r="C13" s="189"/>
      <c r="D13" s="189"/>
      <c r="E13" s="189"/>
      <c r="F13" s="189"/>
      <c r="G13" s="189"/>
      <c r="H13" s="192"/>
      <c r="I13" s="192"/>
      <c r="T13" s="129"/>
      <c r="U13" s="129"/>
      <c r="V13" s="129"/>
      <c r="W13" s="129"/>
      <c r="X13" s="129"/>
      <c r="Y13" s="215">
        <v>0.56264999999999998</v>
      </c>
      <c r="Z13" s="212">
        <v>0.56069000000000002</v>
      </c>
      <c r="AA13" s="87">
        <v>55</v>
      </c>
      <c r="AB13" s="212">
        <f>(($H$17-$W$8)*(Z16-Y16))/($W$9-$W$8)+Y16</f>
        <v>0.75568140000000006</v>
      </c>
      <c r="AO13" s="126"/>
    </row>
    <row r="14" spans="1:41" ht="21" customHeight="1" x14ac:dyDescent="0.25">
      <c r="T14" s="129"/>
      <c r="U14" s="129"/>
      <c r="V14" s="129"/>
      <c r="W14" s="129"/>
      <c r="X14" s="129"/>
      <c r="Y14" s="215">
        <v>0.62797999999999998</v>
      </c>
      <c r="Z14" s="212">
        <v>0.62585999999999997</v>
      </c>
      <c r="AA14" s="87">
        <v>60</v>
      </c>
      <c r="AB14" s="212">
        <f>(($H$17-$W$8)*(Z17-Y17))/($W$9-$W$8)+Y17</f>
        <v>0.81815859999999996</v>
      </c>
      <c r="AO14" s="126"/>
    </row>
    <row r="15" spans="1:41" ht="20.399999999999999" x14ac:dyDescent="0.25">
      <c r="C15" s="189" t="s">
        <v>164</v>
      </c>
      <c r="D15" s="190"/>
      <c r="E15" s="190"/>
      <c r="F15" s="190"/>
      <c r="G15" s="190"/>
      <c r="H15" s="191">
        <v>900</v>
      </c>
      <c r="I15" s="191"/>
      <c r="T15" s="129"/>
      <c r="U15" s="129"/>
      <c r="V15" s="129"/>
      <c r="W15" s="129"/>
      <c r="X15" s="129"/>
      <c r="Y15" s="215">
        <v>0.69233</v>
      </c>
      <c r="Z15" s="212">
        <v>0.69005000000000005</v>
      </c>
      <c r="AA15" s="87">
        <v>65</v>
      </c>
      <c r="AB15" s="212">
        <f>(($H$17-$W$8)*(Z18-Y18))/($W$9-$W$8)+Y18</f>
        <v>0.87975579999999998</v>
      </c>
      <c r="AO15" s="126"/>
    </row>
    <row r="16" spans="1:41" x14ac:dyDescent="0.25">
      <c r="T16" s="129"/>
      <c r="U16" s="129"/>
      <c r="V16" s="129"/>
      <c r="W16" s="129"/>
      <c r="X16" s="129"/>
      <c r="Y16" s="215">
        <v>0.75573000000000001</v>
      </c>
      <c r="Z16" s="212">
        <v>0.75329999999999997</v>
      </c>
      <c r="AA16" s="87">
        <v>70</v>
      </c>
      <c r="AB16" s="212">
        <f>(($H$17-$W$8)*(Z19-Y19))/($W$9-$W$8)+Y19</f>
        <v>0.94048300000000007</v>
      </c>
      <c r="AO16" s="126"/>
    </row>
    <row r="17" spans="3:41" ht="18.600000000000001" customHeight="1" x14ac:dyDescent="0.25">
      <c r="C17" s="189" t="s">
        <v>158</v>
      </c>
      <c r="D17" s="190"/>
      <c r="E17" s="190"/>
      <c r="F17" s="190"/>
      <c r="G17" s="190"/>
      <c r="H17" s="191">
        <v>25100</v>
      </c>
      <c r="I17" s="191"/>
      <c r="T17" s="129"/>
      <c r="U17" s="129"/>
      <c r="V17" s="129"/>
      <c r="W17" s="129"/>
      <c r="X17" s="129"/>
      <c r="Y17" s="216">
        <v>0.81820999999999999</v>
      </c>
      <c r="Z17" s="212">
        <v>0.81564000000000003</v>
      </c>
      <c r="AA17" s="87">
        <v>75</v>
      </c>
      <c r="AB17" s="212">
        <f>(($H$17-$W$8)*(Z20-Y20))/($W$9-$W$8)+Y20</f>
        <v>1.0003412</v>
      </c>
      <c r="AO17" s="126"/>
    </row>
    <row r="18" spans="3:41" x14ac:dyDescent="0.25">
      <c r="T18" s="129"/>
      <c r="U18" s="129"/>
      <c r="V18" s="129"/>
      <c r="W18" s="129"/>
      <c r="X18" s="129"/>
      <c r="Y18" s="216">
        <v>0.87980999999999998</v>
      </c>
      <c r="Z18" s="212">
        <v>0.87709999999999999</v>
      </c>
      <c r="AA18" s="87">
        <v>80</v>
      </c>
      <c r="AB18" s="212">
        <f>(($H$17-$W$8)*(Z21-Y21))/($W$9-$W$8)+Y21</f>
        <v>1.0594380000000001</v>
      </c>
      <c r="AO18" s="126"/>
    </row>
    <row r="19" spans="3:41" x14ac:dyDescent="0.25">
      <c r="T19" s="129"/>
      <c r="U19" s="129"/>
      <c r="V19" s="129"/>
      <c r="W19" s="129"/>
      <c r="X19" s="129"/>
      <c r="Y19" s="216">
        <v>0.94054000000000004</v>
      </c>
      <c r="Z19" s="212">
        <v>0.93769000000000002</v>
      </c>
      <c r="AA19" s="87">
        <v>85</v>
      </c>
      <c r="AB19" s="212">
        <f>(($H$17-$W$8)*(Z22-Y22))/($W$9-$W$8)+Y22</f>
        <v>1.1177359999999998</v>
      </c>
      <c r="AO19" s="126"/>
    </row>
    <row r="20" spans="3:41" x14ac:dyDescent="0.25">
      <c r="T20" s="129"/>
      <c r="U20" s="129"/>
      <c r="V20" s="129"/>
      <c r="W20" s="129"/>
      <c r="X20" s="129"/>
      <c r="Y20" s="216">
        <v>1.0004</v>
      </c>
      <c r="Z20" s="212">
        <v>0.99746000000000001</v>
      </c>
      <c r="AA20" s="87">
        <v>90</v>
      </c>
      <c r="AB20" s="212">
        <f>(($H$17-$W$8)*(Z23-Y23))/($W$9-$W$8)+Y23</f>
        <v>1.175332</v>
      </c>
      <c r="AO20" s="126"/>
    </row>
    <row r="21" spans="3:41" x14ac:dyDescent="0.25">
      <c r="D21" s="157" t="s">
        <v>160</v>
      </c>
      <c r="E21">
        <f>H17</f>
        <v>25100</v>
      </c>
      <c r="T21" s="129"/>
      <c r="U21" s="129"/>
      <c r="V21" s="129"/>
      <c r="W21" s="129"/>
      <c r="X21" s="129"/>
      <c r="Y21" s="216">
        <v>1.0595000000000001</v>
      </c>
      <c r="Z21" s="212">
        <v>1.0564</v>
      </c>
      <c r="AA21" s="87">
        <v>95</v>
      </c>
      <c r="AB21" s="212">
        <f>(($H$17-$W$8)*(Z24-Y24))/($W$9-$W$8)+Y24</f>
        <v>1.2321299999999999</v>
      </c>
      <c r="AO21" s="126"/>
    </row>
    <row r="22" spans="3:41" x14ac:dyDescent="0.25">
      <c r="D22" s="157" t="s">
        <v>159</v>
      </c>
      <c r="E22">
        <f>F201</f>
        <v>2.0939999999999999</v>
      </c>
      <c r="F22" s="156" t="s">
        <v>165</v>
      </c>
      <c r="G22">
        <f>F201</f>
        <v>2.0939999999999999</v>
      </c>
      <c r="T22" s="129"/>
      <c r="U22" s="129"/>
      <c r="V22" s="129"/>
      <c r="W22" s="129"/>
      <c r="X22" s="129"/>
      <c r="Y22" s="216">
        <v>1.1177999999999999</v>
      </c>
      <c r="Z22" s="212">
        <v>1.1146</v>
      </c>
      <c r="AA22" s="87">
        <v>100</v>
      </c>
      <c r="AB22" s="212">
        <f>(($H$17-$W$8)*(Z25-Y25))/($W$9-$W$8)+Y25</f>
        <v>1.2882279999999999</v>
      </c>
      <c r="AO22" s="126"/>
    </row>
    <row r="23" spans="3:41" ht="23.4" customHeight="1" x14ac:dyDescent="0.25">
      <c r="D23" s="156" t="s">
        <v>167</v>
      </c>
      <c r="E23">
        <f>LinInterp(E22,AB2:AB98,AA2:AA98)</f>
        <v>178.53467796041599</v>
      </c>
      <c r="F23" s="156" t="s">
        <v>166</v>
      </c>
      <c r="G23">
        <f>D198</f>
        <v>175.35</v>
      </c>
      <c r="T23" s="129"/>
      <c r="U23" s="129"/>
      <c r="V23" s="129"/>
      <c r="W23" s="129"/>
      <c r="X23" s="129"/>
      <c r="Y23" s="216">
        <v>1.1754</v>
      </c>
      <c r="Z23" s="212">
        <v>1.1719999999999999</v>
      </c>
      <c r="AA23" s="87">
        <v>105</v>
      </c>
      <c r="AB23" s="212">
        <f>(($H$17-$W$8)*(Z26-Y26))/($W$9-$W$8)+Y26</f>
        <v>1.3437240000000001</v>
      </c>
      <c r="AO23" s="126"/>
    </row>
    <row r="24" spans="3:41" ht="24" customHeight="1" x14ac:dyDescent="0.25">
      <c r="T24" s="129"/>
      <c r="U24" s="129"/>
      <c r="V24" s="129"/>
      <c r="W24" s="129"/>
      <c r="X24" s="129"/>
      <c r="Y24" s="216">
        <v>1.2322</v>
      </c>
      <c r="Z24" s="212">
        <v>1.2286999999999999</v>
      </c>
      <c r="AA24" s="87">
        <v>110</v>
      </c>
      <c r="AB24" s="212">
        <f>(($H$17-$W$8)*(Z27-Y27))/($W$9-$W$8)+Y27</f>
        <v>1.39852</v>
      </c>
      <c r="AO24" s="126"/>
    </row>
    <row r="25" spans="3:41" ht="22.8" customHeight="1" x14ac:dyDescent="0.25">
      <c r="T25" s="129"/>
      <c r="U25" s="129"/>
      <c r="V25" s="129"/>
      <c r="W25" s="129"/>
      <c r="X25" s="129"/>
      <c r="Y25" s="216">
        <v>1.2883</v>
      </c>
      <c r="Z25" s="212">
        <v>1.2847</v>
      </c>
      <c r="AA25" s="87">
        <v>115</v>
      </c>
      <c r="AB25" s="212">
        <f>(($H$17-$W$8)*(Z28-Y28))/($W$9-$W$8)+Y28</f>
        <v>1.4526180000000002</v>
      </c>
      <c r="AO25" s="126"/>
    </row>
    <row r="26" spans="3:41" x14ac:dyDescent="0.25">
      <c r="T26" s="129"/>
      <c r="U26" s="129"/>
      <c r="V26" s="129"/>
      <c r="W26" s="129"/>
      <c r="X26" s="129"/>
      <c r="Y26" s="216">
        <v>1.3438000000000001</v>
      </c>
      <c r="Z26" s="212">
        <v>1.34</v>
      </c>
      <c r="AA26" s="87">
        <v>120</v>
      </c>
      <c r="AB26" s="212">
        <f>(($H$17-$W$8)*(Z29-Y29))/($W$9-$W$8)+Y29</f>
        <v>1.506116</v>
      </c>
      <c r="AO26" s="126"/>
    </row>
    <row r="27" spans="3:41" x14ac:dyDescent="0.25">
      <c r="T27" s="129"/>
      <c r="U27" s="129"/>
      <c r="V27" s="129"/>
      <c r="W27" s="129"/>
      <c r="X27" s="129"/>
      <c r="Y27" s="216">
        <v>1.3986000000000001</v>
      </c>
      <c r="Z27" s="212">
        <v>1.3946000000000001</v>
      </c>
      <c r="AA27" s="87">
        <v>125</v>
      </c>
      <c r="AB27" s="212">
        <f>(($H$17-$W$8)*(Z30-Y30))/($W$9-$W$8)+Y30</f>
        <v>1.5590139999999999</v>
      </c>
      <c r="AO27" s="126"/>
    </row>
    <row r="28" spans="3:41" ht="21" customHeight="1" x14ac:dyDescent="0.25">
      <c r="T28" s="129"/>
      <c r="U28" s="129"/>
      <c r="V28" s="129"/>
      <c r="W28" s="129"/>
      <c r="X28" s="129"/>
      <c r="Y28" s="216">
        <v>1.4527000000000001</v>
      </c>
      <c r="Z28" s="212">
        <v>1.4486000000000001</v>
      </c>
      <c r="AA28" s="87">
        <v>130</v>
      </c>
      <c r="AB28" s="212">
        <f>(($H$17-$W$8)*(Z31-Y31))/($W$9-$W$8)+Y31</f>
        <v>1.61141</v>
      </c>
      <c r="AO28" s="126"/>
    </row>
    <row r="29" spans="3:41" ht="19.8" customHeight="1" x14ac:dyDescent="0.25">
      <c r="T29" s="129"/>
      <c r="U29" s="129"/>
      <c r="V29" s="129"/>
      <c r="W29" s="129"/>
      <c r="X29" s="129"/>
      <c r="Y29" s="216">
        <v>1.5062</v>
      </c>
      <c r="Z29" s="213">
        <v>1.502</v>
      </c>
      <c r="AA29" s="87">
        <v>135</v>
      </c>
      <c r="AB29" s="212">
        <f>(($H$17-$W$8)*(Z32-Y32))/($W$9-$W$8)+Y32</f>
        <v>1.663208</v>
      </c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</row>
    <row r="30" spans="3:41" ht="21" customHeight="1" x14ac:dyDescent="0.25">
      <c r="T30" s="129"/>
      <c r="U30" s="129"/>
      <c r="V30" s="129"/>
      <c r="W30" s="129"/>
      <c r="X30" s="129"/>
      <c r="Y30" s="216">
        <v>1.5590999999999999</v>
      </c>
      <c r="Z30" s="213">
        <v>1.5548</v>
      </c>
      <c r="AA30" s="87">
        <v>140</v>
      </c>
      <c r="AB30" s="212">
        <f>(($H$17-$W$8)*(Z33-Y33))/($W$9-$W$8)+Y33</f>
        <v>1.7145039999999998</v>
      </c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</row>
    <row r="31" spans="3:41" x14ac:dyDescent="0.25">
      <c r="T31" s="129"/>
      <c r="U31" s="129"/>
      <c r="V31" s="129"/>
      <c r="W31" s="129"/>
      <c r="X31" s="129"/>
      <c r="Y31" s="216">
        <v>1.6114999999999999</v>
      </c>
      <c r="Z31" s="213">
        <v>1.607</v>
      </c>
      <c r="AA31" s="87">
        <v>145</v>
      </c>
      <c r="AB31" s="212">
        <f>(($H$17-$W$8)*(Z34-Y34))/($W$9-$W$8)+Y34</f>
        <v>1.7653020000000001</v>
      </c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</row>
    <row r="32" spans="3:41" x14ac:dyDescent="0.25">
      <c r="T32" s="129"/>
      <c r="U32" s="129"/>
      <c r="V32" s="129"/>
      <c r="W32" s="129"/>
      <c r="X32" s="129"/>
      <c r="Y32" s="216">
        <v>1.6633</v>
      </c>
      <c r="Z32" s="213">
        <v>1.6587000000000001</v>
      </c>
      <c r="AA32" s="87">
        <v>150</v>
      </c>
      <c r="AB32" s="212">
        <f>(($H$17-$W$8)*(Z35-Y35))/($W$9-$W$8)+Y35</f>
        <v>1.8155000000000001</v>
      </c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/>
    </row>
    <row r="33" spans="1:39" x14ac:dyDescent="0.25">
      <c r="T33" s="129"/>
      <c r="U33" s="129"/>
      <c r="V33" s="129"/>
      <c r="W33" s="129"/>
      <c r="X33" s="129"/>
      <c r="Y33" s="216">
        <v>1.7145999999999999</v>
      </c>
      <c r="Z33" s="213">
        <v>1.7098</v>
      </c>
      <c r="AA33" s="87">
        <v>155</v>
      </c>
      <c r="AB33" s="212">
        <f>(($H$17-$W$8)*(Z36-Y36))/($W$9-$W$8)+Y36</f>
        <v>1.8652959999999998</v>
      </c>
      <c r="AC33" s="129"/>
      <c r="AD33" s="129"/>
      <c r="AE33" s="129"/>
      <c r="AF33" s="129"/>
      <c r="AG33" s="129"/>
      <c r="AH33" s="129"/>
      <c r="AI33" s="129"/>
      <c r="AJ33" s="129"/>
      <c r="AK33" s="129"/>
      <c r="AL33" s="129"/>
      <c r="AM33" s="129"/>
    </row>
    <row r="34" spans="1:39" x14ac:dyDescent="0.25">
      <c r="T34" s="129"/>
      <c r="U34" s="129"/>
      <c r="V34" s="129"/>
      <c r="W34" s="129"/>
      <c r="X34" s="129"/>
      <c r="Y34" s="216">
        <v>1.7654000000000001</v>
      </c>
      <c r="Z34" s="213">
        <v>1.7605</v>
      </c>
      <c r="AA34" s="87">
        <v>160</v>
      </c>
      <c r="AB34" s="212">
        <f>(($H$17-$W$8)*(Z37-Y37))/($W$9-$W$8)+Y37</f>
        <v>1.9146920000000001</v>
      </c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</row>
    <row r="35" spans="1:39" x14ac:dyDescent="0.25">
      <c r="T35" s="129"/>
      <c r="U35" s="129"/>
      <c r="V35" s="129"/>
      <c r="W35" s="129"/>
      <c r="X35" s="129"/>
      <c r="Y35" s="216">
        <v>1.8156000000000001</v>
      </c>
      <c r="Z35" s="213">
        <v>1.8106</v>
      </c>
      <c r="AA35" s="87">
        <v>165</v>
      </c>
      <c r="AB35" s="212">
        <f>(($H$17-$W$8)*(Z38-Y38))/($W$9-$W$8)+Y38</f>
        <v>1.9635899999999999</v>
      </c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</row>
    <row r="36" spans="1:39" x14ac:dyDescent="0.25">
      <c r="T36" s="129"/>
      <c r="U36" s="129"/>
      <c r="V36" s="129"/>
      <c r="W36" s="129"/>
      <c r="X36" s="129"/>
      <c r="Y36" s="216">
        <v>1.8653999999999999</v>
      </c>
      <c r="Z36" s="213">
        <v>1.8602000000000001</v>
      </c>
      <c r="AA36" s="87">
        <v>170</v>
      </c>
      <c r="AB36" s="212">
        <f>(($H$17-$W$8)*(Z39-Y39))/($W$9-$W$8)+Y39</f>
        <v>2.012086</v>
      </c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</row>
    <row r="37" spans="1:39" x14ac:dyDescent="0.25">
      <c r="T37" s="129"/>
      <c r="U37" s="129"/>
      <c r="V37" s="129"/>
      <c r="W37" s="129"/>
      <c r="X37" s="129"/>
      <c r="Y37" s="216">
        <v>1.9148000000000001</v>
      </c>
      <c r="Z37" s="213">
        <v>1.9094</v>
      </c>
      <c r="AA37" s="87">
        <v>175</v>
      </c>
      <c r="AB37" s="212">
        <f>(($H$17-$W$8)*(Z40-Y40))/($W$9-$W$8)+Y40</f>
        <v>2.0602819999999999</v>
      </c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</row>
    <row r="38" spans="1:39" x14ac:dyDescent="0.25">
      <c r="T38" s="129"/>
      <c r="U38" s="129"/>
      <c r="V38" s="129"/>
      <c r="W38" s="129"/>
      <c r="X38" s="129"/>
      <c r="Y38" s="216">
        <v>1.9637</v>
      </c>
      <c r="Z38" s="213">
        <v>1.9581999999999999</v>
      </c>
      <c r="AA38" s="87">
        <v>180</v>
      </c>
      <c r="AB38" s="212">
        <f>(($H$17-$W$8)*(Z41-Y41))/($W$9-$W$8)+Y41</f>
        <v>2.1079779999999997</v>
      </c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</row>
    <row r="39" spans="1:39" x14ac:dyDescent="0.25">
      <c r="T39" s="129"/>
      <c r="U39" s="129"/>
      <c r="V39" s="129"/>
      <c r="W39" s="129"/>
      <c r="X39" s="129"/>
      <c r="Y39" s="216">
        <v>2.0122</v>
      </c>
      <c r="Z39" s="213">
        <v>2.0065</v>
      </c>
      <c r="AA39" s="87">
        <v>185</v>
      </c>
      <c r="AB39" s="212">
        <f>(($H$17-$W$8)*(Z42-Y42))/($W$9-$W$8)+Y42</f>
        <v>2.1553740000000001</v>
      </c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</row>
    <row r="40" spans="1:39" x14ac:dyDescent="0.25">
      <c r="T40" s="129"/>
      <c r="U40" s="129"/>
      <c r="V40" s="129"/>
      <c r="W40" s="129"/>
      <c r="X40" s="129"/>
      <c r="Y40" s="216">
        <v>2.0604</v>
      </c>
      <c r="Z40" s="213">
        <v>2.0545</v>
      </c>
      <c r="AA40" s="87">
        <v>190</v>
      </c>
      <c r="AB40" s="212">
        <f>(($H$17-$W$8)*(Z43-Y43))/($W$9-$W$8)+Y43</f>
        <v>2.202372</v>
      </c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</row>
    <row r="41" spans="1:39" x14ac:dyDescent="0.25">
      <c r="T41" s="129"/>
      <c r="U41" s="129"/>
      <c r="V41" s="129"/>
      <c r="W41" s="129"/>
      <c r="X41" s="129"/>
      <c r="Y41" s="216">
        <v>2.1080999999999999</v>
      </c>
      <c r="Z41" s="213">
        <v>2.1019999999999999</v>
      </c>
      <c r="AA41" s="87">
        <v>195</v>
      </c>
      <c r="AB41" s="212">
        <f>(($H$17-$W$8)*(Z44-Y44))/($W$9-$W$8)+Y44</f>
        <v>2.2490680000000003</v>
      </c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</row>
    <row r="42" spans="1:39" x14ac:dyDescent="0.25">
      <c r="A42" s="154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29"/>
      <c r="U42" s="129"/>
      <c r="V42" s="129"/>
      <c r="W42" s="129"/>
      <c r="X42" s="129"/>
      <c r="Y42" s="216">
        <v>2.1555</v>
      </c>
      <c r="Z42" s="213">
        <v>2.1492</v>
      </c>
      <c r="AA42" s="87">
        <v>200</v>
      </c>
      <c r="AB42" s="212">
        <f>(($H$17-$W$8)*(Z45-Y45))/($W$9-$W$8)+Y45</f>
        <v>2.2954639999999999</v>
      </c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</row>
    <row r="43" spans="1:39" x14ac:dyDescent="0.25">
      <c r="A43" s="154"/>
      <c r="B43" s="154"/>
      <c r="C43" s="154"/>
      <c r="D43" s="154"/>
      <c r="E43" s="154"/>
      <c r="F43" s="154"/>
      <c r="G43" s="154"/>
      <c r="H43" s="154"/>
      <c r="I43" s="154"/>
      <c r="J43" s="154"/>
      <c r="K43" s="154"/>
      <c r="L43" s="154"/>
      <c r="M43" s="154"/>
      <c r="N43" s="154"/>
      <c r="O43" s="154"/>
      <c r="P43" s="154"/>
      <c r="Q43" s="154"/>
      <c r="R43" s="154"/>
      <c r="S43" s="154"/>
      <c r="T43" s="129"/>
      <c r="U43" s="129"/>
      <c r="V43" s="129"/>
      <c r="W43" s="129"/>
      <c r="X43" s="129"/>
      <c r="Y43" s="216">
        <v>2.2025000000000001</v>
      </c>
      <c r="Z43" s="213">
        <v>2.1960999999999999</v>
      </c>
      <c r="AA43" s="87">
        <v>210</v>
      </c>
      <c r="AB43" s="212">
        <f>(($H$17-$W$8)*(Z46-Y46))/($W$9-$W$8)+Y46</f>
        <v>2.387454</v>
      </c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</row>
    <row r="44" spans="1:39" x14ac:dyDescent="0.25">
      <c r="A44" s="154"/>
      <c r="B44" s="154"/>
      <c r="C44" s="154"/>
      <c r="D44" s="154"/>
      <c r="E44" s="154"/>
      <c r="F44" s="154"/>
      <c r="G44" s="154"/>
      <c r="H44" s="154"/>
      <c r="I44" s="154"/>
      <c r="J44" s="154"/>
      <c r="K44" s="154"/>
      <c r="L44" s="154"/>
      <c r="M44" s="154"/>
      <c r="N44" s="154"/>
      <c r="O44" s="154"/>
      <c r="P44" s="154"/>
      <c r="Q44" s="154"/>
      <c r="R44" s="154"/>
      <c r="S44" s="154"/>
      <c r="T44" s="129"/>
      <c r="U44" s="129"/>
      <c r="V44" s="129"/>
      <c r="W44" s="129"/>
      <c r="X44" s="129"/>
      <c r="Y44" s="216">
        <v>2.2492000000000001</v>
      </c>
      <c r="Z44" s="213">
        <v>2.2425999999999999</v>
      </c>
      <c r="AA44" s="87">
        <v>220</v>
      </c>
      <c r="AB44" s="212">
        <f>(($H$17-$W$8)*(Z47-Y47))/($W$9-$W$8)+Y47</f>
        <v>2.4784420000000003</v>
      </c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</row>
    <row r="45" spans="1:39" x14ac:dyDescent="0.25">
      <c r="A45" s="154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29"/>
      <c r="U45" s="129"/>
      <c r="V45" s="129"/>
      <c r="W45" s="129"/>
      <c r="X45" s="129"/>
      <c r="Y45" s="216">
        <v>2.2955999999999999</v>
      </c>
      <c r="Z45" s="213">
        <v>2.2888000000000002</v>
      </c>
      <c r="AA45" s="87">
        <v>230</v>
      </c>
      <c r="AB45" s="212">
        <f>(($H$17-$W$8)*(Z48-Y48))/($W$9-$W$8)+Y48</f>
        <v>2.5685320000000003</v>
      </c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</row>
    <row r="46" spans="1:39" x14ac:dyDescent="0.25">
      <c r="A46" s="154"/>
      <c r="B46" s="154"/>
      <c r="C46" s="154"/>
      <c r="D46" s="154"/>
      <c r="E46" s="154"/>
      <c r="F46" s="154"/>
      <c r="G46" s="154"/>
      <c r="H46" s="154"/>
      <c r="I46" s="154"/>
      <c r="J46" s="154"/>
      <c r="K46" s="154"/>
      <c r="L46" s="154"/>
      <c r="M46" s="154"/>
      <c r="N46" s="154"/>
      <c r="O46" s="154"/>
      <c r="P46" s="154"/>
      <c r="Q46" s="154"/>
      <c r="R46" s="154"/>
      <c r="S46" s="154"/>
      <c r="T46" s="129"/>
      <c r="U46" s="129"/>
      <c r="V46" s="129"/>
      <c r="W46" s="129"/>
      <c r="X46" s="129"/>
      <c r="Y46" s="216">
        <v>2.3875999999999999</v>
      </c>
      <c r="Z46" s="213">
        <v>2.3803000000000001</v>
      </c>
      <c r="AA46" s="87">
        <v>240</v>
      </c>
      <c r="AB46" s="212">
        <f>(($H$17-$W$8)*(Z49-Y49))/($W$9-$W$8)+Y49</f>
        <v>2.6580179999999998</v>
      </c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</row>
    <row r="47" spans="1:39" x14ac:dyDescent="0.25">
      <c r="A47" s="154"/>
      <c r="B47" s="154"/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29"/>
      <c r="U47" s="129"/>
      <c r="V47" s="129"/>
      <c r="W47" s="129"/>
      <c r="X47" s="129"/>
      <c r="Y47" s="216">
        <v>2.4786000000000001</v>
      </c>
      <c r="Z47" s="213">
        <v>2.4706999999999999</v>
      </c>
      <c r="AA47" s="87">
        <v>250</v>
      </c>
      <c r="AB47" s="212">
        <f>(($H$17-$W$8)*(Z50-Y50))/($W$9-$W$8)+Y50</f>
        <v>2.7469040000000002</v>
      </c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</row>
    <row r="48" spans="1:39" x14ac:dyDescent="0.25">
      <c r="T48" s="129"/>
      <c r="U48" s="129"/>
      <c r="V48" s="129"/>
      <c r="W48" s="129"/>
      <c r="X48" s="129"/>
      <c r="Y48" s="216">
        <v>2.5687000000000002</v>
      </c>
      <c r="Z48" s="213">
        <v>2.5602999999999998</v>
      </c>
      <c r="AA48" s="87">
        <v>260</v>
      </c>
      <c r="AB48" s="212">
        <f>(($H$17-$W$8)*(Z51-Y51))/($W$9-$W$8)+Y51</f>
        <v>2.835486</v>
      </c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</row>
    <row r="49" spans="1:28" x14ac:dyDescent="0.25">
      <c r="Y49" s="216">
        <v>2.6581999999999999</v>
      </c>
      <c r="Z49" s="212">
        <v>2.6490999999999998</v>
      </c>
      <c r="AA49" s="87">
        <v>270</v>
      </c>
      <c r="AB49" s="212">
        <f>(($H$17-$W$8)*(Z52-Y52))/($W$9-$W$8)+Y52</f>
        <v>2.9239679999999999</v>
      </c>
    </row>
    <row r="50" spans="1:28" ht="21" customHeight="1" x14ac:dyDescent="0.25">
      <c r="A50" s="130"/>
      <c r="B50" s="130"/>
      <c r="C50" s="130"/>
      <c r="D50" s="130"/>
      <c r="E50" s="130"/>
      <c r="F50" s="130"/>
      <c r="G50" s="130"/>
      <c r="Y50" s="216">
        <v>2.7471000000000001</v>
      </c>
      <c r="Z50" s="214">
        <v>2.7372999999999998</v>
      </c>
      <c r="AA50" s="86">
        <v>280</v>
      </c>
      <c r="AB50" s="212">
        <f>(($H$17-$W$8)*(Z53-Y53))/($W$9-$W$8)+Y53</f>
        <v>3.0126440000000003</v>
      </c>
    </row>
    <row r="51" spans="1:28" ht="21" customHeight="1" x14ac:dyDescent="0.25">
      <c r="A51" s="130"/>
      <c r="B51" s="130"/>
      <c r="C51" s="130"/>
      <c r="D51" s="130"/>
      <c r="E51" s="130"/>
      <c r="F51" s="130"/>
      <c r="G51" s="130"/>
      <c r="Y51" s="216">
        <v>2.8357000000000001</v>
      </c>
      <c r="Z51" s="214">
        <v>2.8250000000000002</v>
      </c>
      <c r="AA51" s="86">
        <v>290</v>
      </c>
      <c r="AB51" s="212">
        <f>(($H$17-$W$8)*(Z54-Y54))/($W$9-$W$8)+Y54</f>
        <v>3.1017159999999997</v>
      </c>
    </row>
    <row r="52" spans="1:28" ht="21" customHeight="1" x14ac:dyDescent="0.25">
      <c r="A52" s="141"/>
      <c r="B52" s="130"/>
      <c r="C52" s="130"/>
      <c r="D52" s="130"/>
      <c r="E52" s="130"/>
      <c r="F52" s="130"/>
      <c r="G52" s="130"/>
      <c r="Y52" s="216">
        <v>2.9241999999999999</v>
      </c>
      <c r="Z52" s="214">
        <v>2.9125999999999999</v>
      </c>
      <c r="AA52" s="86">
        <v>300</v>
      </c>
      <c r="AB52" s="212">
        <f>(($H$17-$W$8)*(Z55-Y55))/($W$9-$W$8)+Y55</f>
        <v>3.1915819999999999</v>
      </c>
    </row>
    <row r="53" spans="1:28" ht="21" customHeight="1" x14ac:dyDescent="0.25">
      <c r="A53" s="130"/>
      <c r="B53" s="130"/>
      <c r="C53" s="130"/>
      <c r="D53" s="130"/>
      <c r="E53" s="130"/>
      <c r="F53" s="130"/>
      <c r="G53" s="130"/>
      <c r="Y53" s="216">
        <v>3.0129000000000001</v>
      </c>
      <c r="Z53" s="214">
        <v>3.0001000000000002</v>
      </c>
      <c r="AA53" s="86">
        <v>310</v>
      </c>
      <c r="AB53" s="212">
        <f>(($H$17-$W$8)*(Z56-Y56))/($W$9-$W$8)+Y56</f>
        <v>3.2828399999999998</v>
      </c>
    </row>
    <row r="54" spans="1:28" x14ac:dyDescent="0.25">
      <c r="Y54" s="216">
        <v>3.1019999999999999</v>
      </c>
      <c r="Z54" s="214">
        <v>3.0878000000000001</v>
      </c>
      <c r="AA54" s="86">
        <v>320</v>
      </c>
      <c r="AB54" s="212">
        <f>(($H$17-$W$8)*(Z57-Y57))/($W$9-$W$8)+Y57</f>
        <v>3.3759859999999997</v>
      </c>
    </row>
    <row r="55" spans="1:28" x14ac:dyDescent="0.25">
      <c r="Y55" s="216">
        <v>3.1919</v>
      </c>
      <c r="Z55" s="214">
        <v>3.1760000000000002</v>
      </c>
      <c r="AA55" s="86">
        <v>330</v>
      </c>
      <c r="AB55" s="212">
        <f>(($H$17-$W$8)*(Z58-Y58))/($W$9-$W$8)+Y58</f>
        <v>3.4721139999999999</v>
      </c>
    </row>
    <row r="56" spans="1:28" x14ac:dyDescent="0.25">
      <c r="Y56" s="216">
        <v>3.2831999999999999</v>
      </c>
      <c r="Z56" s="214">
        <v>3.2652000000000001</v>
      </c>
      <c r="AA56" s="86">
        <v>340</v>
      </c>
      <c r="AB56" s="212">
        <f>(($H$17-$W$8)*(Z59-Y59))/($W$9-$W$8)+Y59</f>
        <v>3.572514</v>
      </c>
    </row>
    <row r="57" spans="1:28" x14ac:dyDescent="0.25">
      <c r="Y57" s="216">
        <v>3.3763999999999998</v>
      </c>
      <c r="Z57" s="212">
        <v>3.3557000000000001</v>
      </c>
      <c r="AA57" s="86">
        <v>350</v>
      </c>
      <c r="AB57" s="212">
        <f>(($H$17-$W$8)*(Z60-Y60))/($W$9-$W$8)+Y60</f>
        <v>3.6796640000000003</v>
      </c>
    </row>
    <row r="58" spans="1:28" x14ac:dyDescent="0.25">
      <c r="Y58" s="216">
        <v>3.4725999999999999</v>
      </c>
      <c r="Z58" s="212">
        <v>3.4483000000000001</v>
      </c>
      <c r="AA58" s="86">
        <v>360</v>
      </c>
      <c r="AB58" s="212">
        <f>(($H$17-$W$8)*(Z61-Y61))/($W$9-$W$8)+Y61</f>
        <v>3.7983100000000003</v>
      </c>
    </row>
    <row r="59" spans="1:28" x14ac:dyDescent="0.25">
      <c r="Y59" s="216">
        <v>3.5731000000000002</v>
      </c>
      <c r="Z59" s="212">
        <v>3.5438000000000001</v>
      </c>
      <c r="AA59" s="86">
        <v>370</v>
      </c>
      <c r="AB59" s="212">
        <f>(($H$17-$W$8)*(Z62-Y62))/($W$9-$W$8)+Y62</f>
        <v>3.9407860000000001</v>
      </c>
    </row>
    <row r="60" spans="1:28" x14ac:dyDescent="0.25">
      <c r="Y60" s="216">
        <v>3.6804000000000001</v>
      </c>
      <c r="Z60" s="212">
        <v>3.6436000000000002</v>
      </c>
      <c r="AA60" s="86">
        <v>380</v>
      </c>
      <c r="AB60" s="212">
        <f>(($H$17-$W$8)*(Z63-Y63))/($W$9-$W$8)+Y63</f>
        <v>4.1638079999999995</v>
      </c>
    </row>
    <row r="61" spans="1:28" x14ac:dyDescent="0.25">
      <c r="Y61" s="216">
        <v>3.7993000000000001</v>
      </c>
      <c r="Z61" s="212">
        <v>3.7498</v>
      </c>
      <c r="AA61" s="86">
        <v>390</v>
      </c>
      <c r="AB61" s="212">
        <f>(($H$17-$W$8)*(Z64-Y64))/($W$9-$W$8)+Y64</f>
        <v>4.8522879999999997</v>
      </c>
    </row>
    <row r="62" spans="1:28" x14ac:dyDescent="0.25">
      <c r="Y62" s="216">
        <v>3.9422999999999999</v>
      </c>
      <c r="Z62" s="212">
        <v>3.8666</v>
      </c>
      <c r="AA62" s="86">
        <v>400</v>
      </c>
      <c r="AB62" s="212">
        <f>(($H$17-$W$8)*(Z65-Y65))/($W$9-$W$8)+Y65</f>
        <v>5.1267139999999998</v>
      </c>
    </row>
    <row r="63" spans="1:28" x14ac:dyDescent="0.25">
      <c r="Y63" s="216">
        <v>4.1670999999999996</v>
      </c>
      <c r="Z63" s="212">
        <v>4.0025000000000004</v>
      </c>
      <c r="AA63" s="86">
        <v>410</v>
      </c>
      <c r="AB63" s="212">
        <f>(($H$17-$W$8)*(Z66-Y66))/($W$9-$W$8)+Y66</f>
        <v>5.2906719999999998</v>
      </c>
    </row>
    <row r="64" spans="1:28" x14ac:dyDescent="0.25">
      <c r="Y64" s="216">
        <v>4.8659999999999997</v>
      </c>
      <c r="Z64" s="212">
        <v>4.1803999999999997</v>
      </c>
      <c r="AA64" s="86">
        <v>420</v>
      </c>
      <c r="AB64" s="212">
        <f>(($H$17-$W$8)*(Z67-Y67))/($W$9-$W$8)+Y67</f>
        <v>5.41256</v>
      </c>
    </row>
    <row r="65" spans="25:28" x14ac:dyDescent="0.25">
      <c r="Y65" s="216">
        <v>5.14</v>
      </c>
      <c r="Z65" s="212">
        <v>4.4756999999999998</v>
      </c>
      <c r="AA65" s="86">
        <v>430</v>
      </c>
      <c r="AB65" s="212">
        <f>(($H$17-$W$8)*(Z68-Y68))/($W$9-$W$8)+Y68</f>
        <v>5.5116480000000001</v>
      </c>
    </row>
    <row r="66" spans="25:28" x14ac:dyDescent="0.25">
      <c r="Y66" s="216">
        <v>5.3</v>
      </c>
      <c r="Z66" s="212">
        <v>4.8335999999999997</v>
      </c>
      <c r="AA66" s="86">
        <v>440</v>
      </c>
      <c r="AB66" s="212">
        <f>(($H$17-$W$8)*(Z69-Y69))/($W$9-$W$8)+Y69</f>
        <v>5.5964</v>
      </c>
    </row>
    <row r="67" spans="25:28" x14ac:dyDescent="0.25">
      <c r="Y67" s="216">
        <v>5.4196999999999997</v>
      </c>
      <c r="Z67" s="212">
        <v>5.0627000000000004</v>
      </c>
      <c r="AA67" s="86">
        <v>450</v>
      </c>
      <c r="AB67" s="212">
        <f>(($H$17-$W$8)*(Z70-Y70))/($W$9-$W$8)+Y70</f>
        <v>5.6712240000000005</v>
      </c>
    </row>
    <row r="68" spans="25:28" x14ac:dyDescent="0.25">
      <c r="Y68" s="216">
        <v>5.5175999999999998</v>
      </c>
      <c r="Z68" s="212">
        <v>5.22</v>
      </c>
      <c r="AA68" s="86">
        <v>460</v>
      </c>
      <c r="AB68" s="212">
        <f>(($H$17-$W$8)*(Z71-Y71))/($W$9-$W$8)+Y71</f>
        <v>5.7385159999999997</v>
      </c>
    </row>
    <row r="69" spans="25:28" x14ac:dyDescent="0.25">
      <c r="Y69" s="216">
        <v>5.6016000000000004</v>
      </c>
      <c r="Z69" s="212">
        <v>5.3415999999999997</v>
      </c>
      <c r="AA69" s="86">
        <v>470</v>
      </c>
      <c r="AB69" s="212">
        <f>(($H$17-$W$8)*(Z72-Y72))/($W$9-$W$8)+Y72</f>
        <v>5.8002180000000001</v>
      </c>
    </row>
    <row r="70" spans="25:28" x14ac:dyDescent="0.25">
      <c r="Y70" s="216">
        <v>5.6759000000000004</v>
      </c>
      <c r="Z70" s="212">
        <v>5.4420999999999999</v>
      </c>
      <c r="AA70" s="86">
        <v>480</v>
      </c>
      <c r="AB70" s="212">
        <f>(($H$17-$W$8)*(Z73-Y73))/($W$9-$W$8)+Y73</f>
        <v>5.8572619999999995</v>
      </c>
    </row>
    <row r="71" spans="25:28" x14ac:dyDescent="0.25">
      <c r="Y71" s="216">
        <v>5.7427999999999999</v>
      </c>
      <c r="Z71" s="212">
        <v>5.5286</v>
      </c>
      <c r="AA71" s="86">
        <v>490</v>
      </c>
      <c r="AB71" s="212">
        <f>(($H$17-$W$8)*(Z74-Y74))/($W$9-$W$8)+Y74</f>
        <v>5.91066</v>
      </c>
    </row>
    <row r="72" spans="25:28" x14ac:dyDescent="0.25">
      <c r="Y72" s="216">
        <v>5.8041999999999998</v>
      </c>
      <c r="Z72" s="212">
        <v>5.6051000000000002</v>
      </c>
      <c r="AA72" s="86">
        <v>500</v>
      </c>
      <c r="AB72" s="212">
        <f>(($H$17-$W$8)*(Z75-Y75))/($W$9-$W$8)+Y75</f>
        <v>5.9608280000000002</v>
      </c>
    </row>
    <row r="73" spans="25:28" x14ac:dyDescent="0.25">
      <c r="Y73" s="216">
        <v>5.8609999999999998</v>
      </c>
      <c r="Z73" s="212">
        <v>5.6741000000000001</v>
      </c>
      <c r="AA73" s="86">
        <v>520</v>
      </c>
      <c r="AB73" s="212">
        <f>(($H$17-$W$8)*(Z76-Y76))/($W$9-$W$8)+Y76</f>
        <v>6.0537899999999993</v>
      </c>
    </row>
    <row r="74" spans="25:28" x14ac:dyDescent="0.25">
      <c r="Y74" s="216">
        <v>5.9142000000000001</v>
      </c>
      <c r="Z74" s="212">
        <v>5.7371999999999996</v>
      </c>
      <c r="AA74" s="86">
        <v>540</v>
      </c>
      <c r="AB74" s="212">
        <f>(($H$17-$W$8)*(Z77-Y77))/($W$9-$W$8)+Y77</f>
        <v>6.1386900000000004</v>
      </c>
    </row>
    <row r="75" spans="25:28" x14ac:dyDescent="0.25">
      <c r="Y75" s="216">
        <v>5.9641999999999999</v>
      </c>
      <c r="Z75" s="212">
        <v>5.7956000000000003</v>
      </c>
      <c r="AA75" s="86">
        <v>560</v>
      </c>
      <c r="AB75" s="212">
        <f>(($H$17-$W$8)*(Z78-Y78))/($W$9-$W$8)+Y78</f>
        <v>6.2174459999999998</v>
      </c>
    </row>
    <row r="76" spans="25:28" x14ac:dyDescent="0.25">
      <c r="Y76" s="216">
        <v>6.0568999999999997</v>
      </c>
      <c r="Z76" s="212">
        <v>5.9013999999999998</v>
      </c>
      <c r="AA76" s="86">
        <v>580</v>
      </c>
      <c r="AB76" s="212">
        <f>(($H$17-$W$8)*(Z79-Y79))/($W$9-$W$8)+Y79</f>
        <v>6.2913699999999997</v>
      </c>
    </row>
    <row r="77" spans="25:28" x14ac:dyDescent="0.25">
      <c r="Y77" s="216">
        <v>6.1416000000000004</v>
      </c>
      <c r="Z77" s="212">
        <v>5.9961000000000002</v>
      </c>
      <c r="AA77" s="86">
        <v>600</v>
      </c>
      <c r="AB77" s="212">
        <f>(($H$17-$W$8)*(Z80-Y80))/($W$9-$W$8)+Y80</f>
        <v>6.3611719999999998</v>
      </c>
    </row>
    <row r="78" spans="25:28" x14ac:dyDescent="0.25">
      <c r="Y78" s="216">
        <v>6.2202000000000002</v>
      </c>
      <c r="Z78" s="212">
        <v>6.0824999999999996</v>
      </c>
      <c r="AA78" s="86">
        <v>620</v>
      </c>
      <c r="AB78" s="212">
        <f>(($H$17-$W$8)*(Z81-Y81))/($W$9-$W$8)+Y81</f>
        <v>6.4275579999999994</v>
      </c>
    </row>
    <row r="79" spans="25:28" x14ac:dyDescent="0.25">
      <c r="Y79" s="216">
        <v>6.2939999999999996</v>
      </c>
      <c r="Z79" s="212">
        <v>6.1624999999999996</v>
      </c>
      <c r="AA79" s="86">
        <v>640</v>
      </c>
      <c r="AB79" s="212">
        <f>(($H$17-$W$8)*(Z82-Y82))/($W$9-$W$8)+Y82</f>
        <v>6.4911300000000001</v>
      </c>
    </row>
    <row r="80" spans="25:28" x14ac:dyDescent="0.25">
      <c r="Y80" s="216">
        <v>6.3636999999999997</v>
      </c>
      <c r="Z80" s="212">
        <v>6.2373000000000003</v>
      </c>
      <c r="AA80" s="86">
        <v>660</v>
      </c>
      <c r="AB80" s="212">
        <f>(($H$17-$W$8)*(Z83-Y83))/($W$9-$W$8)+Y83</f>
        <v>6.5521919999999998</v>
      </c>
    </row>
    <row r="81" spans="25:28" x14ac:dyDescent="0.25">
      <c r="Y81" s="216">
        <v>6.43</v>
      </c>
      <c r="Z81" s="212">
        <v>6.3079000000000001</v>
      </c>
      <c r="AA81" s="86">
        <v>680</v>
      </c>
      <c r="AB81" s="212">
        <f>(($H$17-$W$8)*(Z84-Y84))/($W$9-$W$8)+Y84</f>
        <v>6.611046</v>
      </c>
    </row>
    <row r="82" spans="25:28" x14ac:dyDescent="0.25">
      <c r="Y82" s="216">
        <v>6.4935</v>
      </c>
      <c r="Z82" s="212">
        <v>6.375</v>
      </c>
      <c r="AA82" s="86">
        <v>700</v>
      </c>
      <c r="AB82" s="212">
        <f>(($H$17-$W$8)*(Z85-Y85))/($W$9-$W$8)+Y85</f>
        <v>6.6679919999999999</v>
      </c>
    </row>
    <row r="83" spans="25:28" x14ac:dyDescent="0.25">
      <c r="Y83" s="216">
        <v>6.5545</v>
      </c>
      <c r="Z83" s="212">
        <v>6.4390999999999998</v>
      </c>
      <c r="AA83" s="86">
        <v>720</v>
      </c>
      <c r="AB83" s="212">
        <f>(($H$17-$W$8)*(Z86-Y86))/($W$9-$W$8)+Y86</f>
        <v>6.7232339999999997</v>
      </c>
    </row>
    <row r="84" spans="25:28" x14ac:dyDescent="0.25">
      <c r="Y84" s="216">
        <v>6.6132999999999997</v>
      </c>
      <c r="Z84" s="212">
        <v>6.5006000000000004</v>
      </c>
      <c r="AA84" s="86">
        <v>740</v>
      </c>
      <c r="AB84" s="212">
        <f>(($H$17-$W$8)*(Z87-Y87))/($W$9-$W$8)+Y87</f>
        <v>6.7769699999999995</v>
      </c>
    </row>
    <row r="85" spans="25:28" x14ac:dyDescent="0.25">
      <c r="Y85" s="216">
        <v>6.6702000000000004</v>
      </c>
      <c r="Z85" s="212">
        <v>6.5598000000000001</v>
      </c>
      <c r="AA85" s="86">
        <v>760</v>
      </c>
      <c r="AB85" s="212">
        <f>(($H$17-$W$8)*(Z88-Y88))/($W$9-$W$8)+Y88</f>
        <v>6.8292019999999996</v>
      </c>
    </row>
    <row r="86" spans="25:28" x14ac:dyDescent="0.25">
      <c r="Y86" s="216">
        <v>6.7253999999999996</v>
      </c>
      <c r="Z86" s="212">
        <v>6.6170999999999998</v>
      </c>
      <c r="AA86" s="86">
        <v>780</v>
      </c>
      <c r="AB86" s="212">
        <f>(($H$17-$W$8)*(Z89-Y89))/($W$9-$W$8)+Y89</f>
        <v>6.8802319999999995</v>
      </c>
    </row>
    <row r="87" spans="25:28" x14ac:dyDescent="0.25">
      <c r="Y87" s="216">
        <v>6.7790999999999997</v>
      </c>
      <c r="Z87" s="212">
        <v>6.6726000000000001</v>
      </c>
      <c r="AA87" s="86">
        <v>800</v>
      </c>
      <c r="AB87" s="212">
        <f>(($H$17-$W$8)*(Z90-Y90))/($W$9-$W$8)+Y90</f>
        <v>6.9301560000000002</v>
      </c>
    </row>
    <row r="88" spans="25:28" x14ac:dyDescent="0.25">
      <c r="Y88" s="216">
        <v>6.8312999999999997</v>
      </c>
      <c r="Z88" s="212">
        <v>6.7263999999999999</v>
      </c>
      <c r="AA88" s="86">
        <v>820</v>
      </c>
      <c r="AB88" s="212">
        <f>(($H$17-$W$8)*(Z91-Y91))/($W$9-$W$8)+Y91</f>
        <v>6.97898</v>
      </c>
    </row>
    <row r="89" spans="25:28" x14ac:dyDescent="0.25">
      <c r="Y89" s="216">
        <v>6.8822999999999999</v>
      </c>
      <c r="Z89" s="212">
        <v>6.7789000000000001</v>
      </c>
      <c r="AA89" s="86">
        <v>840</v>
      </c>
      <c r="AB89" s="212">
        <f>(($H$17-$W$8)*(Z92-Y92))/($W$9-$W$8)+Y92</f>
        <v>7.0267019999999993</v>
      </c>
    </row>
    <row r="90" spans="25:28" x14ac:dyDescent="0.25">
      <c r="Y90" s="216">
        <v>6.9321999999999999</v>
      </c>
      <c r="Z90" s="212">
        <v>6.83</v>
      </c>
      <c r="AA90" s="86">
        <v>860</v>
      </c>
      <c r="AB90" s="212">
        <f>(($H$17-$W$8)*(Z93-Y93))/($W$9-$W$8)+Y93</f>
        <v>7.07362</v>
      </c>
    </row>
    <row r="91" spans="25:28" x14ac:dyDescent="0.25">
      <c r="Y91" s="216">
        <v>6.9809999999999999</v>
      </c>
      <c r="Z91" s="212">
        <v>6.88</v>
      </c>
      <c r="AA91" s="86">
        <v>880</v>
      </c>
      <c r="AB91" s="212">
        <f>(($H$17-$W$8)*(Z94-Y94))/($W$9-$W$8)+Y94</f>
        <v>7.1196380000000001</v>
      </c>
    </row>
    <row r="92" spans="25:28" x14ac:dyDescent="0.25">
      <c r="Y92" s="216">
        <v>7.0286999999999997</v>
      </c>
      <c r="Z92" s="212">
        <v>6.9287999999999998</v>
      </c>
      <c r="AA92" s="86">
        <v>900</v>
      </c>
      <c r="AB92" s="212">
        <f>(($H$17-$W$8)*(Z95-Y95))/($W$9-$W$8)+Y95</f>
        <v>7.1648540000000001</v>
      </c>
    </row>
    <row r="93" spans="25:28" x14ac:dyDescent="0.25">
      <c r="Y93" s="216">
        <v>7.0755999999999997</v>
      </c>
      <c r="Z93" s="212">
        <v>6.9766000000000004</v>
      </c>
      <c r="AA93" s="86">
        <v>920</v>
      </c>
      <c r="AB93" s="212">
        <f>(($H$17-$W$8)*(Z96-Y96))/($W$9-$W$8)+Y96</f>
        <v>7.2092700000000001</v>
      </c>
    </row>
    <row r="94" spans="25:28" x14ac:dyDescent="0.25">
      <c r="Y94" s="216">
        <v>7.1215999999999999</v>
      </c>
      <c r="Z94" s="212">
        <v>7.0235000000000003</v>
      </c>
      <c r="AA94" s="86">
        <v>940</v>
      </c>
      <c r="AB94" s="212">
        <f>(($H$17-$W$8)*(Z97-Y97))/($W$9-$W$8)+Y97</f>
        <v>7.2529840000000005</v>
      </c>
    </row>
    <row r="95" spans="25:28" x14ac:dyDescent="0.25">
      <c r="Y95" s="217">
        <v>7.1668000000000003</v>
      </c>
      <c r="Z95" s="212">
        <v>7.0694999999999997</v>
      </c>
      <c r="AA95" s="86">
        <v>960</v>
      </c>
      <c r="AB95" s="212">
        <f>(($H$17-$W$8)*(Z98-Y98))/($W$9-$W$8)+Y98</f>
        <v>7.2959960000000006</v>
      </c>
    </row>
    <row r="96" spans="25:28" x14ac:dyDescent="0.25">
      <c r="Y96" s="217">
        <v>7.2111999999999998</v>
      </c>
      <c r="Z96" s="212">
        <v>7.1147</v>
      </c>
      <c r="AA96" s="86">
        <v>980</v>
      </c>
      <c r="AB96" s="212">
        <f>(($H$17-$W$8)*(Z99-Y99))/($W$9-$W$8)+Y99</f>
        <v>7.3384080000000003</v>
      </c>
    </row>
    <row r="97" spans="25:28" x14ac:dyDescent="0.25">
      <c r="Y97" s="217">
        <v>7.2549000000000001</v>
      </c>
      <c r="Z97" s="212">
        <v>7.1590999999999996</v>
      </c>
      <c r="AA97" s="86">
        <v>1000</v>
      </c>
      <c r="AB97" s="212">
        <f>(($H$17-$W$8)*(Z100-Y100))/($W$9-$W$8)+Y100</f>
        <v>7.3801199999999998</v>
      </c>
    </row>
    <row r="98" spans="25:28" x14ac:dyDescent="0.25">
      <c r="Y98" s="217">
        <v>7.2979000000000003</v>
      </c>
      <c r="Z98" s="212">
        <v>7.2027000000000001</v>
      </c>
      <c r="AA98" s="87"/>
    </row>
    <row r="99" spans="25:28" x14ac:dyDescent="0.25">
      <c r="Y99" s="212">
        <v>7.3403</v>
      </c>
      <c r="Z99" s="212">
        <v>7.2457000000000003</v>
      </c>
      <c r="AA99" s="87"/>
    </row>
    <row r="100" spans="25:28" x14ac:dyDescent="0.25">
      <c r="Y100" s="212">
        <v>7.3819999999999997</v>
      </c>
      <c r="Z100" s="212">
        <v>7.2880000000000003</v>
      </c>
    </row>
    <row r="187" spans="1:24" ht="20.399999999999999" x14ac:dyDescent="0.25">
      <c r="C187" s="168" t="s">
        <v>149</v>
      </c>
      <c r="D187" s="168"/>
      <c r="E187" s="168"/>
      <c r="F187" s="168"/>
      <c r="G187" s="168"/>
      <c r="H187" s="168"/>
      <c r="I187" s="168"/>
      <c r="J187" s="168"/>
      <c r="N187" s="162" t="s">
        <v>147</v>
      </c>
      <c r="O187" s="162"/>
      <c r="P187" s="162"/>
      <c r="Q187" s="162"/>
      <c r="R187" s="162"/>
      <c r="S187" s="162"/>
      <c r="V187" s="129"/>
      <c r="W187" s="126"/>
      <c r="X187" s="126"/>
    </row>
    <row r="188" spans="1:24" ht="17.399999999999999" x14ac:dyDescent="0.25">
      <c r="D188" s="180" t="s">
        <v>150</v>
      </c>
      <c r="E188" s="180"/>
      <c r="F188" s="180"/>
      <c r="G188" s="180"/>
      <c r="H188" s="180"/>
      <c r="N188" s="163" t="s">
        <v>148</v>
      </c>
      <c r="O188" s="163"/>
      <c r="P188" s="163"/>
      <c r="Q188" s="163"/>
      <c r="R188" s="163"/>
      <c r="S188" s="163"/>
      <c r="V188" s="129"/>
      <c r="W188" s="126"/>
      <c r="X188" s="126"/>
    </row>
    <row r="189" spans="1:24" ht="20.399999999999999" x14ac:dyDescent="0.25">
      <c r="A189" s="169" t="s">
        <v>117</v>
      </c>
      <c r="B189" s="169"/>
      <c r="C189" s="169"/>
      <c r="D189" s="134">
        <v>300</v>
      </c>
      <c r="E189" s="171"/>
      <c r="F189" s="179"/>
      <c r="G189" s="179"/>
      <c r="H189" s="68"/>
      <c r="I189" s="68"/>
      <c r="J189" s="68"/>
      <c r="K189" s="68"/>
      <c r="L189" s="68"/>
      <c r="O189" s="169" t="s">
        <v>144</v>
      </c>
      <c r="P189" s="169"/>
      <c r="Q189" s="169"/>
      <c r="R189" s="132">
        <f>H15</f>
        <v>900</v>
      </c>
      <c r="V189" s="129"/>
      <c r="W189" s="126"/>
      <c r="X189" s="126"/>
    </row>
    <row r="190" spans="1:24" ht="20.399999999999999" x14ac:dyDescent="0.25">
      <c r="A190" s="166" t="s">
        <v>116</v>
      </c>
      <c r="B190" s="166"/>
      <c r="C190" s="166"/>
      <c r="D190" s="67">
        <f>LinInterp($D$189,Sat_T_based!A5:A379,Sat_T_based!B5:B379)*1000</f>
        <v>8587.9</v>
      </c>
      <c r="E190" s="166" t="s">
        <v>114</v>
      </c>
      <c r="F190" s="166"/>
      <c r="G190" s="166"/>
      <c r="H190" s="166" t="s">
        <v>115</v>
      </c>
      <c r="I190" s="166"/>
      <c r="J190" s="166"/>
      <c r="K190" s="170"/>
      <c r="L190" s="170"/>
      <c r="O190" s="169" t="s">
        <v>117</v>
      </c>
      <c r="P190" s="169"/>
      <c r="Q190" s="169"/>
      <c r="R190" s="132">
        <f>H13</f>
        <v>0</v>
      </c>
      <c r="S190" s="136"/>
      <c r="T190" s="137"/>
      <c r="X190" s="129"/>
    </row>
    <row r="191" spans="1:24" ht="19.8" x14ac:dyDescent="0.25">
      <c r="A191" s="166" t="s">
        <v>124</v>
      </c>
      <c r="B191" s="166"/>
      <c r="C191" s="166"/>
      <c r="D191" s="166"/>
      <c r="E191" s="127" t="s">
        <v>132</v>
      </c>
      <c r="F191" s="167">
        <f>LinInterp($D$189,Sat_T_based!A5:A379,Sat_T_based!G5:G379)</f>
        <v>1345</v>
      </c>
      <c r="G191" s="167"/>
      <c r="H191" s="127" t="s">
        <v>133</v>
      </c>
      <c r="I191" s="167">
        <f>LinInterp($D$189,Sat_T_based!A5:A379,Sat_T_based!H5:H379)</f>
        <v>2749.6</v>
      </c>
      <c r="J191" s="167"/>
      <c r="K191" s="127" t="s">
        <v>134</v>
      </c>
      <c r="L191" s="128">
        <f>I191-F191</f>
        <v>1404.6</v>
      </c>
      <c r="N191" s="174" t="s">
        <v>125</v>
      </c>
      <c r="O191" s="174"/>
      <c r="P191" s="174"/>
      <c r="Q191" s="174"/>
      <c r="R191" s="172">
        <f>ROUND(LinInterp(R189,AN199:AN200,AQ199:AQ200),2)</f>
        <v>0.87</v>
      </c>
      <c r="S191" s="173"/>
      <c r="X191" s="129"/>
    </row>
    <row r="192" spans="1:24" ht="19.8" x14ac:dyDescent="0.25">
      <c r="A192" s="166" t="s">
        <v>129</v>
      </c>
      <c r="B192" s="166"/>
      <c r="C192" s="166"/>
      <c r="D192" s="166"/>
      <c r="E192" s="127" t="s">
        <v>135</v>
      </c>
      <c r="F192" s="167">
        <f>LinInterp($D$189,Sat_T_based!A5:A379,Sat_T_based!C5:C379)</f>
        <v>1.40423E-3</v>
      </c>
      <c r="G192" s="167"/>
      <c r="H192" s="127" t="s">
        <v>136</v>
      </c>
      <c r="I192" s="167">
        <f>LinInterp($D$189,Sat_T_based!A5:A379,Sat_T_based!D5:D379)</f>
        <v>2.1659999999999999E-2</v>
      </c>
      <c r="J192" s="167"/>
      <c r="K192" s="127"/>
      <c r="L192" s="128"/>
      <c r="N192" s="174" t="s">
        <v>130</v>
      </c>
      <c r="O192" s="174"/>
      <c r="P192" s="174"/>
      <c r="Q192" s="174"/>
      <c r="R192" s="172">
        <f>LinInterp(R189,AN199:AN200,AO199:AO200)</f>
        <v>9.9974999999999999E-4</v>
      </c>
      <c r="S192" s="175"/>
      <c r="X192" s="129"/>
    </row>
    <row r="193" spans="1:45" ht="19.8" x14ac:dyDescent="0.25">
      <c r="A193" s="166" t="s">
        <v>122</v>
      </c>
      <c r="B193" s="166"/>
      <c r="C193" s="166"/>
      <c r="D193" s="166"/>
      <c r="E193" s="127" t="s">
        <v>137</v>
      </c>
      <c r="F193" s="167">
        <f>LinInterp($D$189,Sat_T_based!A5:A379,Sat_T_based!J5:J379)</f>
        <v>3.2551999999999999</v>
      </c>
      <c r="G193" s="167"/>
      <c r="H193" s="127" t="s">
        <v>138</v>
      </c>
      <c r="I193" s="167">
        <f>LinInterp($D$189,Sat_T_based!A5:A379,Sat_T_based!K5:K379)</f>
        <v>5.7058999999999997</v>
      </c>
      <c r="J193" s="167"/>
      <c r="K193" s="127" t="s">
        <v>139</v>
      </c>
      <c r="L193" s="128">
        <f>I193-F193</f>
        <v>2.4506999999999999</v>
      </c>
      <c r="N193" s="176" t="s">
        <v>131</v>
      </c>
      <c r="O193" s="177"/>
      <c r="P193" s="177"/>
      <c r="Q193" s="178"/>
      <c r="R193" s="172">
        <f>ROUND(1/R192,2)</f>
        <v>1000.25</v>
      </c>
      <c r="S193" s="175"/>
      <c r="X193" s="129"/>
    </row>
    <row r="194" spans="1:45" ht="19.8" x14ac:dyDescent="0.25">
      <c r="A194" s="166" t="s">
        <v>123</v>
      </c>
      <c r="B194" s="166"/>
      <c r="C194" s="166"/>
      <c r="D194" s="166"/>
      <c r="E194" s="127" t="s">
        <v>140</v>
      </c>
      <c r="F194" s="167">
        <f>LinInterp($D$189,Sat_T_based!A5:A379,Sat_T_based!E5:E379)</f>
        <v>1332.9</v>
      </c>
      <c r="G194" s="167"/>
      <c r="H194" s="127" t="s">
        <v>141</v>
      </c>
      <c r="I194" s="167">
        <f>LinInterp($D$189,Sat_T_based!A5:A379,Sat_T_based!F5:F379)</f>
        <v>2563.6</v>
      </c>
      <c r="J194" s="167"/>
      <c r="K194" s="127" t="s">
        <v>142</v>
      </c>
      <c r="L194" s="128">
        <f>I194-F194</f>
        <v>1230.6999999999998</v>
      </c>
      <c r="N194" s="174" t="s">
        <v>121</v>
      </c>
      <c r="O194" s="174"/>
      <c r="P194" s="174"/>
      <c r="Q194" s="174"/>
      <c r="R194" s="172">
        <f>ROUND(LinInterp(R189,AN199:AN200,AR199:AR200),2)</f>
        <v>0</v>
      </c>
      <c r="S194" s="175"/>
      <c r="X194" s="129"/>
    </row>
    <row r="195" spans="1:45" ht="20.399999999999999" x14ac:dyDescent="0.25">
      <c r="C195" s="168" t="s">
        <v>151</v>
      </c>
      <c r="D195" s="168"/>
      <c r="E195" s="168"/>
      <c r="F195" s="168"/>
      <c r="G195" s="168"/>
      <c r="H195" s="168"/>
      <c r="I195" s="168"/>
      <c r="J195" s="168"/>
      <c r="N195" s="166" t="s">
        <v>123</v>
      </c>
      <c r="O195" s="166"/>
      <c r="P195" s="166"/>
      <c r="Q195" s="166"/>
      <c r="R195" s="172">
        <f>LinInterp(R189,AN199:AN200,AP199:AP200)</f>
        <v>-0.03</v>
      </c>
      <c r="S195" s="175"/>
      <c r="X195" s="129"/>
    </row>
    <row r="196" spans="1:45" ht="18" x14ac:dyDescent="0.25">
      <c r="E196" s="180" t="s">
        <v>152</v>
      </c>
      <c r="F196" s="180"/>
      <c r="G196" s="180"/>
      <c r="H196" s="180"/>
      <c r="N196" s="174" t="s">
        <v>128</v>
      </c>
      <c r="O196" s="174"/>
      <c r="P196" s="174"/>
      <c r="Q196" s="174"/>
      <c r="R196" s="172" t="e">
        <f>IF(R192&lt;vf,0,IF(R192&gt;AO202,1,((R192-vf)/(AO202-vf))))</f>
        <v>#VALUE!</v>
      </c>
      <c r="S196" s="175"/>
      <c r="X196" s="129"/>
      <c r="AD196" s="129"/>
      <c r="AE196" s="129"/>
      <c r="AF196" s="129"/>
      <c r="AG196" s="129"/>
      <c r="AH196" s="129"/>
      <c r="AI196" s="129"/>
      <c r="AJ196" s="129"/>
      <c r="AK196" s="129"/>
      <c r="AL196" s="129"/>
      <c r="AM196" s="129"/>
      <c r="AN196" s="129"/>
      <c r="AO196" s="129"/>
      <c r="AP196" s="129"/>
      <c r="AQ196" s="129"/>
      <c r="AR196" s="129"/>
      <c r="AS196" s="126"/>
    </row>
    <row r="197" spans="1:45" ht="18" x14ac:dyDescent="0.25">
      <c r="A197" s="169" t="s">
        <v>118</v>
      </c>
      <c r="B197" s="169"/>
      <c r="C197" s="169"/>
      <c r="D197" s="135">
        <f>H15</f>
        <v>900</v>
      </c>
      <c r="E197" s="171"/>
      <c r="F197" s="171"/>
      <c r="G197" s="171"/>
      <c r="H197" s="171"/>
      <c r="N197" s="174" t="s">
        <v>120</v>
      </c>
      <c r="O197" s="174"/>
      <c r="P197" s="174"/>
      <c r="Q197" s="174"/>
      <c r="R197" s="172" t="str">
        <f>IF(AA46&gt;AA45,"Steam",IF(AA45&gt;AA46,"Liquid/Mixture",IF(AA45=AA46,"Mixture","invalid")))</f>
        <v>Steam</v>
      </c>
      <c r="S197" s="175"/>
      <c r="X197" s="129"/>
      <c r="AD197" s="129"/>
      <c r="AE197" s="129"/>
      <c r="AF197" s="129"/>
      <c r="AG197" s="129"/>
      <c r="AH197" s="129"/>
      <c r="AI197" s="129"/>
      <c r="AJ197" s="129"/>
      <c r="AK197" s="129"/>
      <c r="AL197" s="129"/>
      <c r="AM197" s="129"/>
      <c r="AN197" s="129"/>
      <c r="AO197" s="129"/>
      <c r="AP197" s="129"/>
      <c r="AQ197" s="129"/>
      <c r="AR197" s="129"/>
      <c r="AS197" s="126"/>
    </row>
    <row r="198" spans="1:45" ht="18.600000000000001" x14ac:dyDescent="0.35">
      <c r="A198" s="166" t="s">
        <v>119</v>
      </c>
      <c r="B198" s="166"/>
      <c r="C198" s="166"/>
      <c r="D198" s="67">
        <f>LinInterp($D$197/1000,Sat_P_based!A5:A277,Sat_P_based!B5:B277)</f>
        <v>175.35</v>
      </c>
      <c r="E198" s="166" t="s">
        <v>114</v>
      </c>
      <c r="F198" s="166"/>
      <c r="G198" s="166"/>
      <c r="H198" s="166" t="s">
        <v>115</v>
      </c>
      <c r="I198" s="166"/>
      <c r="J198" s="166"/>
      <c r="K198" s="170"/>
      <c r="L198" s="170"/>
      <c r="N198" s="182" t="s">
        <v>143</v>
      </c>
      <c r="O198" s="182"/>
      <c r="P198" s="182"/>
      <c r="Q198" s="182"/>
      <c r="R198" s="187" t="e">
        <f xml:space="preserve"> [1]!Cp_pT(R189,R190)</f>
        <v>#VALUE!</v>
      </c>
      <c r="S198" s="187"/>
      <c r="AD198" s="129"/>
      <c r="AE198" s="129"/>
      <c r="AF198" s="129"/>
      <c r="AG198" s="129"/>
      <c r="AH198" s="129"/>
      <c r="AI198" s="129"/>
      <c r="AJ198" s="129"/>
      <c r="AK198" s="129"/>
      <c r="AL198" s="129"/>
      <c r="AM198" s="129"/>
      <c r="AN198" s="129"/>
      <c r="AO198" s="129"/>
      <c r="AP198" s="129"/>
      <c r="AQ198" s="129"/>
      <c r="AR198" s="129"/>
      <c r="AS198" s="126"/>
    </row>
    <row r="199" spans="1:45" ht="20.399999999999999" x14ac:dyDescent="0.25">
      <c r="A199" s="166" t="s">
        <v>124</v>
      </c>
      <c r="B199" s="166"/>
      <c r="C199" s="166"/>
      <c r="D199" s="166"/>
      <c r="E199" s="127" t="s">
        <v>132</v>
      </c>
      <c r="F199" s="167">
        <f>LinInterp($D$197/1000,Sat_P_based!A5:A277,Sat_P_based!G5:G277)</f>
        <v>742.56</v>
      </c>
      <c r="G199" s="167"/>
      <c r="H199" s="127" t="s">
        <v>133</v>
      </c>
      <c r="I199" s="167">
        <f>LinInterp($D$197/1000,Sat_P_based!A5:A277,Sat_P_based!H5:H277)</f>
        <v>2773</v>
      </c>
      <c r="J199" s="167"/>
      <c r="K199" s="127" t="s">
        <v>134</v>
      </c>
      <c r="L199" s="128">
        <f>I199-F199</f>
        <v>2030.44</v>
      </c>
      <c r="N199" s="165" t="s">
        <v>147</v>
      </c>
      <c r="O199" s="165"/>
      <c r="P199" s="165"/>
      <c r="Q199" s="165"/>
      <c r="R199" s="165"/>
      <c r="S199" s="165"/>
      <c r="T199" s="139"/>
      <c r="AD199" s="129"/>
      <c r="AE199" s="129"/>
      <c r="AF199" s="129">
        <f>vA(R189,R190)</f>
        <v>9.9974999999999999E-4</v>
      </c>
      <c r="AG199" s="129">
        <f>vb(R189,R190)</f>
        <v>9.9970000000000007E-4</v>
      </c>
      <c r="AH199" s="129"/>
      <c r="AI199" s="129"/>
      <c r="AJ199" s="129"/>
      <c r="AK199" s="129"/>
      <c r="AL199" s="129"/>
      <c r="AM199" s="129"/>
      <c r="AN199" s="129">
        <f>LNo(R189)</f>
        <v>900</v>
      </c>
      <c r="AO199" s="129">
        <f>AF199</f>
        <v>9.9974999999999999E-4</v>
      </c>
      <c r="AP199" s="129">
        <f>AF200</f>
        <v>-0.03</v>
      </c>
      <c r="AQ199" s="129">
        <f>AF201</f>
        <v>0.87</v>
      </c>
      <c r="AR199" s="129">
        <f>AF202</f>
        <v>-9.0000000000000006E-5</v>
      </c>
      <c r="AS199" s="126"/>
    </row>
    <row r="200" spans="1:45" ht="19.8" x14ac:dyDescent="0.25">
      <c r="A200" s="166" t="s">
        <v>129</v>
      </c>
      <c r="B200" s="166"/>
      <c r="C200" s="166"/>
      <c r="D200" s="166"/>
      <c r="E200" s="127" t="s">
        <v>135</v>
      </c>
      <c r="F200" s="167">
        <f>LinInterp($D$197/1000,Sat_P_based!A5:A277,Sat_P_based!C5:C277)</f>
        <v>1.12118E-3</v>
      </c>
      <c r="G200" s="167"/>
      <c r="H200" s="127" t="s">
        <v>136</v>
      </c>
      <c r="I200" s="167">
        <f>LinInterp($D$197/1000,Sat_P_based!A5:A277,Sat_P_based!D5:D277)</f>
        <v>0.21489</v>
      </c>
      <c r="J200" s="167"/>
      <c r="K200" s="127"/>
      <c r="L200" s="128"/>
      <c r="N200" s="164" t="s">
        <v>156</v>
      </c>
      <c r="O200" s="164"/>
      <c r="P200" s="164"/>
      <c r="Q200" s="164"/>
      <c r="R200" s="164"/>
      <c r="S200" s="164"/>
      <c r="AD200" s="129"/>
      <c r="AE200" s="129"/>
      <c r="AF200" s="129">
        <f>uA(R189,R190)</f>
        <v>-0.03</v>
      </c>
      <c r="AG200" s="129">
        <f>ub(R189,R190)</f>
        <v>-0.02</v>
      </c>
      <c r="AH200" s="129"/>
      <c r="AI200" s="129"/>
      <c r="AJ200" s="129"/>
      <c r="AK200" s="129"/>
      <c r="AL200" s="129"/>
      <c r="AM200" s="129"/>
      <c r="AN200" s="129">
        <f>UNo(R189)</f>
        <v>1000</v>
      </c>
      <c r="AO200" s="129">
        <f>AG199</f>
        <v>9.9970000000000007E-4</v>
      </c>
      <c r="AP200" s="129">
        <f>AG200</f>
        <v>-0.02</v>
      </c>
      <c r="AQ200" s="129">
        <f>AG201</f>
        <v>0.98</v>
      </c>
      <c r="AR200" s="129">
        <f>AG202</f>
        <v>-9.0000000000000006E-5</v>
      </c>
      <c r="AS200" s="126"/>
    </row>
    <row r="201" spans="1:45" ht="21" x14ac:dyDescent="0.25">
      <c r="A201" s="166" t="s">
        <v>122</v>
      </c>
      <c r="B201" s="166"/>
      <c r="C201" s="166"/>
      <c r="D201" s="166"/>
      <c r="E201" s="127" t="s">
        <v>137</v>
      </c>
      <c r="F201" s="167">
        <f>LinInterp($D$197/1000,Sat_P_based!A5:A277,Sat_P_based!J5:J277)</f>
        <v>2.0939999999999999</v>
      </c>
      <c r="G201" s="167"/>
      <c r="H201" s="127" t="s">
        <v>138</v>
      </c>
      <c r="I201" s="167">
        <f>LinInterp($D$197/1000,Sat_P_based!A5:A277,Sat_P_based!K5:K277)</f>
        <v>6.6212999999999997</v>
      </c>
      <c r="J201" s="167"/>
      <c r="K201" s="127" t="s">
        <v>139</v>
      </c>
      <c r="L201" s="128">
        <f>I201-F201</f>
        <v>4.5273000000000003</v>
      </c>
      <c r="O201" s="169" t="s">
        <v>144</v>
      </c>
      <c r="P201" s="169"/>
      <c r="Q201" s="169"/>
      <c r="R201" s="133">
        <v>15130</v>
      </c>
      <c r="AD201" s="129"/>
      <c r="AE201" s="129"/>
      <c r="AF201" s="129">
        <f>hA(R189,R190)</f>
        <v>0.87</v>
      </c>
      <c r="AG201" s="129">
        <f>hb(R189,R190)</f>
        <v>0.98</v>
      </c>
      <c r="AH201" s="129"/>
      <c r="AI201" s="129"/>
      <c r="AJ201" s="129"/>
      <c r="AK201" s="129"/>
      <c r="AL201" s="129"/>
      <c r="AM201" s="129"/>
      <c r="AN201" s="129"/>
      <c r="AO201" s="129"/>
      <c r="AP201" s="129"/>
      <c r="AQ201" s="129"/>
      <c r="AR201" s="129"/>
      <c r="AS201" s="126"/>
    </row>
    <row r="202" spans="1:45" ht="21" x14ac:dyDescent="0.25">
      <c r="A202" s="166" t="s">
        <v>123</v>
      </c>
      <c r="B202" s="166"/>
      <c r="C202" s="166"/>
      <c r="D202" s="166"/>
      <c r="E202" s="127" t="s">
        <v>140</v>
      </c>
      <c r="F202" s="167">
        <f>LinInterp($D$197/1000,Sat_P_based!A5:A277,Sat_P_based!E5:E277)</f>
        <v>741.55</v>
      </c>
      <c r="G202" s="167"/>
      <c r="H202" s="127" t="s">
        <v>141</v>
      </c>
      <c r="I202" s="167">
        <f>LinInterp($D$197/1000,Sat_P_based!A5:A277,Sat_P_based!F5:F277)</f>
        <v>2579.6</v>
      </c>
      <c r="J202" s="167"/>
      <c r="K202" s="127" t="s">
        <v>142</v>
      </c>
      <c r="L202" s="128">
        <f>I202-F202</f>
        <v>1838.05</v>
      </c>
      <c r="O202" s="169" t="s">
        <v>145</v>
      </c>
      <c r="P202" s="169"/>
      <c r="Q202" s="169"/>
      <c r="R202" s="133">
        <v>2800</v>
      </c>
      <c r="T202" s="186"/>
      <c r="U202" s="186"/>
      <c r="AD202" s="129"/>
      <c r="AE202" s="129"/>
      <c r="AF202" s="129">
        <f>sA(R189,R190)</f>
        <v>-9.0000000000000006E-5</v>
      </c>
      <c r="AG202" s="129">
        <f>sb(R189,R190)</f>
        <v>-9.0000000000000006E-5</v>
      </c>
      <c r="AH202" s="129"/>
      <c r="AI202" s="129"/>
      <c r="AJ202" s="129"/>
      <c r="AK202" s="129"/>
      <c r="AL202" s="129"/>
      <c r="AM202" s="129"/>
      <c r="AN202" s="129" t="e">
        <f>LinInterp($R$190,Sat_T_based!A5:A379,Sat_T_based!C5:C379)</f>
        <v>#VALUE!</v>
      </c>
      <c r="AO202" s="129" t="e">
        <f>LinInterp($R$190,Sat_T_based!A5:A379,Sat_T_based!D5:D379)</f>
        <v>#VALUE!</v>
      </c>
      <c r="AP202" s="129"/>
      <c r="AQ202" s="129"/>
      <c r="AR202" s="129"/>
      <c r="AS202" s="126"/>
    </row>
    <row r="203" spans="1:45" ht="20.399999999999999" x14ac:dyDescent="0.25">
      <c r="N203" s="188" t="s">
        <v>146</v>
      </c>
      <c r="O203" s="188"/>
      <c r="P203" s="188"/>
      <c r="Q203" s="188"/>
      <c r="R203" s="181">
        <f>IF(R202&lt;Hf,(AF217-((Hf-R202)/R210)),IF(R202&gt;Hg,((R202-Hg)/R210)+AF217,((R202-Hf)/(Hg-Hf))))</f>
        <v>373.93274023590459</v>
      </c>
      <c r="S203" s="172"/>
      <c r="AD203" s="129"/>
      <c r="AE203" s="129"/>
      <c r="AF203" s="129"/>
      <c r="AG203" s="129"/>
      <c r="AH203" s="129"/>
      <c r="AI203" s="129"/>
      <c r="AJ203" s="129"/>
      <c r="AK203" s="129"/>
      <c r="AL203" s="129"/>
      <c r="AM203" s="129"/>
      <c r="AN203" s="129"/>
      <c r="AO203" s="129"/>
      <c r="AP203" s="129"/>
      <c r="AQ203" s="129"/>
      <c r="AR203" s="129"/>
      <c r="AS203" s="126"/>
    </row>
    <row r="204" spans="1:45" ht="18.600000000000001" x14ac:dyDescent="0.25">
      <c r="N204" s="174" t="s">
        <v>130</v>
      </c>
      <c r="O204" s="174"/>
      <c r="P204" s="174"/>
      <c r="Q204" s="185"/>
      <c r="R204" s="181">
        <f>LinInterp(R201,AP215:AP216,AK215:AK216)</f>
        <v>1.3619776645208409E-2</v>
      </c>
      <c r="S204" s="181"/>
      <c r="AD204" s="129"/>
      <c r="AE204" s="129"/>
      <c r="AF204" s="129"/>
      <c r="AG204" s="129"/>
      <c r="AH204" s="129"/>
      <c r="AI204" s="129"/>
      <c r="AJ204" s="129"/>
      <c r="AK204" s="129"/>
      <c r="AL204" s="129"/>
      <c r="AM204" s="129"/>
      <c r="AN204" s="129"/>
      <c r="AO204" s="129"/>
      <c r="AP204" s="129"/>
      <c r="AQ204" s="129"/>
      <c r="AR204" s="129"/>
      <c r="AS204" s="126"/>
    </row>
    <row r="205" spans="1:45" ht="18.600000000000001" x14ac:dyDescent="0.25">
      <c r="N205" s="176" t="s">
        <v>131</v>
      </c>
      <c r="O205" s="177"/>
      <c r="P205" s="177"/>
      <c r="Q205" s="177"/>
      <c r="R205" s="181">
        <f>ROUND(1/R204,2)</f>
        <v>73.42</v>
      </c>
      <c r="S205" s="181"/>
      <c r="AD205" s="129"/>
      <c r="AE205" s="129"/>
      <c r="AF205" s="129"/>
      <c r="AG205" s="129"/>
      <c r="AH205" s="129"/>
      <c r="AI205" s="129"/>
      <c r="AJ205" s="129"/>
      <c r="AK205" s="129"/>
      <c r="AL205" s="129"/>
      <c r="AM205" s="129"/>
      <c r="AN205" s="129"/>
      <c r="AO205" s="129"/>
      <c r="AP205" s="129"/>
      <c r="AQ205" s="129"/>
      <c r="AR205" s="129"/>
      <c r="AS205" s="126"/>
    </row>
    <row r="206" spans="1:45" ht="18" x14ac:dyDescent="0.25">
      <c r="N206" s="174" t="s">
        <v>121</v>
      </c>
      <c r="O206" s="174"/>
      <c r="P206" s="174"/>
      <c r="Q206" s="185"/>
      <c r="R206" s="181">
        <f>ROUND(LinInterp(R201,AP215:AP216,AM215:AM216),2)</f>
        <v>5.68</v>
      </c>
      <c r="S206" s="181"/>
      <c r="AD206" s="129"/>
      <c r="AE206" s="129"/>
      <c r="AF206" s="129"/>
      <c r="AG206" s="129"/>
      <c r="AH206" s="129"/>
      <c r="AI206" s="129"/>
      <c r="AJ206" s="129"/>
      <c r="AK206" s="129"/>
      <c r="AL206" s="129"/>
      <c r="AM206" s="129"/>
      <c r="AN206" s="129"/>
      <c r="AO206" s="129"/>
      <c r="AP206" s="129"/>
      <c r="AQ206" s="129"/>
      <c r="AR206" s="129"/>
      <c r="AS206" s="126"/>
    </row>
    <row r="207" spans="1:45" ht="18" x14ac:dyDescent="0.25">
      <c r="N207" s="166" t="s">
        <v>123</v>
      </c>
      <c r="O207" s="166"/>
      <c r="P207" s="166"/>
      <c r="Q207" s="184"/>
      <c r="R207" s="181">
        <f>LinInterp(R201,AP215:AP216,AL215:AL216)</f>
        <v>2641.2183978165922</v>
      </c>
      <c r="S207" s="181"/>
      <c r="AD207" s="129"/>
      <c r="AE207" s="129"/>
      <c r="AF207" s="129"/>
      <c r="AG207" s="129"/>
      <c r="AH207" s="129"/>
      <c r="AI207" s="129"/>
      <c r="AJ207" s="129"/>
      <c r="AK207" s="129"/>
      <c r="AL207" s="129"/>
      <c r="AM207" s="129"/>
      <c r="AN207" s="129"/>
      <c r="AO207" s="129"/>
      <c r="AP207" s="129"/>
      <c r="AQ207" s="129"/>
      <c r="AR207" s="129"/>
      <c r="AS207" s="126"/>
    </row>
    <row r="208" spans="1:45" ht="18" x14ac:dyDescent="0.25">
      <c r="N208" s="174" t="s">
        <v>128</v>
      </c>
      <c r="O208" s="174"/>
      <c r="P208" s="174"/>
      <c r="Q208" s="185"/>
      <c r="R208" s="181">
        <f>IF(R204&lt;AK218,0,IF(R204&gt;AL218,1,((R204-AK218)/(AL218-AK218))))</f>
        <v>1</v>
      </c>
      <c r="S208" s="181"/>
      <c r="AD208" s="129"/>
      <c r="AE208" s="129"/>
      <c r="AF208" s="129"/>
      <c r="AG208" s="129"/>
      <c r="AH208" s="129"/>
      <c r="AI208" s="129"/>
      <c r="AJ208" s="129"/>
      <c r="AK208" s="129"/>
      <c r="AL208" s="129"/>
      <c r="AM208" s="129"/>
      <c r="AN208" s="129"/>
      <c r="AO208" s="129"/>
      <c r="AP208" s="129"/>
      <c r="AQ208" s="129"/>
      <c r="AR208" s="129"/>
      <c r="AS208" s="126"/>
    </row>
    <row r="209" spans="13:45" ht="18" x14ac:dyDescent="0.25">
      <c r="N209" s="174" t="s">
        <v>120</v>
      </c>
      <c r="O209" s="174"/>
      <c r="P209" s="174"/>
      <c r="Q209" s="185"/>
      <c r="R209" s="181" t="str">
        <f>IF(AI216&gt;AI215,"steam",IF(AI215&gt;AI216,"Liquid",IF(AI216=AI215,"Mixture","invalid")))</f>
        <v>steam</v>
      </c>
      <c r="S209" s="181"/>
      <c r="AD209" s="129"/>
      <c r="AE209" s="129"/>
      <c r="AF209" s="129"/>
      <c r="AG209" s="129"/>
      <c r="AH209" s="129"/>
      <c r="AI209" s="129"/>
      <c r="AJ209" s="129"/>
      <c r="AK209" s="129"/>
      <c r="AL209" s="129"/>
      <c r="AM209" s="129"/>
      <c r="AN209" s="129"/>
      <c r="AO209" s="129"/>
      <c r="AP209" s="129"/>
      <c r="AQ209" s="129"/>
      <c r="AR209" s="129"/>
      <c r="AS209" s="126"/>
    </row>
    <row r="210" spans="13:45" ht="18" x14ac:dyDescent="0.3">
      <c r="N210" s="182" t="s">
        <v>153</v>
      </c>
      <c r="O210" s="182"/>
      <c r="P210" s="182"/>
      <c r="Q210" s="183"/>
      <c r="R210" s="181">
        <f>[2]!Cp_ph(R201,R202)</f>
        <v>6.2084558437554502</v>
      </c>
      <c r="S210" s="181"/>
      <c r="AD210" s="129"/>
      <c r="AE210" s="129"/>
      <c r="AF210" s="129"/>
      <c r="AG210" s="129"/>
      <c r="AH210" s="129"/>
      <c r="AI210" s="129"/>
      <c r="AJ210" s="129"/>
      <c r="AK210" s="129"/>
      <c r="AL210" s="129"/>
      <c r="AM210" s="129"/>
      <c r="AN210" s="129"/>
      <c r="AO210" s="129"/>
      <c r="AP210" s="129"/>
      <c r="AQ210" s="129"/>
      <c r="AR210" s="129"/>
      <c r="AS210" s="126"/>
    </row>
    <row r="211" spans="13:45" x14ac:dyDescent="0.25">
      <c r="AD211" s="129"/>
      <c r="AE211" s="129"/>
      <c r="AF211" s="129"/>
      <c r="AG211" s="129"/>
      <c r="AH211" s="129"/>
      <c r="AI211" s="129"/>
      <c r="AJ211" s="129"/>
      <c r="AK211" s="129"/>
      <c r="AL211" s="129"/>
      <c r="AM211" s="129"/>
      <c r="AN211" s="129"/>
      <c r="AO211" s="129"/>
      <c r="AP211" s="129"/>
      <c r="AQ211" s="129"/>
      <c r="AR211" s="129"/>
      <c r="AS211" s="126"/>
    </row>
    <row r="212" spans="13:45" x14ac:dyDescent="0.25">
      <c r="AD212" s="129"/>
      <c r="AE212" s="129"/>
      <c r="AF212" s="129"/>
      <c r="AG212" s="129"/>
      <c r="AH212" s="129"/>
      <c r="AI212" s="129"/>
      <c r="AJ212" s="129"/>
      <c r="AK212" s="129"/>
      <c r="AL212" s="129"/>
      <c r="AM212" s="129"/>
      <c r="AN212" s="129"/>
      <c r="AO212" s="129"/>
      <c r="AP212" s="129"/>
      <c r="AQ212" s="129"/>
      <c r="AR212" s="129"/>
      <c r="AS212" s="126"/>
    </row>
    <row r="213" spans="13:45" x14ac:dyDescent="0.25">
      <c r="M213" s="160" t="s">
        <v>154</v>
      </c>
      <c r="N213" s="160"/>
      <c r="O213" s="160"/>
      <c r="P213" s="160"/>
      <c r="Q213" s="160"/>
      <c r="R213" s="160"/>
      <c r="S213" s="160"/>
      <c r="AD213" s="129"/>
      <c r="AE213" s="129"/>
      <c r="AF213" s="129"/>
      <c r="AG213" s="129"/>
      <c r="AH213" s="129"/>
      <c r="AI213" s="129"/>
      <c r="AJ213" s="129"/>
      <c r="AK213" s="129"/>
      <c r="AL213" s="129"/>
      <c r="AM213" s="129"/>
      <c r="AN213" s="129"/>
      <c r="AO213" s="129"/>
      <c r="AP213" s="129"/>
      <c r="AQ213" s="129"/>
      <c r="AR213" s="129"/>
      <c r="AS213" s="126"/>
    </row>
    <row r="214" spans="13:45" x14ac:dyDescent="0.25">
      <c r="M214" s="160"/>
      <c r="N214" s="160"/>
      <c r="O214" s="160"/>
      <c r="P214" s="160"/>
      <c r="Q214" s="160"/>
      <c r="R214" s="160"/>
      <c r="S214" s="160"/>
      <c r="AD214" s="129"/>
      <c r="AE214" s="129"/>
      <c r="AF214" s="129"/>
      <c r="AG214" s="129"/>
      <c r="AH214" s="129"/>
      <c r="AI214" s="129"/>
      <c r="AJ214" s="129"/>
      <c r="AK214" s="129"/>
      <c r="AL214" s="129"/>
      <c r="AM214" s="129"/>
      <c r="AN214" s="129"/>
      <c r="AO214" s="129"/>
      <c r="AP214" s="129"/>
      <c r="AQ214" s="129"/>
      <c r="AR214" s="129"/>
      <c r="AS214" s="126"/>
    </row>
    <row r="215" spans="13:45" x14ac:dyDescent="0.25">
      <c r="M215" s="160" t="s">
        <v>155</v>
      </c>
      <c r="N215" s="161"/>
      <c r="O215" s="161"/>
      <c r="P215" s="161"/>
      <c r="Q215" s="161"/>
      <c r="R215" s="161"/>
      <c r="S215" s="161"/>
      <c r="AD215" s="129"/>
      <c r="AE215" s="129"/>
      <c r="AF215" s="129">
        <f>LinInterp(R201/1000,Sat_P_based!A5:A277,Sat_P_based!G5:G277)</f>
        <v>1615.335</v>
      </c>
      <c r="AG215" s="129"/>
      <c r="AH215" s="129"/>
      <c r="AI215" s="129">
        <f>LinInterp($R$203,Sat_T_based!A5:A379,Sat_T_based!D5:D379)</f>
        <v>3.1187672541133759E-3</v>
      </c>
      <c r="AJ215" s="129"/>
      <c r="AK215" s="129">
        <f>vA(R201,$R$203)</f>
        <v>1.3806046122778005E-2</v>
      </c>
      <c r="AL215" s="129">
        <f>uA(R201,$R$203)</f>
        <v>2645.281544576645</v>
      </c>
      <c r="AM215" s="129">
        <f>sA(R201,$R$203)</f>
        <v>5.6947877973367769</v>
      </c>
      <c r="AN215" s="129"/>
      <c r="AO215" s="129"/>
      <c r="AP215" s="129">
        <f>LNo(R201)</f>
        <v>15000</v>
      </c>
      <c r="AQ215" s="129"/>
      <c r="AR215" s="129"/>
      <c r="AS215" s="126"/>
    </row>
    <row r="216" spans="13:45" x14ac:dyDescent="0.25">
      <c r="M216" s="161"/>
      <c r="N216" s="161"/>
      <c r="O216" s="161"/>
      <c r="P216" s="161"/>
      <c r="Q216" s="161"/>
      <c r="R216" s="161"/>
      <c r="S216" s="161"/>
      <c r="AD216" s="129"/>
      <c r="AE216" s="129"/>
      <c r="AF216" s="129">
        <f>LinInterp($R$201/1000,Sat_P_based!A5:A277,Sat_P_based!H5:H277)</f>
        <v>2606.9949999999999</v>
      </c>
      <c r="AG216" s="129"/>
      <c r="AH216" s="129"/>
      <c r="AI216" s="129">
        <f>LinInterp(R201/1000,Sat_P_based!A5:A277,Sat_P_based!D5:D277)</f>
        <v>1.0198899999999999E-2</v>
      </c>
      <c r="AJ216" s="129"/>
      <c r="AK216" s="129">
        <f>vb(R201,$R$203)</f>
        <v>1.2373203987627262E-2</v>
      </c>
      <c r="AL216" s="129">
        <f>ub(R201,$R$203)</f>
        <v>2614.0265694993154</v>
      </c>
      <c r="AM216" s="129">
        <f>sb(R201,$R$203)</f>
        <v>5.6119778471821169</v>
      </c>
      <c r="AN216" s="129"/>
      <c r="AO216" s="129"/>
      <c r="AP216" s="129">
        <f>UNo(R201)</f>
        <v>16000</v>
      </c>
      <c r="AQ216" s="129"/>
      <c r="AR216" s="129"/>
      <c r="AS216" s="126"/>
    </row>
    <row r="217" spans="13:45" ht="18" x14ac:dyDescent="0.25">
      <c r="M217" s="138"/>
      <c r="N217" s="138"/>
      <c r="O217" s="138"/>
      <c r="P217" s="138"/>
      <c r="Q217" s="138"/>
      <c r="R217" s="138"/>
      <c r="S217" s="138"/>
      <c r="AD217" s="129"/>
      <c r="AE217" s="129"/>
      <c r="AF217" s="155">
        <f>LinInterp($R$201/1000,Sat_P_based!A5:A277,Sat_P_based!B5:B277)</f>
        <v>342.84530000000001</v>
      </c>
      <c r="AG217" s="155"/>
      <c r="AH217" s="129"/>
      <c r="AI217" s="129"/>
      <c r="AJ217" s="129"/>
      <c r="AK217" s="129"/>
      <c r="AL217" s="129"/>
      <c r="AM217" s="129"/>
      <c r="AN217" s="129"/>
      <c r="AO217" s="129"/>
      <c r="AP217" s="129"/>
      <c r="AQ217" s="129"/>
      <c r="AR217" s="129"/>
      <c r="AS217" s="126"/>
    </row>
    <row r="218" spans="13:45" x14ac:dyDescent="0.25">
      <c r="AD218" s="129"/>
      <c r="AE218" s="129"/>
      <c r="AF218" s="129"/>
      <c r="AG218" s="129"/>
      <c r="AH218" s="129"/>
      <c r="AI218" s="129"/>
      <c r="AJ218" s="129"/>
      <c r="AK218" s="129">
        <f>LinInterp($R$203,Sat_T_based!A5:A379,Sat_T_based!C5:C379)</f>
        <v>3.0972278466234624E-3</v>
      </c>
      <c r="AL218" s="129">
        <f>LinInterp($R$203,Sat_T_based!A5:A379,Sat_T_based!D5:D379)</f>
        <v>3.1187672541133759E-3</v>
      </c>
      <c r="AM218" s="129"/>
      <c r="AN218" s="129"/>
      <c r="AO218" s="129"/>
      <c r="AP218" s="129"/>
      <c r="AQ218" s="129"/>
      <c r="AR218" s="129"/>
      <c r="AS218" s="126"/>
    </row>
    <row r="219" spans="13:45" x14ac:dyDescent="0.25">
      <c r="AD219" s="129"/>
      <c r="AE219" s="129"/>
      <c r="AF219" s="129"/>
      <c r="AG219" s="129"/>
      <c r="AH219" s="129"/>
      <c r="AI219" s="129"/>
      <c r="AJ219" s="129"/>
      <c r="AK219" s="129"/>
      <c r="AL219" s="129"/>
      <c r="AM219" s="129"/>
      <c r="AN219" s="129"/>
      <c r="AO219" s="129"/>
      <c r="AP219" s="129"/>
      <c r="AQ219" s="129"/>
      <c r="AR219" s="129"/>
      <c r="AS219" s="126"/>
    </row>
    <row r="220" spans="13:45" x14ac:dyDescent="0.25">
      <c r="AD220" s="129"/>
      <c r="AE220" s="129"/>
      <c r="AF220" s="129"/>
      <c r="AG220" s="129"/>
      <c r="AH220" s="129"/>
      <c r="AI220" s="129"/>
      <c r="AJ220" s="129"/>
      <c r="AK220" s="129"/>
      <c r="AL220" s="129"/>
      <c r="AM220" s="129"/>
      <c r="AN220" s="129"/>
      <c r="AO220" s="129"/>
      <c r="AP220" s="129"/>
      <c r="AQ220" s="129"/>
      <c r="AR220" s="129"/>
      <c r="AS220" s="126"/>
    </row>
  </sheetData>
  <sheetProtection formatCells="0" formatColumns="0"/>
  <mergeCells count="90">
    <mergeCell ref="C17:G17"/>
    <mergeCell ref="H17:I17"/>
    <mergeCell ref="H13:I13"/>
    <mergeCell ref="C13:G13"/>
    <mergeCell ref="C15:G15"/>
    <mergeCell ref="H15:I15"/>
    <mergeCell ref="T202:U202"/>
    <mergeCell ref="E196:H196"/>
    <mergeCell ref="N206:Q206"/>
    <mergeCell ref="N197:Q197"/>
    <mergeCell ref="R196:S196"/>
    <mergeCell ref="R197:S197"/>
    <mergeCell ref="N198:Q198"/>
    <mergeCell ref="R198:S198"/>
    <mergeCell ref="N196:Q196"/>
    <mergeCell ref="O201:Q201"/>
    <mergeCell ref="O202:Q202"/>
    <mergeCell ref="N204:Q204"/>
    <mergeCell ref="N205:Q205"/>
    <mergeCell ref="R204:S204"/>
    <mergeCell ref="R205:S205"/>
    <mergeCell ref="N203:Q203"/>
    <mergeCell ref="R203:S203"/>
    <mergeCell ref="N210:Q210"/>
    <mergeCell ref="R206:S206"/>
    <mergeCell ref="R207:S207"/>
    <mergeCell ref="R208:S208"/>
    <mergeCell ref="R209:S209"/>
    <mergeCell ref="R210:S210"/>
    <mergeCell ref="N207:Q207"/>
    <mergeCell ref="N208:Q208"/>
    <mergeCell ref="N209:Q209"/>
    <mergeCell ref="C187:J187"/>
    <mergeCell ref="A189:C189"/>
    <mergeCell ref="A190:C190"/>
    <mergeCell ref="E190:G190"/>
    <mergeCell ref="O190:Q190"/>
    <mergeCell ref="O189:Q189"/>
    <mergeCell ref="K190:L190"/>
    <mergeCell ref="E189:G189"/>
    <mergeCell ref="D188:H188"/>
    <mergeCell ref="H190:J190"/>
    <mergeCell ref="K198:L198"/>
    <mergeCell ref="E197:H197"/>
    <mergeCell ref="R191:S191"/>
    <mergeCell ref="N191:Q191"/>
    <mergeCell ref="N192:Q192"/>
    <mergeCell ref="N194:Q194"/>
    <mergeCell ref="R192:S192"/>
    <mergeCell ref="R193:S193"/>
    <mergeCell ref="N195:Q195"/>
    <mergeCell ref="N193:Q193"/>
    <mergeCell ref="R194:S194"/>
    <mergeCell ref="R195:S195"/>
    <mergeCell ref="F191:G191"/>
    <mergeCell ref="F192:G192"/>
    <mergeCell ref="F193:G193"/>
    <mergeCell ref="F194:G194"/>
    <mergeCell ref="A191:D191"/>
    <mergeCell ref="A192:D192"/>
    <mergeCell ref="A193:D193"/>
    <mergeCell ref="A194:D194"/>
    <mergeCell ref="A197:C197"/>
    <mergeCell ref="I191:J191"/>
    <mergeCell ref="I192:J192"/>
    <mergeCell ref="I193:J193"/>
    <mergeCell ref="I194:J194"/>
    <mergeCell ref="I199:J199"/>
    <mergeCell ref="F200:G200"/>
    <mergeCell ref="I200:J200"/>
    <mergeCell ref="C195:J195"/>
    <mergeCell ref="A198:C198"/>
    <mergeCell ref="E198:G198"/>
    <mergeCell ref="H198:J198"/>
    <mergeCell ref="B4:J5"/>
    <mergeCell ref="M213:S214"/>
    <mergeCell ref="M215:S216"/>
    <mergeCell ref="N187:S187"/>
    <mergeCell ref="N188:S188"/>
    <mergeCell ref="N200:S200"/>
    <mergeCell ref="N199:S199"/>
    <mergeCell ref="A201:D201"/>
    <mergeCell ref="F201:G201"/>
    <mergeCell ref="I201:J201"/>
    <mergeCell ref="A202:D202"/>
    <mergeCell ref="F202:G202"/>
    <mergeCell ref="I202:J202"/>
    <mergeCell ref="A199:D199"/>
    <mergeCell ref="F199:G199"/>
    <mergeCell ref="A200:D20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80"/>
  <sheetViews>
    <sheetView workbookViewId="0">
      <selection activeCell="Q11" sqref="Q11"/>
    </sheetView>
  </sheetViews>
  <sheetFormatPr defaultRowHeight="13.2" x14ac:dyDescent="0.25"/>
  <cols>
    <col min="1" max="1" width="6.44140625" style="40" customWidth="1"/>
    <col min="2" max="2" width="12" style="40" customWidth="1"/>
    <col min="3" max="3" width="13.5546875" style="40" customWidth="1"/>
    <col min="4" max="4" width="9.5546875" style="40" customWidth="1"/>
    <col min="5" max="6" width="8.44140625" style="40" customWidth="1"/>
    <col min="7" max="7" width="8.21875" style="40" customWidth="1"/>
    <col min="8" max="8" width="8.44140625" style="40" customWidth="1"/>
    <col min="9" max="9" width="8.21875" style="40" customWidth="1"/>
    <col min="10" max="10" width="9.77734375" style="40" customWidth="1"/>
    <col min="11" max="12" width="8.21875" style="40" customWidth="1"/>
    <col min="13" max="13" width="15.33203125" style="40" customWidth="1"/>
    <col min="14" max="16" width="8.88671875" style="142"/>
    <col min="17" max="16384" width="8.88671875" style="40"/>
  </cols>
  <sheetData>
    <row r="1" spans="1:16" ht="48.6" customHeight="1" x14ac:dyDescent="0.25">
      <c r="A1" s="193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</row>
    <row r="2" spans="1:16" ht="18.75" customHeight="1" x14ac:dyDescent="0.25">
      <c r="A2" s="195" t="s">
        <v>1</v>
      </c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</row>
    <row r="3" spans="1:16" ht="18.75" customHeight="1" x14ac:dyDescent="0.25">
      <c r="A3" s="193" t="s">
        <v>2</v>
      </c>
      <c r="B3" s="196" t="s">
        <v>3</v>
      </c>
      <c r="C3" s="197" t="s">
        <v>113</v>
      </c>
      <c r="D3" s="198"/>
      <c r="E3" s="199" t="s">
        <v>5</v>
      </c>
      <c r="F3" s="199"/>
      <c r="G3" s="200" t="s">
        <v>6</v>
      </c>
      <c r="H3" s="200"/>
      <c r="I3" s="200"/>
      <c r="J3" s="201" t="s">
        <v>7</v>
      </c>
      <c r="K3" s="201"/>
      <c r="L3" s="201"/>
    </row>
    <row r="4" spans="1:16" ht="15.75" customHeight="1" x14ac:dyDescent="0.25">
      <c r="A4" s="193"/>
      <c r="B4" s="196"/>
      <c r="C4" s="29" t="s">
        <v>8</v>
      </c>
      <c r="D4" s="29" t="s">
        <v>9</v>
      </c>
      <c r="E4" s="29" t="s">
        <v>10</v>
      </c>
      <c r="F4" s="29" t="s">
        <v>11</v>
      </c>
      <c r="G4" s="29" t="s">
        <v>12</v>
      </c>
      <c r="H4" s="29" t="s">
        <v>13</v>
      </c>
      <c r="I4" s="15" t="s">
        <v>14</v>
      </c>
      <c r="J4" s="29" t="s">
        <v>15</v>
      </c>
      <c r="K4" s="29" t="s">
        <v>16</v>
      </c>
      <c r="L4" s="15" t="s">
        <v>17</v>
      </c>
    </row>
    <row r="5" spans="1:16" ht="18.75" customHeight="1" x14ac:dyDescent="0.25">
      <c r="A5" s="32">
        <v>0.01</v>
      </c>
      <c r="B5" s="41">
        <v>6.1169999999999996E-4</v>
      </c>
      <c r="C5" s="31">
        <v>1.0002100000000001E-3</v>
      </c>
      <c r="D5" s="34">
        <v>205.99100000000001</v>
      </c>
      <c r="E5" s="7">
        <v>0</v>
      </c>
      <c r="F5" s="13">
        <v>2374.9</v>
      </c>
      <c r="G5" s="32">
        <v>0</v>
      </c>
      <c r="H5" s="13">
        <v>2500.9</v>
      </c>
      <c r="I5" s="13">
        <v>2500.9</v>
      </c>
      <c r="J5" s="7">
        <v>0</v>
      </c>
      <c r="K5" s="35">
        <v>9.1555</v>
      </c>
      <c r="L5" s="35">
        <v>9.1555</v>
      </c>
      <c r="N5" s="143">
        <v>1.0002100000000001E-3</v>
      </c>
      <c r="O5" s="144">
        <v>205.99100000000001</v>
      </c>
      <c r="P5" s="145">
        <v>0.01</v>
      </c>
    </row>
    <row r="6" spans="1:16" ht="18.75" customHeight="1" x14ac:dyDescent="0.25">
      <c r="A6" s="7">
        <v>1</v>
      </c>
      <c r="B6" s="41">
        <v>6.5709999999999998E-4</v>
      </c>
      <c r="C6" s="31">
        <v>1.00015E-3</v>
      </c>
      <c r="D6" s="34">
        <v>192.43899999999999</v>
      </c>
      <c r="E6" s="32">
        <v>4.18</v>
      </c>
      <c r="F6" s="13">
        <v>2376.1999999999998</v>
      </c>
      <c r="G6" s="32">
        <v>4.18</v>
      </c>
      <c r="H6" s="13">
        <v>2502.6999999999998</v>
      </c>
      <c r="I6" s="13">
        <v>2498.6</v>
      </c>
      <c r="J6" s="33">
        <v>1.5259999999999999E-2</v>
      </c>
      <c r="K6" s="35">
        <v>9.1290999999999993</v>
      </c>
      <c r="L6" s="35">
        <v>9.1137999999999995</v>
      </c>
      <c r="N6" s="143">
        <v>1.00015E-3</v>
      </c>
      <c r="O6" s="144">
        <v>192.43899999999999</v>
      </c>
      <c r="P6" s="146">
        <v>1</v>
      </c>
    </row>
    <row r="7" spans="1:16" ht="18.75" customHeight="1" x14ac:dyDescent="0.25">
      <c r="A7" s="7">
        <v>2</v>
      </c>
      <c r="B7" s="41">
        <v>7.0600000000000003E-4</v>
      </c>
      <c r="C7" s="31">
        <v>1.00011E-3</v>
      </c>
      <c r="D7" s="34">
        <v>179.75800000000001</v>
      </c>
      <c r="E7" s="32">
        <v>8.39</v>
      </c>
      <c r="F7" s="13">
        <v>2377.6999999999998</v>
      </c>
      <c r="G7" s="32">
        <v>8.39</v>
      </c>
      <c r="H7" s="13">
        <v>2504.6</v>
      </c>
      <c r="I7" s="13">
        <v>2496.1999999999998</v>
      </c>
      <c r="J7" s="33">
        <v>3.0609999999999998E-2</v>
      </c>
      <c r="K7" s="35">
        <v>9.1027000000000005</v>
      </c>
      <c r="L7" s="35">
        <v>9.0719999999999992</v>
      </c>
      <c r="N7" s="143">
        <v>1.00011E-3</v>
      </c>
      <c r="O7" s="144">
        <v>179.75800000000001</v>
      </c>
      <c r="P7" s="146">
        <v>2</v>
      </c>
    </row>
    <row r="8" spans="1:16" ht="18.75" customHeight="1" x14ac:dyDescent="0.25">
      <c r="A8" s="7">
        <v>3</v>
      </c>
      <c r="B8" s="41">
        <v>7.5810000000000005E-4</v>
      </c>
      <c r="C8" s="31">
        <v>1.00008E-3</v>
      </c>
      <c r="D8" s="34">
        <v>168.00800000000001</v>
      </c>
      <c r="E8" s="32">
        <v>12.6</v>
      </c>
      <c r="F8" s="13">
        <v>2379</v>
      </c>
      <c r="G8" s="32">
        <v>12.6</v>
      </c>
      <c r="H8" s="13">
        <v>2506.4</v>
      </c>
      <c r="I8" s="13">
        <v>2493.8000000000002</v>
      </c>
      <c r="J8" s="33">
        <v>4.589E-2</v>
      </c>
      <c r="K8" s="35">
        <v>9.0764999999999993</v>
      </c>
      <c r="L8" s="35">
        <v>9.0305999999999997</v>
      </c>
      <c r="N8" s="143">
        <v>1.00008E-3</v>
      </c>
      <c r="O8" s="144">
        <v>168.00800000000001</v>
      </c>
      <c r="P8" s="146">
        <v>3</v>
      </c>
    </row>
    <row r="9" spans="1:16" ht="18.75" customHeight="1" x14ac:dyDescent="0.25">
      <c r="A9" s="7">
        <v>4</v>
      </c>
      <c r="B9" s="41">
        <v>8.1349999999999999E-4</v>
      </c>
      <c r="C9" s="31">
        <v>1.00007E-3</v>
      </c>
      <c r="D9" s="34">
        <v>157.11600000000001</v>
      </c>
      <c r="E9" s="32">
        <v>16.809999999999999</v>
      </c>
      <c r="F9" s="13">
        <v>2380.4</v>
      </c>
      <c r="G9" s="32">
        <v>16.809999999999999</v>
      </c>
      <c r="H9" s="13">
        <v>2508.1999999999998</v>
      </c>
      <c r="I9" s="13">
        <v>2491.4</v>
      </c>
      <c r="J9" s="33">
        <v>6.1100000000000002E-2</v>
      </c>
      <c r="K9" s="35">
        <v>9.0504999999999995</v>
      </c>
      <c r="L9" s="35">
        <v>8.9893999999999998</v>
      </c>
      <c r="N9" s="143">
        <v>1.00007E-3</v>
      </c>
      <c r="O9" s="144">
        <v>157.11600000000001</v>
      </c>
      <c r="P9" s="146">
        <v>4</v>
      </c>
    </row>
    <row r="10" spans="1:16" ht="18.75" customHeight="1" x14ac:dyDescent="0.25">
      <c r="A10" s="7">
        <v>5</v>
      </c>
      <c r="B10" s="41">
        <v>8.7259999999999996E-4</v>
      </c>
      <c r="C10" s="31">
        <v>1.00008E-3</v>
      </c>
      <c r="D10" s="34">
        <v>147.011</v>
      </c>
      <c r="E10" s="32">
        <v>21.02</v>
      </c>
      <c r="F10" s="13">
        <v>2381.8000000000002</v>
      </c>
      <c r="G10" s="32">
        <v>21.02</v>
      </c>
      <c r="H10" s="13">
        <v>2510.1</v>
      </c>
      <c r="I10" s="13">
        <v>2489</v>
      </c>
      <c r="J10" s="33">
        <v>7.6249999999999998E-2</v>
      </c>
      <c r="K10" s="35">
        <v>9.0248000000000008</v>
      </c>
      <c r="L10" s="35">
        <v>8.9486000000000008</v>
      </c>
      <c r="N10" s="143">
        <v>1.00008E-3</v>
      </c>
      <c r="O10" s="144">
        <v>147.011</v>
      </c>
      <c r="P10" s="146">
        <v>5</v>
      </c>
    </row>
    <row r="11" spans="1:16" ht="18.75" customHeight="1" x14ac:dyDescent="0.25">
      <c r="A11" s="7">
        <v>6</v>
      </c>
      <c r="B11" s="41">
        <v>9.3539999999999997E-4</v>
      </c>
      <c r="C11" s="31">
        <v>1.00011E-3</v>
      </c>
      <c r="D11" s="34">
        <v>137.63300000000001</v>
      </c>
      <c r="E11" s="32">
        <v>25.22</v>
      </c>
      <c r="F11" s="13">
        <v>2383.1999999999998</v>
      </c>
      <c r="G11" s="32">
        <v>25.22</v>
      </c>
      <c r="H11" s="13">
        <v>2511.9</v>
      </c>
      <c r="I11" s="13">
        <v>2486.6999999999998</v>
      </c>
      <c r="J11" s="33">
        <v>9.1340000000000005E-2</v>
      </c>
      <c r="K11" s="35">
        <v>8.9992999999999999</v>
      </c>
      <c r="L11" s="35">
        <v>8.9079999999999995</v>
      </c>
      <c r="N11" s="143">
        <v>1.00011E-3</v>
      </c>
      <c r="O11" s="144">
        <v>137.63300000000001</v>
      </c>
      <c r="P11" s="146">
        <v>6</v>
      </c>
    </row>
    <row r="12" spans="1:16" ht="18.75" customHeight="1" x14ac:dyDescent="0.25">
      <c r="A12" s="7">
        <v>7</v>
      </c>
      <c r="B12" s="41">
        <v>1.0020999999999999E-3</v>
      </c>
      <c r="C12" s="31">
        <v>1.0001400000000001E-3</v>
      </c>
      <c r="D12" s="34">
        <v>128.923</v>
      </c>
      <c r="E12" s="32">
        <v>29.43</v>
      </c>
      <c r="F12" s="13">
        <v>2384.5</v>
      </c>
      <c r="G12" s="32">
        <v>29.43</v>
      </c>
      <c r="H12" s="13">
        <v>2513.6999999999998</v>
      </c>
      <c r="I12" s="13">
        <v>2484.3000000000002</v>
      </c>
      <c r="J12" s="33">
        <v>0.10637000000000001</v>
      </c>
      <c r="K12" s="35">
        <v>8.9741</v>
      </c>
      <c r="L12" s="35">
        <v>8.8676999999999992</v>
      </c>
      <c r="N12" s="143">
        <v>1.0001400000000001E-3</v>
      </c>
      <c r="O12" s="144">
        <v>128.923</v>
      </c>
      <c r="P12" s="146">
        <v>7</v>
      </c>
    </row>
    <row r="13" spans="1:16" ht="18.75" customHeight="1" x14ac:dyDescent="0.25">
      <c r="A13" s="7">
        <v>8</v>
      </c>
      <c r="B13" s="41">
        <v>1.073E-3</v>
      </c>
      <c r="C13" s="31">
        <v>1.0001999999999999E-3</v>
      </c>
      <c r="D13" s="34">
        <v>120.82899999999999</v>
      </c>
      <c r="E13" s="32">
        <v>33.630000000000003</v>
      </c>
      <c r="F13" s="13">
        <v>2386</v>
      </c>
      <c r="G13" s="32">
        <v>33.630000000000003</v>
      </c>
      <c r="H13" s="13">
        <v>2515.6</v>
      </c>
      <c r="I13" s="13">
        <v>2481.9</v>
      </c>
      <c r="J13" s="33">
        <v>0.12132999999999999</v>
      </c>
      <c r="K13" s="35">
        <v>8.9490999999999996</v>
      </c>
      <c r="L13" s="35">
        <v>8.8277999999999999</v>
      </c>
      <c r="N13" s="143">
        <v>1.0001999999999999E-3</v>
      </c>
      <c r="O13" s="144">
        <v>120.82899999999999</v>
      </c>
      <c r="P13" s="146">
        <v>8</v>
      </c>
    </row>
    <row r="14" spans="1:16" ht="18.75" customHeight="1" x14ac:dyDescent="0.25">
      <c r="A14" s="7">
        <v>9</v>
      </c>
      <c r="B14" s="41">
        <v>1.1483000000000001E-3</v>
      </c>
      <c r="C14" s="31">
        <v>1.00026E-3</v>
      </c>
      <c r="D14" s="34">
        <v>113.304</v>
      </c>
      <c r="E14" s="32">
        <v>37.82</v>
      </c>
      <c r="F14" s="13">
        <v>2387.3000000000002</v>
      </c>
      <c r="G14" s="32">
        <v>37.82</v>
      </c>
      <c r="H14" s="13">
        <v>2517.4</v>
      </c>
      <c r="I14" s="13">
        <v>2479.6</v>
      </c>
      <c r="J14" s="33">
        <v>0.13624</v>
      </c>
      <c r="K14" s="35">
        <v>8.9243000000000006</v>
      </c>
      <c r="L14" s="35">
        <v>8.7881</v>
      </c>
      <c r="N14" s="143">
        <v>1.00026E-3</v>
      </c>
      <c r="O14" s="144">
        <v>113.304</v>
      </c>
      <c r="P14" s="146">
        <v>9</v>
      </c>
    </row>
    <row r="15" spans="1:16" ht="20.25" customHeight="1" x14ac:dyDescent="0.25">
      <c r="A15" s="7">
        <v>10</v>
      </c>
      <c r="B15" s="41">
        <v>1.2282E-3</v>
      </c>
      <c r="C15" s="31">
        <v>1.0003499999999999E-3</v>
      </c>
      <c r="D15" s="34">
        <v>106.303</v>
      </c>
      <c r="E15" s="32">
        <v>42.02</v>
      </c>
      <c r="F15" s="13">
        <v>2388.6</v>
      </c>
      <c r="G15" s="32">
        <v>42.02</v>
      </c>
      <c r="H15" s="13">
        <v>2519.1999999999998</v>
      </c>
      <c r="I15" s="13">
        <v>2477.1999999999998</v>
      </c>
      <c r="J15" s="33">
        <v>0.15109</v>
      </c>
      <c r="K15" s="35">
        <v>8.8998000000000008</v>
      </c>
      <c r="L15" s="35">
        <v>8.7486999999999995</v>
      </c>
      <c r="N15" s="143">
        <v>1.0003499999999999E-3</v>
      </c>
      <c r="O15" s="144">
        <v>106.303</v>
      </c>
      <c r="P15" s="146">
        <v>10</v>
      </c>
    </row>
    <row r="16" spans="1:16" ht="20.25" customHeight="1" x14ac:dyDescent="0.25">
      <c r="A16" s="7">
        <v>11</v>
      </c>
      <c r="B16" s="41">
        <v>1.3129999999999999E-3</v>
      </c>
      <c r="C16" s="31">
        <v>1.00044E-3</v>
      </c>
      <c r="D16" s="34">
        <v>99.787000000000006</v>
      </c>
      <c r="E16" s="32">
        <v>46.22</v>
      </c>
      <c r="F16" s="13">
        <v>2390</v>
      </c>
      <c r="G16" s="32">
        <v>46.22</v>
      </c>
      <c r="H16" s="13">
        <v>2521</v>
      </c>
      <c r="I16" s="13">
        <v>2474.8000000000002</v>
      </c>
      <c r="J16" s="33">
        <v>0.16586999999999999</v>
      </c>
      <c r="K16" s="35">
        <v>8.8754000000000008</v>
      </c>
      <c r="L16" s="35">
        <v>8.7096</v>
      </c>
      <c r="N16" s="143">
        <v>1.00044E-3</v>
      </c>
      <c r="O16" s="144">
        <v>99.787000000000006</v>
      </c>
      <c r="P16" s="146">
        <v>11</v>
      </c>
    </row>
    <row r="17" spans="1:16" ht="18.75" customHeight="1" x14ac:dyDescent="0.25">
      <c r="A17" s="7">
        <v>12</v>
      </c>
      <c r="B17" s="41">
        <v>1.4028000000000001E-3</v>
      </c>
      <c r="C17" s="31">
        <v>1.00055E-3</v>
      </c>
      <c r="D17" s="34">
        <v>93.718999999999994</v>
      </c>
      <c r="E17" s="32">
        <v>50.41</v>
      </c>
      <c r="F17" s="13">
        <v>2391.4</v>
      </c>
      <c r="G17" s="32">
        <v>50.41</v>
      </c>
      <c r="H17" s="13">
        <v>2522.9</v>
      </c>
      <c r="I17" s="13">
        <v>2472.5</v>
      </c>
      <c r="J17" s="33">
        <v>0.18060999999999999</v>
      </c>
      <c r="K17" s="35">
        <v>8.8513000000000002</v>
      </c>
      <c r="L17" s="35">
        <v>8.6707000000000001</v>
      </c>
      <c r="N17" s="143">
        <v>1.00055E-3</v>
      </c>
      <c r="O17" s="144">
        <v>93.718999999999994</v>
      </c>
      <c r="P17" s="146">
        <v>12</v>
      </c>
    </row>
    <row r="18" spans="1:16" ht="18.75" customHeight="1" x14ac:dyDescent="0.25">
      <c r="A18" s="7">
        <v>13</v>
      </c>
      <c r="B18" s="41">
        <v>1.4981E-3</v>
      </c>
      <c r="C18" s="31">
        <v>1.0006699999999999E-3</v>
      </c>
      <c r="D18" s="34">
        <v>88.063999999999993</v>
      </c>
      <c r="E18" s="32">
        <v>54.6</v>
      </c>
      <c r="F18" s="13">
        <v>2392.8000000000002</v>
      </c>
      <c r="G18" s="32">
        <v>54.6</v>
      </c>
      <c r="H18" s="13">
        <v>2524.6999999999998</v>
      </c>
      <c r="I18" s="13">
        <v>2470.1</v>
      </c>
      <c r="J18" s="33">
        <v>0.19528000000000001</v>
      </c>
      <c r="K18" s="35">
        <v>8.8274000000000008</v>
      </c>
      <c r="L18" s="35">
        <v>8.6320999999999994</v>
      </c>
      <c r="N18" s="143">
        <v>1.0006699999999999E-3</v>
      </c>
      <c r="O18" s="144">
        <v>88.063999999999993</v>
      </c>
      <c r="P18" s="146">
        <v>13</v>
      </c>
    </row>
    <row r="19" spans="1:16" ht="18.75" customHeight="1" x14ac:dyDescent="0.25">
      <c r="A19" s="7">
        <v>14</v>
      </c>
      <c r="B19" s="41">
        <v>1.5989999999999999E-3</v>
      </c>
      <c r="C19" s="31">
        <v>1.0008E-3</v>
      </c>
      <c r="D19" s="34">
        <v>82.793000000000006</v>
      </c>
      <c r="E19" s="32">
        <v>58.79</v>
      </c>
      <c r="F19" s="13">
        <v>2394.1</v>
      </c>
      <c r="G19" s="32">
        <v>58.79</v>
      </c>
      <c r="H19" s="13">
        <v>2526.5</v>
      </c>
      <c r="I19" s="13">
        <v>2467.6999999999998</v>
      </c>
      <c r="J19" s="33">
        <v>0.2099</v>
      </c>
      <c r="K19" s="35">
        <v>8.8036999999999992</v>
      </c>
      <c r="L19" s="35">
        <v>8.5937999999999999</v>
      </c>
      <c r="N19" s="143">
        <v>1.0008E-3</v>
      </c>
      <c r="O19" s="144">
        <v>82.793000000000006</v>
      </c>
      <c r="P19" s="146">
        <v>14</v>
      </c>
    </row>
    <row r="20" spans="1:16" ht="18.75" customHeight="1" x14ac:dyDescent="0.25">
      <c r="A20" s="7">
        <v>15</v>
      </c>
      <c r="B20" s="41">
        <v>1.7057999999999999E-3</v>
      </c>
      <c r="C20" s="31">
        <v>1.0009400000000001E-3</v>
      </c>
      <c r="D20" s="34">
        <v>77.875</v>
      </c>
      <c r="E20" s="32">
        <v>62.98</v>
      </c>
      <c r="F20" s="13">
        <v>2395.5</v>
      </c>
      <c r="G20" s="32">
        <v>62.98</v>
      </c>
      <c r="H20" s="13">
        <v>2528.3000000000002</v>
      </c>
      <c r="I20" s="13">
        <v>2465.4</v>
      </c>
      <c r="J20" s="33">
        <v>0.22445999999999999</v>
      </c>
      <c r="K20" s="35">
        <v>8.7803000000000004</v>
      </c>
      <c r="L20" s="35">
        <v>8.5557999999999996</v>
      </c>
      <c r="N20" s="143">
        <v>1.0009400000000001E-3</v>
      </c>
      <c r="O20" s="144">
        <v>77.875</v>
      </c>
      <c r="P20" s="146">
        <v>15</v>
      </c>
    </row>
    <row r="21" spans="1:16" ht="18.75" customHeight="1" x14ac:dyDescent="0.25">
      <c r="A21" s="7">
        <v>16</v>
      </c>
      <c r="B21" s="41">
        <v>1.8188E-3</v>
      </c>
      <c r="C21" s="31">
        <v>1.0011E-3</v>
      </c>
      <c r="D21" s="34">
        <v>73.286000000000001</v>
      </c>
      <c r="E21" s="32">
        <v>67.17</v>
      </c>
      <c r="F21" s="13">
        <v>2396.9</v>
      </c>
      <c r="G21" s="32">
        <v>67.17</v>
      </c>
      <c r="H21" s="13">
        <v>2530.1999999999998</v>
      </c>
      <c r="I21" s="13">
        <v>2463</v>
      </c>
      <c r="J21" s="33">
        <v>0.23896999999999999</v>
      </c>
      <c r="K21" s="35">
        <v>8.7569999999999997</v>
      </c>
      <c r="L21" s="35">
        <v>8.5180000000000007</v>
      </c>
      <c r="N21" s="143">
        <v>1.0011E-3</v>
      </c>
      <c r="O21" s="144">
        <v>73.286000000000001</v>
      </c>
      <c r="P21" s="146">
        <v>16</v>
      </c>
    </row>
    <row r="22" spans="1:16" ht="18.75" customHeight="1" x14ac:dyDescent="0.25">
      <c r="A22" s="7">
        <v>17</v>
      </c>
      <c r="B22" s="41">
        <v>1.9384000000000001E-3</v>
      </c>
      <c r="C22" s="31">
        <v>1.0012700000000001E-3</v>
      </c>
      <c r="D22" s="34">
        <v>69.001000000000005</v>
      </c>
      <c r="E22" s="32">
        <v>71.36</v>
      </c>
      <c r="F22" s="13">
        <v>2398.1999999999998</v>
      </c>
      <c r="G22" s="32">
        <v>71.36</v>
      </c>
      <c r="H22" s="13">
        <v>2532</v>
      </c>
      <c r="I22" s="13">
        <v>2460.6</v>
      </c>
      <c r="J22" s="33">
        <v>0.25342999999999999</v>
      </c>
      <c r="K22" s="35">
        <v>8.7339000000000002</v>
      </c>
      <c r="L22" s="35">
        <v>8.4804999999999993</v>
      </c>
      <c r="N22" s="143">
        <v>1.0012700000000001E-3</v>
      </c>
      <c r="O22" s="144">
        <v>69.001000000000005</v>
      </c>
      <c r="P22" s="146">
        <v>17</v>
      </c>
    </row>
    <row r="23" spans="1:16" ht="18.75" customHeight="1" x14ac:dyDescent="0.25">
      <c r="A23" s="7">
        <v>18</v>
      </c>
      <c r="B23" s="41">
        <v>2.0647E-3</v>
      </c>
      <c r="C23" s="31">
        <v>1.0014500000000001E-3</v>
      </c>
      <c r="D23" s="34">
        <v>64.998000000000005</v>
      </c>
      <c r="E23" s="32">
        <v>75.540000000000006</v>
      </c>
      <c r="F23" s="13">
        <v>2399.6</v>
      </c>
      <c r="G23" s="32">
        <v>75.540000000000006</v>
      </c>
      <c r="H23" s="13">
        <v>2533.8000000000002</v>
      </c>
      <c r="I23" s="13">
        <v>2458.3000000000002</v>
      </c>
      <c r="J23" s="33">
        <v>0.26783000000000001</v>
      </c>
      <c r="K23" s="35">
        <v>8.7111000000000001</v>
      </c>
      <c r="L23" s="35">
        <v>8.4433000000000007</v>
      </c>
      <c r="N23" s="143">
        <v>1.0014500000000001E-3</v>
      </c>
      <c r="O23" s="144">
        <v>64.998000000000005</v>
      </c>
      <c r="P23" s="146">
        <v>18</v>
      </c>
    </row>
    <row r="24" spans="1:16" ht="18.75" customHeight="1" x14ac:dyDescent="0.25">
      <c r="A24" s="7">
        <v>19</v>
      </c>
      <c r="B24" s="41">
        <v>2.1982999999999998E-3</v>
      </c>
      <c r="C24" s="31">
        <v>1.00164E-3</v>
      </c>
      <c r="D24" s="34">
        <v>61.256</v>
      </c>
      <c r="E24" s="32">
        <v>79.73</v>
      </c>
      <c r="F24" s="13">
        <v>2400.9</v>
      </c>
      <c r="G24" s="32">
        <v>79.73</v>
      </c>
      <c r="H24" s="13">
        <v>2535.6</v>
      </c>
      <c r="I24" s="13">
        <v>2455.9</v>
      </c>
      <c r="J24" s="33">
        <v>0.28217999999999999</v>
      </c>
      <c r="K24" s="35">
        <v>8.6883999999999997</v>
      </c>
      <c r="L24" s="35">
        <v>8.4062999999999999</v>
      </c>
      <c r="N24" s="143">
        <v>1.00164E-3</v>
      </c>
      <c r="O24" s="144">
        <v>61.256</v>
      </c>
      <c r="P24" s="146">
        <v>19</v>
      </c>
    </row>
    <row r="25" spans="1:16" ht="20.25" customHeight="1" x14ac:dyDescent="0.25">
      <c r="A25" s="7">
        <v>20</v>
      </c>
      <c r="B25" s="41">
        <v>2.3392999999999999E-3</v>
      </c>
      <c r="C25" s="31">
        <v>1.0018399999999999E-3</v>
      </c>
      <c r="D25" s="34">
        <v>57.756999999999998</v>
      </c>
      <c r="E25" s="32">
        <v>83.91</v>
      </c>
      <c r="F25" s="13">
        <v>2402.3000000000002</v>
      </c>
      <c r="G25" s="32">
        <v>83.91</v>
      </c>
      <c r="H25" s="13">
        <v>2537.4</v>
      </c>
      <c r="I25" s="13">
        <v>2453.5</v>
      </c>
      <c r="J25" s="33">
        <v>0.29648000000000002</v>
      </c>
      <c r="K25" s="35">
        <v>8.6660000000000004</v>
      </c>
      <c r="L25" s="35">
        <v>8.3695000000000004</v>
      </c>
      <c r="N25" s="143">
        <v>1.0018399999999999E-3</v>
      </c>
      <c r="O25" s="144">
        <v>57.756999999999998</v>
      </c>
      <c r="P25" s="146">
        <v>20</v>
      </c>
    </row>
    <row r="26" spans="1:16" ht="20.25" customHeight="1" x14ac:dyDescent="0.25">
      <c r="A26" s="7">
        <v>21</v>
      </c>
      <c r="B26" s="41">
        <v>2.4881999999999999E-3</v>
      </c>
      <c r="C26" s="31">
        <v>1.00205E-3</v>
      </c>
      <c r="D26" s="34">
        <v>54.482999999999997</v>
      </c>
      <c r="E26" s="32">
        <v>88.1</v>
      </c>
      <c r="F26" s="13">
        <v>2403.6999999999998</v>
      </c>
      <c r="G26" s="32">
        <v>88.1</v>
      </c>
      <c r="H26" s="13">
        <v>2539.3000000000002</v>
      </c>
      <c r="I26" s="13">
        <v>2451.1999999999998</v>
      </c>
      <c r="J26" s="33">
        <v>0.31073000000000001</v>
      </c>
      <c r="K26" s="35">
        <v>8.6437000000000008</v>
      </c>
      <c r="L26" s="35">
        <v>8.3330000000000002</v>
      </c>
      <c r="N26" s="143">
        <v>1.00205E-3</v>
      </c>
      <c r="O26" s="144">
        <v>54.482999999999997</v>
      </c>
      <c r="P26" s="146">
        <v>21</v>
      </c>
    </row>
    <row r="27" spans="1:16" ht="18.75" customHeight="1" x14ac:dyDescent="0.25">
      <c r="A27" s="7">
        <v>22</v>
      </c>
      <c r="B27" s="41">
        <v>2.6453000000000002E-3</v>
      </c>
      <c r="C27" s="31">
        <v>1.0022799999999999E-3</v>
      </c>
      <c r="D27" s="34">
        <v>51.417999999999999</v>
      </c>
      <c r="E27" s="32">
        <v>92.28</v>
      </c>
      <c r="F27" s="13">
        <v>2405.1</v>
      </c>
      <c r="G27" s="32">
        <v>92.28</v>
      </c>
      <c r="H27" s="13">
        <v>2541.1</v>
      </c>
      <c r="I27" s="13">
        <v>2448.8000000000002</v>
      </c>
      <c r="J27" s="33">
        <v>0.32493</v>
      </c>
      <c r="K27" s="35">
        <v>8.6217000000000006</v>
      </c>
      <c r="L27" s="35">
        <v>8.2966999999999995</v>
      </c>
      <c r="N27" s="143">
        <v>1.0022799999999999E-3</v>
      </c>
      <c r="O27" s="144">
        <v>51.417999999999999</v>
      </c>
      <c r="P27" s="146">
        <v>22</v>
      </c>
    </row>
    <row r="28" spans="1:16" ht="18.75" customHeight="1" x14ac:dyDescent="0.25">
      <c r="A28" s="7">
        <v>23</v>
      </c>
      <c r="B28" s="41">
        <v>2.8111E-3</v>
      </c>
      <c r="C28" s="31">
        <v>1.0025100000000001E-3</v>
      </c>
      <c r="D28" s="34">
        <v>48.548000000000002</v>
      </c>
      <c r="E28" s="32">
        <v>96.46</v>
      </c>
      <c r="F28" s="13">
        <v>2406.4</v>
      </c>
      <c r="G28" s="32">
        <v>96.46</v>
      </c>
      <c r="H28" s="13">
        <v>2542.9</v>
      </c>
      <c r="I28" s="13">
        <v>2446.4</v>
      </c>
      <c r="J28" s="33">
        <v>0.33907999999999999</v>
      </c>
      <c r="K28" s="35">
        <v>8.5998000000000001</v>
      </c>
      <c r="L28" s="35">
        <v>8.2606999999999999</v>
      </c>
      <c r="N28" s="143">
        <v>1.0025100000000001E-3</v>
      </c>
      <c r="O28" s="144">
        <v>48.548000000000002</v>
      </c>
      <c r="P28" s="146">
        <v>23</v>
      </c>
    </row>
    <row r="29" spans="1:16" ht="18.75" customHeight="1" x14ac:dyDescent="0.25">
      <c r="A29" s="7">
        <v>24</v>
      </c>
      <c r="B29" s="41">
        <v>2.9857999999999998E-3</v>
      </c>
      <c r="C29" s="31">
        <v>1.00275E-3</v>
      </c>
      <c r="D29" s="34">
        <v>45.857999999999997</v>
      </c>
      <c r="E29" s="32">
        <v>100.65</v>
      </c>
      <c r="F29" s="13">
        <v>2407.8000000000002</v>
      </c>
      <c r="G29" s="32">
        <v>100.65</v>
      </c>
      <c r="H29" s="13">
        <v>2544.6999999999998</v>
      </c>
      <c r="I29" s="13">
        <v>2444</v>
      </c>
      <c r="J29" s="33">
        <v>0.35317999999999999</v>
      </c>
      <c r="K29" s="35">
        <v>8.5780999999999992</v>
      </c>
      <c r="L29" s="35">
        <v>8.2249999999999996</v>
      </c>
      <c r="N29" s="143">
        <v>1.00275E-3</v>
      </c>
      <c r="O29" s="144">
        <v>45.857999999999997</v>
      </c>
      <c r="P29" s="146">
        <v>24</v>
      </c>
    </row>
    <row r="30" spans="1:16" ht="18.75" customHeight="1" x14ac:dyDescent="0.25">
      <c r="A30" s="7">
        <v>25</v>
      </c>
      <c r="B30" s="41">
        <v>3.1698999999999998E-3</v>
      </c>
      <c r="C30" s="31">
        <v>1.0030099999999999E-3</v>
      </c>
      <c r="D30" s="34">
        <v>43.337000000000003</v>
      </c>
      <c r="E30" s="32">
        <v>104.83</v>
      </c>
      <c r="F30" s="13">
        <v>2409.1</v>
      </c>
      <c r="G30" s="32">
        <v>104.83</v>
      </c>
      <c r="H30" s="13">
        <v>2546.5</v>
      </c>
      <c r="I30" s="13">
        <v>2441.6999999999998</v>
      </c>
      <c r="J30" s="33">
        <v>0.36721999999999999</v>
      </c>
      <c r="K30" s="35">
        <v>8.5565999999999995</v>
      </c>
      <c r="L30" s="35">
        <v>8.1893999999999991</v>
      </c>
      <c r="N30" s="143">
        <v>1.0030099999999999E-3</v>
      </c>
      <c r="O30" s="144">
        <v>43.337000000000003</v>
      </c>
      <c r="P30" s="146">
        <v>25</v>
      </c>
    </row>
    <row r="31" spans="1:16" ht="18.75" customHeight="1" x14ac:dyDescent="0.25">
      <c r="A31" s="7">
        <v>26</v>
      </c>
      <c r="B31" s="41">
        <v>3.3639E-3</v>
      </c>
      <c r="C31" s="31">
        <v>1.0032699999999999E-3</v>
      </c>
      <c r="D31" s="34">
        <v>40.972999999999999</v>
      </c>
      <c r="E31" s="32">
        <v>109.01</v>
      </c>
      <c r="F31" s="13">
        <v>2410.5</v>
      </c>
      <c r="G31" s="32">
        <v>109.01</v>
      </c>
      <c r="H31" s="13">
        <v>2548.3000000000002</v>
      </c>
      <c r="I31" s="13">
        <v>2439.3000000000002</v>
      </c>
      <c r="J31" s="33">
        <v>0.38123000000000001</v>
      </c>
      <c r="K31" s="35">
        <v>8.5352999999999994</v>
      </c>
      <c r="L31" s="35">
        <v>8.1540999999999997</v>
      </c>
      <c r="N31" s="143">
        <v>1.0032699999999999E-3</v>
      </c>
      <c r="O31" s="144">
        <v>40.972999999999999</v>
      </c>
      <c r="P31" s="146">
        <v>26</v>
      </c>
    </row>
    <row r="32" spans="1:16" ht="18.75" customHeight="1" x14ac:dyDescent="0.25">
      <c r="A32" s="7">
        <v>27</v>
      </c>
      <c r="B32" s="41">
        <v>3.5680999999999998E-3</v>
      </c>
      <c r="C32" s="31">
        <v>1.00354E-3</v>
      </c>
      <c r="D32" s="34">
        <v>38.753999999999998</v>
      </c>
      <c r="E32" s="32">
        <v>113.19</v>
      </c>
      <c r="F32" s="13">
        <v>2411.8000000000002</v>
      </c>
      <c r="G32" s="32">
        <v>113.19</v>
      </c>
      <c r="H32" s="13">
        <v>2550.1</v>
      </c>
      <c r="I32" s="13">
        <v>2436.9</v>
      </c>
      <c r="J32" s="33">
        <v>0.39517999999999998</v>
      </c>
      <c r="K32" s="35">
        <v>8.5142000000000007</v>
      </c>
      <c r="L32" s="35">
        <v>8.1190999999999995</v>
      </c>
      <c r="N32" s="143">
        <v>1.00354E-3</v>
      </c>
      <c r="O32" s="144">
        <v>38.753999999999998</v>
      </c>
      <c r="P32" s="146">
        <v>27</v>
      </c>
    </row>
    <row r="33" spans="1:16" ht="18.75" customHeight="1" x14ac:dyDescent="0.25">
      <c r="A33" s="7">
        <v>28</v>
      </c>
      <c r="B33" s="41">
        <v>3.7831000000000002E-3</v>
      </c>
      <c r="C33" s="31">
        <v>1.0038200000000001E-3</v>
      </c>
      <c r="D33" s="34">
        <v>36.671999999999997</v>
      </c>
      <c r="E33" s="32">
        <v>117.37</v>
      </c>
      <c r="F33" s="13">
        <v>2413.1999999999998</v>
      </c>
      <c r="G33" s="32">
        <v>117.37</v>
      </c>
      <c r="H33" s="13">
        <v>2551.9</v>
      </c>
      <c r="I33" s="13">
        <v>2434.6</v>
      </c>
      <c r="J33" s="33">
        <v>0.40908</v>
      </c>
      <c r="K33" s="35">
        <v>8.4932999999999996</v>
      </c>
      <c r="L33" s="35">
        <v>8.0841999999999992</v>
      </c>
      <c r="N33" s="143">
        <v>1.0038200000000001E-3</v>
      </c>
      <c r="O33" s="144">
        <v>36.671999999999997</v>
      </c>
      <c r="P33" s="146">
        <v>28</v>
      </c>
    </row>
    <row r="34" spans="1:16" ht="18.75" customHeight="1" x14ac:dyDescent="0.25">
      <c r="A34" s="7">
        <v>29</v>
      </c>
      <c r="B34" s="41">
        <v>4.0092000000000001E-3</v>
      </c>
      <c r="C34" s="31">
        <v>1.0041099999999999E-3</v>
      </c>
      <c r="D34" s="34">
        <v>34.716000000000001</v>
      </c>
      <c r="E34" s="32">
        <v>121.55</v>
      </c>
      <c r="F34" s="13">
        <v>2414.5</v>
      </c>
      <c r="G34" s="32">
        <v>121.55</v>
      </c>
      <c r="H34" s="13">
        <v>2553.6999999999998</v>
      </c>
      <c r="I34" s="13">
        <v>2432.1999999999998</v>
      </c>
      <c r="J34" s="33">
        <v>0.42293999999999998</v>
      </c>
      <c r="K34" s="35">
        <v>8.4725000000000001</v>
      </c>
      <c r="L34" s="35">
        <v>8.0495999999999999</v>
      </c>
      <c r="N34" s="143">
        <v>1.0041099999999999E-3</v>
      </c>
      <c r="O34" s="144">
        <v>34.716000000000001</v>
      </c>
      <c r="P34" s="146">
        <v>29</v>
      </c>
    </row>
    <row r="35" spans="1:16" ht="20.25" customHeight="1" x14ac:dyDescent="0.25">
      <c r="A35" s="7">
        <v>30</v>
      </c>
      <c r="B35" s="41">
        <v>4.2469999999999999E-3</v>
      </c>
      <c r="C35" s="31">
        <v>1.0044100000000001E-3</v>
      </c>
      <c r="D35" s="34">
        <v>32.878</v>
      </c>
      <c r="E35" s="32">
        <v>125.73</v>
      </c>
      <c r="F35" s="13">
        <v>2415.9</v>
      </c>
      <c r="G35" s="32">
        <v>125.73</v>
      </c>
      <c r="H35" s="13">
        <v>2555.5</v>
      </c>
      <c r="I35" s="13">
        <v>2429.8000000000002</v>
      </c>
      <c r="J35" s="33">
        <v>0.43675000000000003</v>
      </c>
      <c r="K35" s="35">
        <v>8.452</v>
      </c>
      <c r="L35" s="35">
        <v>8.0152000000000001</v>
      </c>
      <c r="N35" s="143">
        <v>1.0044100000000001E-3</v>
      </c>
      <c r="O35" s="144">
        <v>32.878</v>
      </c>
      <c r="P35" s="146">
        <v>30</v>
      </c>
    </row>
    <row r="36" spans="1:16" ht="20.25" customHeight="1" x14ac:dyDescent="0.25">
      <c r="A36" s="7">
        <v>31</v>
      </c>
      <c r="B36" s="41">
        <v>4.4968999999999999E-3</v>
      </c>
      <c r="C36" s="31">
        <v>1.00472E-3</v>
      </c>
      <c r="D36" s="34">
        <v>31.151</v>
      </c>
      <c r="E36" s="32">
        <v>129.91</v>
      </c>
      <c r="F36" s="13">
        <v>2417.1999999999998</v>
      </c>
      <c r="G36" s="32">
        <v>129.91</v>
      </c>
      <c r="H36" s="13">
        <v>2557.3000000000002</v>
      </c>
      <c r="I36" s="13">
        <v>2427.4</v>
      </c>
      <c r="J36" s="33">
        <v>0.45051999999999998</v>
      </c>
      <c r="K36" s="35">
        <v>8.4315999999999995</v>
      </c>
      <c r="L36" s="35">
        <v>7.9809999999999999</v>
      </c>
      <c r="N36" s="143">
        <v>1.00472E-3</v>
      </c>
      <c r="O36" s="144">
        <v>31.151</v>
      </c>
      <c r="P36" s="146">
        <v>31</v>
      </c>
    </row>
    <row r="37" spans="1:16" ht="18.75" customHeight="1" x14ac:dyDescent="0.25">
      <c r="A37" s="7">
        <v>32</v>
      </c>
      <c r="B37" s="41">
        <v>4.7596000000000001E-3</v>
      </c>
      <c r="C37" s="31">
        <v>1.00504E-3</v>
      </c>
      <c r="D37" s="34">
        <v>29.526</v>
      </c>
      <c r="E37" s="32">
        <v>134.09</v>
      </c>
      <c r="F37" s="13">
        <v>2418.6999999999998</v>
      </c>
      <c r="G37" s="32">
        <v>134.09</v>
      </c>
      <c r="H37" s="13">
        <v>2559.1999999999998</v>
      </c>
      <c r="I37" s="13">
        <v>2425.1</v>
      </c>
      <c r="J37" s="33">
        <v>0.46423999999999999</v>
      </c>
      <c r="K37" s="35">
        <v>8.4113000000000007</v>
      </c>
      <c r="L37" s="35">
        <v>7.9470999999999998</v>
      </c>
      <c r="N37" s="143">
        <v>1.00504E-3</v>
      </c>
      <c r="O37" s="144">
        <v>29.526</v>
      </c>
      <c r="P37" s="146">
        <v>32</v>
      </c>
    </row>
    <row r="38" spans="1:16" ht="18.75" customHeight="1" x14ac:dyDescent="0.25">
      <c r="A38" s="7">
        <v>33</v>
      </c>
      <c r="B38" s="41">
        <v>5.0353999999999998E-3</v>
      </c>
      <c r="C38" s="31">
        <v>1.00537E-3</v>
      </c>
      <c r="D38" s="34">
        <v>27.998000000000001</v>
      </c>
      <c r="E38" s="32">
        <v>138.26</v>
      </c>
      <c r="F38" s="13">
        <v>2420</v>
      </c>
      <c r="G38" s="32">
        <v>138.27000000000001</v>
      </c>
      <c r="H38" s="13">
        <v>2561</v>
      </c>
      <c r="I38" s="13">
        <v>2422.6999999999998</v>
      </c>
      <c r="J38" s="33">
        <v>0.47792000000000001</v>
      </c>
      <c r="K38" s="35">
        <v>8.3912999999999993</v>
      </c>
      <c r="L38" s="35">
        <v>7.9134000000000002</v>
      </c>
      <c r="N38" s="143">
        <v>1.00537E-3</v>
      </c>
      <c r="O38" s="144">
        <v>27.998000000000001</v>
      </c>
      <c r="P38" s="146">
        <v>33</v>
      </c>
    </row>
    <row r="39" spans="1:16" ht="18.75" customHeight="1" x14ac:dyDescent="0.25">
      <c r="A39" s="7">
        <v>34</v>
      </c>
      <c r="B39" s="41">
        <v>5.3251000000000001E-3</v>
      </c>
      <c r="C39" s="31">
        <v>1.0057E-3</v>
      </c>
      <c r="D39" s="34">
        <v>26.56</v>
      </c>
      <c r="E39" s="32">
        <v>142.44</v>
      </c>
      <c r="F39" s="13">
        <v>2421.4</v>
      </c>
      <c r="G39" s="32">
        <v>142.44999999999999</v>
      </c>
      <c r="H39" s="13">
        <v>2562.8000000000002</v>
      </c>
      <c r="I39" s="13">
        <v>2420.3000000000002</v>
      </c>
      <c r="J39" s="33">
        <v>0.49154999999999999</v>
      </c>
      <c r="K39" s="35">
        <v>8.3713999999999995</v>
      </c>
      <c r="L39" s="35">
        <v>7.8799000000000001</v>
      </c>
      <c r="N39" s="143">
        <v>1.0057E-3</v>
      </c>
      <c r="O39" s="144">
        <v>26.56</v>
      </c>
      <c r="P39" s="146">
        <v>34</v>
      </c>
    </row>
    <row r="40" spans="1:16" ht="18.75" customHeight="1" x14ac:dyDescent="0.25">
      <c r="A40" s="7">
        <v>35</v>
      </c>
      <c r="B40" s="41">
        <v>5.6290000000000003E-3</v>
      </c>
      <c r="C40" s="31">
        <v>1.0060500000000001E-3</v>
      </c>
      <c r="D40" s="34">
        <v>25.204999999999998</v>
      </c>
      <c r="E40" s="32">
        <v>146.62</v>
      </c>
      <c r="F40" s="13">
        <v>2422.6</v>
      </c>
      <c r="G40" s="32">
        <v>146.63</v>
      </c>
      <c r="H40" s="13">
        <v>2564.5</v>
      </c>
      <c r="I40" s="13">
        <v>2417.9</v>
      </c>
      <c r="J40" s="33">
        <v>0.50512999999999997</v>
      </c>
      <c r="K40" s="35">
        <v>8.3516999999999992</v>
      </c>
      <c r="L40" s="35">
        <v>7.8465999999999996</v>
      </c>
      <c r="N40" s="143">
        <v>1.0060500000000001E-3</v>
      </c>
      <c r="O40" s="144">
        <v>25.204999999999998</v>
      </c>
      <c r="P40" s="146">
        <v>35</v>
      </c>
    </row>
    <row r="41" spans="1:16" ht="18.75" customHeight="1" x14ac:dyDescent="0.25">
      <c r="A41" s="7">
        <v>36</v>
      </c>
      <c r="B41" s="41">
        <v>5.9478999999999999E-3</v>
      </c>
      <c r="C41" s="31">
        <v>1.0064E-3</v>
      </c>
      <c r="D41" s="34">
        <v>23.928999999999998</v>
      </c>
      <c r="E41" s="32">
        <v>150.80000000000001</v>
      </c>
      <c r="F41" s="13">
        <v>2424</v>
      </c>
      <c r="G41" s="32">
        <v>150.81</v>
      </c>
      <c r="H41" s="13">
        <v>2566.3000000000002</v>
      </c>
      <c r="I41" s="13">
        <v>2415.5</v>
      </c>
      <c r="J41" s="33">
        <v>0.51866999999999996</v>
      </c>
      <c r="K41" s="35">
        <v>8.3321000000000005</v>
      </c>
      <c r="L41" s="35">
        <v>7.8135000000000003</v>
      </c>
      <c r="N41" s="143">
        <v>1.0064E-3</v>
      </c>
      <c r="O41" s="144">
        <v>23.928999999999998</v>
      </c>
      <c r="P41" s="146">
        <v>36</v>
      </c>
    </row>
    <row r="42" spans="1:16" ht="18.75" customHeight="1" x14ac:dyDescent="0.25">
      <c r="A42" s="7">
        <v>37</v>
      </c>
      <c r="B42" s="41">
        <v>6.2823000000000002E-3</v>
      </c>
      <c r="C42" s="31">
        <v>1.00676E-3</v>
      </c>
      <c r="D42" s="34">
        <v>22.727</v>
      </c>
      <c r="E42" s="32">
        <v>154.97999999999999</v>
      </c>
      <c r="F42" s="13">
        <v>2425.3000000000002</v>
      </c>
      <c r="G42" s="32">
        <v>154.99</v>
      </c>
      <c r="H42" s="13">
        <v>2568.1</v>
      </c>
      <c r="I42" s="13">
        <v>2413.1</v>
      </c>
      <c r="J42" s="33">
        <v>0.53217000000000003</v>
      </c>
      <c r="K42" s="35">
        <v>8.3126999999999995</v>
      </c>
      <c r="L42" s="35">
        <v>7.7805999999999997</v>
      </c>
      <c r="N42" s="143">
        <v>1.00676E-3</v>
      </c>
      <c r="O42" s="144">
        <v>22.727</v>
      </c>
      <c r="P42" s="146">
        <v>37</v>
      </c>
    </row>
    <row r="43" spans="1:16" ht="18.75" customHeight="1" x14ac:dyDescent="0.25">
      <c r="A43" s="7">
        <v>38</v>
      </c>
      <c r="B43" s="41">
        <v>6.6328000000000003E-3</v>
      </c>
      <c r="C43" s="31">
        <v>1.00713E-3</v>
      </c>
      <c r="D43" s="34">
        <v>21.593</v>
      </c>
      <c r="E43" s="32">
        <v>159.16</v>
      </c>
      <c r="F43" s="13">
        <v>2426.6999999999998</v>
      </c>
      <c r="G43" s="32">
        <v>159.16999999999999</v>
      </c>
      <c r="H43" s="13">
        <v>2569.9</v>
      </c>
      <c r="I43" s="13">
        <v>2410.8000000000002</v>
      </c>
      <c r="J43" s="33">
        <v>0.54561999999999999</v>
      </c>
      <c r="K43" s="35">
        <v>8.2934999999999999</v>
      </c>
      <c r="L43" s="35">
        <v>7.7478999999999996</v>
      </c>
      <c r="N43" s="143">
        <v>1.00713E-3</v>
      </c>
      <c r="O43" s="144">
        <v>21.593</v>
      </c>
      <c r="P43" s="146">
        <v>38</v>
      </c>
    </row>
    <row r="44" spans="1:16" ht="18.75" customHeight="1" x14ac:dyDescent="0.25">
      <c r="A44" s="7">
        <v>39</v>
      </c>
      <c r="B44" s="41">
        <v>7.0001999999999998E-3</v>
      </c>
      <c r="C44" s="31">
        <v>1.0074999999999999E-3</v>
      </c>
      <c r="D44" s="34">
        <v>20.524000000000001</v>
      </c>
      <c r="E44" s="32">
        <v>163.34</v>
      </c>
      <c r="F44" s="13">
        <v>2428</v>
      </c>
      <c r="G44" s="32">
        <v>163.35</v>
      </c>
      <c r="H44" s="13">
        <v>2571.6999999999998</v>
      </c>
      <c r="I44" s="13">
        <v>2408.4</v>
      </c>
      <c r="J44" s="33">
        <v>0.55903000000000003</v>
      </c>
      <c r="K44" s="35">
        <v>8.2744999999999997</v>
      </c>
      <c r="L44" s="35">
        <v>7.7153999999999998</v>
      </c>
      <c r="N44" s="143">
        <v>1.0074999999999999E-3</v>
      </c>
      <c r="O44" s="144">
        <v>20.524000000000001</v>
      </c>
      <c r="P44" s="146">
        <v>39</v>
      </c>
    </row>
    <row r="45" spans="1:16" ht="18.75" customHeight="1" x14ac:dyDescent="0.25">
      <c r="A45" s="7">
        <v>40</v>
      </c>
      <c r="B45" s="41">
        <v>7.3848999999999998E-3</v>
      </c>
      <c r="C45" s="31">
        <v>1.00789E-3</v>
      </c>
      <c r="D45" s="34">
        <v>19.515000000000001</v>
      </c>
      <c r="E45" s="32">
        <v>167.52</v>
      </c>
      <c r="F45" s="13">
        <v>2429.4</v>
      </c>
      <c r="G45" s="32">
        <v>167.53</v>
      </c>
      <c r="H45" s="13">
        <v>2573.5</v>
      </c>
      <c r="I45" s="13">
        <v>2406</v>
      </c>
      <c r="J45" s="33">
        <v>0.57240000000000002</v>
      </c>
      <c r="K45" s="35">
        <v>8.2554999999999996</v>
      </c>
      <c r="L45" s="35">
        <v>7.6830999999999996</v>
      </c>
      <c r="N45" s="143">
        <v>1.00789E-3</v>
      </c>
      <c r="O45" s="144">
        <v>19.515000000000001</v>
      </c>
      <c r="P45" s="146">
        <v>40</v>
      </c>
    </row>
    <row r="46" spans="1:16" ht="13.8" x14ac:dyDescent="0.25">
      <c r="A46" s="7">
        <v>41</v>
      </c>
      <c r="B46" s="12">
        <v>7.7878000000000001E-3</v>
      </c>
      <c r="C46" s="31">
        <v>1.0082800000000001E-3</v>
      </c>
      <c r="D46" s="34">
        <v>18.562999999999999</v>
      </c>
      <c r="E46" s="32">
        <v>171.7</v>
      </c>
      <c r="F46" s="13">
        <v>2430.6999999999998</v>
      </c>
      <c r="G46" s="32">
        <v>171.71</v>
      </c>
      <c r="H46" s="13">
        <v>2575.3000000000002</v>
      </c>
      <c r="I46" s="13">
        <v>2403.6</v>
      </c>
      <c r="J46" s="33">
        <v>0.58572999999999997</v>
      </c>
      <c r="K46" s="35">
        <v>8.2368000000000006</v>
      </c>
      <c r="L46" s="35">
        <v>7.6510999999999996</v>
      </c>
      <c r="N46" s="143">
        <v>1.0082800000000001E-3</v>
      </c>
      <c r="O46" s="144">
        <v>18.562999999999999</v>
      </c>
      <c r="P46" s="146">
        <v>41</v>
      </c>
    </row>
    <row r="47" spans="1:16" ht="13.8" x14ac:dyDescent="0.25">
      <c r="A47" s="7">
        <v>42</v>
      </c>
      <c r="B47" s="12">
        <v>8.2095999999999992E-3</v>
      </c>
      <c r="C47" s="31">
        <v>1.0086800000000001E-3</v>
      </c>
      <c r="D47" s="34">
        <v>17.664000000000001</v>
      </c>
      <c r="E47" s="32">
        <v>175.88</v>
      </c>
      <c r="F47" s="13">
        <v>2432.1</v>
      </c>
      <c r="G47" s="32">
        <v>175.89</v>
      </c>
      <c r="H47" s="13">
        <v>2577.1</v>
      </c>
      <c r="I47" s="13">
        <v>2401.1999999999998</v>
      </c>
      <c r="J47" s="33">
        <v>0.59901000000000004</v>
      </c>
      <c r="K47" s="35">
        <v>8.2181999999999995</v>
      </c>
      <c r="L47" s="35">
        <v>7.6192000000000002</v>
      </c>
      <c r="N47" s="143">
        <v>1.0086800000000001E-3</v>
      </c>
      <c r="O47" s="144">
        <v>17.664000000000001</v>
      </c>
      <c r="P47" s="146">
        <v>42</v>
      </c>
    </row>
    <row r="48" spans="1:16" ht="13.8" x14ac:dyDescent="0.25">
      <c r="A48" s="7">
        <v>43</v>
      </c>
      <c r="B48" s="12">
        <v>8.6508000000000002E-3</v>
      </c>
      <c r="C48" s="31">
        <v>1.00909E-3</v>
      </c>
      <c r="D48" s="34">
        <v>16.814</v>
      </c>
      <c r="E48" s="32">
        <v>180.06</v>
      </c>
      <c r="F48" s="13">
        <v>2433.4</v>
      </c>
      <c r="G48" s="32">
        <v>180.07</v>
      </c>
      <c r="H48" s="13">
        <v>2578.9</v>
      </c>
      <c r="I48" s="13">
        <v>2398.8000000000002</v>
      </c>
      <c r="J48" s="33">
        <v>0.61224999999999996</v>
      </c>
      <c r="K48" s="35">
        <v>8.1997999999999998</v>
      </c>
      <c r="L48" s="35">
        <v>7.5875000000000004</v>
      </c>
      <c r="N48" s="143">
        <v>1.00909E-3</v>
      </c>
      <c r="O48" s="144">
        <v>16.814</v>
      </c>
      <c r="P48" s="146">
        <v>43</v>
      </c>
    </row>
    <row r="49" spans="1:16" ht="13.8" x14ac:dyDescent="0.25">
      <c r="A49" s="7">
        <v>44</v>
      </c>
      <c r="B49" s="12">
        <v>9.1123999999999997E-3</v>
      </c>
      <c r="C49" s="31">
        <v>1.0095E-3</v>
      </c>
      <c r="D49" s="34">
        <v>16.010999999999999</v>
      </c>
      <c r="E49" s="32">
        <v>184.24</v>
      </c>
      <c r="F49" s="13">
        <v>2434.6999999999998</v>
      </c>
      <c r="G49" s="32">
        <v>184.25</v>
      </c>
      <c r="H49" s="13">
        <v>2580.6</v>
      </c>
      <c r="I49" s="13">
        <v>2396.4</v>
      </c>
      <c r="J49" s="33">
        <v>0.62544999999999995</v>
      </c>
      <c r="K49" s="35">
        <v>8.1814999999999998</v>
      </c>
      <c r="L49" s="35">
        <v>7.556</v>
      </c>
      <c r="N49" s="143">
        <v>1.0095E-3</v>
      </c>
      <c r="O49" s="144">
        <v>16.010999999999999</v>
      </c>
      <c r="P49" s="146">
        <v>44</v>
      </c>
    </row>
    <row r="50" spans="1:16" ht="13.8" x14ac:dyDescent="0.25">
      <c r="A50" s="7">
        <v>45</v>
      </c>
      <c r="B50" s="12">
        <v>9.5949999999999994E-3</v>
      </c>
      <c r="C50" s="31">
        <v>1.0099200000000001E-3</v>
      </c>
      <c r="D50" s="34">
        <v>15.252000000000001</v>
      </c>
      <c r="E50" s="32">
        <v>188.42</v>
      </c>
      <c r="F50" s="13">
        <v>2436.1</v>
      </c>
      <c r="G50" s="32">
        <v>188.43</v>
      </c>
      <c r="H50" s="13">
        <v>2582.4</v>
      </c>
      <c r="I50" s="13">
        <v>2394</v>
      </c>
      <c r="J50" s="33">
        <v>0.63861000000000001</v>
      </c>
      <c r="K50" s="35">
        <v>8.1632999999999996</v>
      </c>
      <c r="L50" s="35">
        <v>7.5247000000000002</v>
      </c>
      <c r="N50" s="143">
        <v>1.0099200000000001E-3</v>
      </c>
      <c r="O50" s="144">
        <v>15.252000000000001</v>
      </c>
      <c r="P50" s="146">
        <v>45</v>
      </c>
    </row>
    <row r="51" spans="1:16" ht="13.8" x14ac:dyDescent="0.25">
      <c r="A51" s="7">
        <v>46</v>
      </c>
      <c r="B51" s="26">
        <v>1.0099E-2</v>
      </c>
      <c r="C51" s="31">
        <v>1.0103600000000001E-3</v>
      </c>
      <c r="D51" s="34">
        <v>14.534000000000001</v>
      </c>
      <c r="E51" s="32">
        <v>192.61</v>
      </c>
      <c r="F51" s="13">
        <v>2437.4</v>
      </c>
      <c r="G51" s="32">
        <v>192.62</v>
      </c>
      <c r="H51" s="13">
        <v>2584.1999999999998</v>
      </c>
      <c r="I51" s="13">
        <v>2391.6</v>
      </c>
      <c r="J51" s="33">
        <v>0.65173000000000003</v>
      </c>
      <c r="K51" s="35">
        <v>8.1453000000000007</v>
      </c>
      <c r="L51" s="35">
        <v>7.4935999999999998</v>
      </c>
      <c r="N51" s="143">
        <v>1.0103600000000001E-3</v>
      </c>
      <c r="O51" s="144">
        <v>14.534000000000001</v>
      </c>
      <c r="P51" s="146">
        <v>46</v>
      </c>
    </row>
    <row r="52" spans="1:16" ht="13.8" x14ac:dyDescent="0.25">
      <c r="A52" s="7">
        <v>47</v>
      </c>
      <c r="B52" s="26">
        <v>1.0626999999999999E-2</v>
      </c>
      <c r="C52" s="31">
        <v>1.0107899999999999E-3</v>
      </c>
      <c r="D52" s="34">
        <v>13.855</v>
      </c>
      <c r="E52" s="32">
        <v>196.79</v>
      </c>
      <c r="F52" s="13">
        <v>2438.8000000000002</v>
      </c>
      <c r="G52" s="32">
        <v>196.8</v>
      </c>
      <c r="H52" s="13">
        <v>2586</v>
      </c>
      <c r="I52" s="13">
        <v>2389.1999999999998</v>
      </c>
      <c r="J52" s="33">
        <v>0.66481000000000001</v>
      </c>
      <c r="K52" s="35">
        <v>8.1274999999999995</v>
      </c>
      <c r="L52" s="35">
        <v>7.4626999999999999</v>
      </c>
      <c r="N52" s="143">
        <v>1.0107899999999999E-3</v>
      </c>
      <c r="O52" s="144">
        <v>13.855</v>
      </c>
      <c r="P52" s="146">
        <v>47</v>
      </c>
    </row>
    <row r="53" spans="1:16" ht="13.8" x14ac:dyDescent="0.25">
      <c r="A53" s="7">
        <v>48</v>
      </c>
      <c r="B53" s="26">
        <v>1.1176999999999999E-2</v>
      </c>
      <c r="C53" s="31">
        <v>1.0112400000000001E-3</v>
      </c>
      <c r="D53" s="34">
        <v>13.212</v>
      </c>
      <c r="E53" s="32">
        <v>200.97</v>
      </c>
      <c r="F53" s="13">
        <v>2440.1</v>
      </c>
      <c r="G53" s="32">
        <v>200.98</v>
      </c>
      <c r="H53" s="13">
        <v>2587.8000000000002</v>
      </c>
      <c r="I53" s="13">
        <v>2386.8000000000002</v>
      </c>
      <c r="J53" s="33">
        <v>0.67784999999999995</v>
      </c>
      <c r="K53" s="35">
        <v>8.1097999999999999</v>
      </c>
      <c r="L53" s="35">
        <v>7.4320000000000004</v>
      </c>
      <c r="N53" s="143">
        <v>1.0112400000000001E-3</v>
      </c>
      <c r="O53" s="144">
        <v>13.212</v>
      </c>
      <c r="P53" s="146">
        <v>48</v>
      </c>
    </row>
    <row r="54" spans="1:16" ht="13.8" x14ac:dyDescent="0.25">
      <c r="A54" s="7">
        <v>49</v>
      </c>
      <c r="B54" s="26">
        <v>1.1752E-2</v>
      </c>
      <c r="C54" s="31">
        <v>1.01169E-3</v>
      </c>
      <c r="D54" s="34">
        <v>12.603</v>
      </c>
      <c r="E54" s="32">
        <v>205.15</v>
      </c>
      <c r="F54" s="13">
        <v>2441.4</v>
      </c>
      <c r="G54" s="32">
        <v>205.16</v>
      </c>
      <c r="H54" s="13">
        <v>2589.5</v>
      </c>
      <c r="I54" s="13">
        <v>2384.4</v>
      </c>
      <c r="J54" s="33">
        <v>0.69084999999999996</v>
      </c>
      <c r="K54" s="35">
        <v>8.0922000000000001</v>
      </c>
      <c r="L54" s="35">
        <v>7.4013999999999998</v>
      </c>
      <c r="N54" s="143">
        <v>1.01169E-3</v>
      </c>
      <c r="O54" s="144">
        <v>12.603</v>
      </c>
      <c r="P54" s="146">
        <v>49</v>
      </c>
    </row>
    <row r="55" spans="1:16" ht="13.8" x14ac:dyDescent="0.25">
      <c r="A55" s="7">
        <v>50</v>
      </c>
      <c r="B55" s="26">
        <v>1.2352E-2</v>
      </c>
      <c r="C55" s="31">
        <v>1.0121500000000001E-3</v>
      </c>
      <c r="D55" s="34">
        <v>12.026999999999999</v>
      </c>
      <c r="E55" s="32">
        <v>209.33</v>
      </c>
      <c r="F55" s="13">
        <v>2442.6999999999998</v>
      </c>
      <c r="G55" s="32">
        <v>209.34</v>
      </c>
      <c r="H55" s="13">
        <v>2591.3000000000002</v>
      </c>
      <c r="I55" s="13">
        <v>2381.9</v>
      </c>
      <c r="J55" s="33">
        <v>0.70381000000000005</v>
      </c>
      <c r="K55" s="35">
        <v>8.0747999999999998</v>
      </c>
      <c r="L55" s="35">
        <v>7.3710000000000004</v>
      </c>
      <c r="N55" s="143">
        <v>1.0121500000000001E-3</v>
      </c>
      <c r="O55" s="144">
        <v>12.026999999999999</v>
      </c>
      <c r="P55" s="146">
        <v>50</v>
      </c>
    </row>
    <row r="56" spans="1:16" ht="13.8" x14ac:dyDescent="0.25">
      <c r="A56" s="7">
        <v>51</v>
      </c>
      <c r="B56" s="26">
        <v>1.2978E-2</v>
      </c>
      <c r="C56" s="31">
        <v>1.0126200000000001E-3</v>
      </c>
      <c r="D56" s="34">
        <v>11.481</v>
      </c>
      <c r="E56" s="32">
        <v>213.51</v>
      </c>
      <c r="F56" s="13">
        <v>2444.1</v>
      </c>
      <c r="G56" s="32">
        <v>213.52</v>
      </c>
      <c r="H56" s="13">
        <v>2593.1</v>
      </c>
      <c r="I56" s="13">
        <v>2379.5</v>
      </c>
      <c r="J56" s="33">
        <v>0.71672999999999998</v>
      </c>
      <c r="K56" s="35">
        <v>8.0576000000000008</v>
      </c>
      <c r="L56" s="35">
        <v>7.3407999999999998</v>
      </c>
      <c r="N56" s="143">
        <v>1.0126200000000001E-3</v>
      </c>
      <c r="O56" s="144">
        <v>11.481</v>
      </c>
      <c r="P56" s="146">
        <v>51</v>
      </c>
    </row>
    <row r="57" spans="1:16" ht="13.8" x14ac:dyDescent="0.25">
      <c r="A57" s="7">
        <v>52</v>
      </c>
      <c r="B57" s="26">
        <v>1.3631000000000001E-2</v>
      </c>
      <c r="C57" s="31">
        <v>1.0130899999999999E-3</v>
      </c>
      <c r="D57" s="34">
        <v>10.962999999999999</v>
      </c>
      <c r="E57" s="32">
        <v>217.7</v>
      </c>
      <c r="F57" s="13">
        <v>2445.4</v>
      </c>
      <c r="G57" s="32">
        <v>217.71</v>
      </c>
      <c r="H57" s="13">
        <v>2594.8000000000002</v>
      </c>
      <c r="I57" s="13">
        <v>2377.1</v>
      </c>
      <c r="J57" s="33">
        <v>0.72960999999999998</v>
      </c>
      <c r="K57" s="35">
        <v>8.0404</v>
      </c>
      <c r="L57" s="35">
        <v>7.3108000000000004</v>
      </c>
      <c r="N57" s="143">
        <v>1.0130899999999999E-3</v>
      </c>
      <c r="O57" s="144">
        <v>10.962999999999999</v>
      </c>
      <c r="P57" s="146">
        <v>52</v>
      </c>
    </row>
    <row r="58" spans="1:16" ht="13.8" x14ac:dyDescent="0.25">
      <c r="A58" s="7">
        <v>53</v>
      </c>
      <c r="B58" s="26">
        <v>1.4312E-2</v>
      </c>
      <c r="C58" s="31">
        <v>1.0135700000000001E-3</v>
      </c>
      <c r="D58" s="34">
        <v>10.472</v>
      </c>
      <c r="E58" s="32">
        <v>221.88</v>
      </c>
      <c r="F58" s="13">
        <v>2446.6999999999998</v>
      </c>
      <c r="G58" s="32">
        <v>221.89</v>
      </c>
      <c r="H58" s="13">
        <v>2596.6</v>
      </c>
      <c r="I58" s="13">
        <v>2374.6999999999998</v>
      </c>
      <c r="J58" s="33">
        <v>0.74245000000000005</v>
      </c>
      <c r="K58" s="35">
        <v>8.0234000000000005</v>
      </c>
      <c r="L58" s="35">
        <v>7.2809999999999997</v>
      </c>
      <c r="N58" s="143">
        <v>1.0135700000000001E-3</v>
      </c>
      <c r="O58" s="144">
        <v>10.472</v>
      </c>
      <c r="P58" s="146">
        <v>53</v>
      </c>
    </row>
    <row r="59" spans="1:16" ht="13.8" x14ac:dyDescent="0.25">
      <c r="A59" s="7">
        <v>54</v>
      </c>
      <c r="B59" s="26">
        <v>1.5022000000000001E-2</v>
      </c>
      <c r="C59" s="31">
        <v>1.01406E-3</v>
      </c>
      <c r="D59" s="34">
        <v>10.006</v>
      </c>
      <c r="E59" s="32">
        <v>226.05</v>
      </c>
      <c r="F59" s="13">
        <v>2448</v>
      </c>
      <c r="G59" s="32">
        <v>226.07</v>
      </c>
      <c r="H59" s="13">
        <v>2598.3000000000002</v>
      </c>
      <c r="I59" s="13">
        <v>2372.3000000000002</v>
      </c>
      <c r="J59" s="33">
        <v>0.75526000000000004</v>
      </c>
      <c r="K59" s="35">
        <v>8.0066000000000006</v>
      </c>
      <c r="L59" s="35">
        <v>7.2512999999999996</v>
      </c>
      <c r="N59" s="143">
        <v>1.01406E-3</v>
      </c>
      <c r="O59" s="144">
        <v>10.006</v>
      </c>
      <c r="P59" s="146">
        <v>54</v>
      </c>
    </row>
    <row r="60" spans="1:16" ht="13.8" x14ac:dyDescent="0.25">
      <c r="A60" s="7">
        <v>55</v>
      </c>
      <c r="B60" s="26">
        <v>1.5762000000000002E-2</v>
      </c>
      <c r="C60" s="31">
        <v>1.0145499999999999E-3</v>
      </c>
      <c r="D60" s="35">
        <v>9.5642999999999994</v>
      </c>
      <c r="E60" s="32">
        <v>230.24</v>
      </c>
      <c r="F60" s="13">
        <v>2449.3000000000002</v>
      </c>
      <c r="G60" s="32">
        <v>230.26</v>
      </c>
      <c r="H60" s="13">
        <v>2600.1</v>
      </c>
      <c r="I60" s="13">
        <v>2369.8000000000002</v>
      </c>
      <c r="J60" s="33">
        <v>0.76802000000000004</v>
      </c>
      <c r="K60" s="35">
        <v>7.9897999999999998</v>
      </c>
      <c r="L60" s="35">
        <v>7.2218</v>
      </c>
      <c r="N60" s="143">
        <v>1.0145499999999999E-3</v>
      </c>
      <c r="O60" s="147">
        <v>9.5642999999999994</v>
      </c>
      <c r="P60" s="146">
        <v>55</v>
      </c>
    </row>
    <row r="61" spans="1:16" ht="13.8" x14ac:dyDescent="0.25">
      <c r="A61" s="7">
        <v>56</v>
      </c>
      <c r="B61" s="26">
        <v>1.6532999999999999E-2</v>
      </c>
      <c r="C61" s="31">
        <v>1.01505E-3</v>
      </c>
      <c r="D61" s="35">
        <v>9.1448</v>
      </c>
      <c r="E61" s="32">
        <v>234.42</v>
      </c>
      <c r="F61" s="13">
        <v>2450.6</v>
      </c>
      <c r="G61" s="32">
        <v>234.44</v>
      </c>
      <c r="H61" s="13">
        <v>2601.8000000000002</v>
      </c>
      <c r="I61" s="13">
        <v>2367.4</v>
      </c>
      <c r="J61" s="33">
        <v>0.78075000000000006</v>
      </c>
      <c r="K61" s="35">
        <v>7.9732000000000003</v>
      </c>
      <c r="L61" s="35">
        <v>7.1924999999999999</v>
      </c>
      <c r="N61" s="143">
        <v>1.01505E-3</v>
      </c>
      <c r="O61" s="147">
        <v>9.1448</v>
      </c>
      <c r="P61" s="146">
        <v>56</v>
      </c>
    </row>
    <row r="62" spans="1:16" ht="13.8" x14ac:dyDescent="0.25">
      <c r="A62" s="7">
        <v>57</v>
      </c>
      <c r="B62" s="26">
        <v>1.7336000000000001E-2</v>
      </c>
      <c r="C62" s="31">
        <v>1.01556E-3</v>
      </c>
      <c r="D62" s="35">
        <v>8.7466000000000008</v>
      </c>
      <c r="E62" s="32">
        <v>238.6</v>
      </c>
      <c r="F62" s="13">
        <v>2452</v>
      </c>
      <c r="G62" s="32">
        <v>238.62</v>
      </c>
      <c r="H62" s="13">
        <v>2603.6</v>
      </c>
      <c r="I62" s="13">
        <v>2365</v>
      </c>
      <c r="J62" s="33">
        <v>0.79344000000000003</v>
      </c>
      <c r="K62" s="35">
        <v>7.9568000000000003</v>
      </c>
      <c r="L62" s="35">
        <v>7.1632999999999996</v>
      </c>
      <c r="N62" s="143">
        <v>1.01556E-3</v>
      </c>
      <c r="O62" s="147">
        <v>8.7466000000000008</v>
      </c>
      <c r="P62" s="146">
        <v>57</v>
      </c>
    </row>
    <row r="63" spans="1:16" ht="13.8" x14ac:dyDescent="0.25">
      <c r="A63" s="7">
        <v>58</v>
      </c>
      <c r="B63" s="26">
        <v>1.8171E-2</v>
      </c>
      <c r="C63" s="31">
        <v>1.0160799999999999E-3</v>
      </c>
      <c r="D63" s="35">
        <v>8.3682999999999996</v>
      </c>
      <c r="E63" s="32">
        <v>242.79</v>
      </c>
      <c r="F63" s="13">
        <v>2453.1999999999998</v>
      </c>
      <c r="G63" s="32">
        <v>242.81</v>
      </c>
      <c r="H63" s="13">
        <v>2605.3000000000002</v>
      </c>
      <c r="I63" s="13">
        <v>2362.5</v>
      </c>
      <c r="J63" s="33">
        <v>0.80610000000000004</v>
      </c>
      <c r="K63" s="35">
        <v>7.9404000000000003</v>
      </c>
      <c r="L63" s="35">
        <v>7.1342999999999996</v>
      </c>
      <c r="N63" s="143">
        <v>1.0160799999999999E-3</v>
      </c>
      <c r="O63" s="147">
        <v>8.3682999999999996</v>
      </c>
      <c r="P63" s="146">
        <v>58</v>
      </c>
    </row>
    <row r="64" spans="1:16" ht="13.8" x14ac:dyDescent="0.25">
      <c r="A64" s="7">
        <v>59</v>
      </c>
      <c r="B64" s="26">
        <v>1.9040999999999999E-2</v>
      </c>
      <c r="C64" s="31">
        <v>1.0166000000000001E-3</v>
      </c>
      <c r="D64" s="35">
        <v>8.0089000000000006</v>
      </c>
      <c r="E64" s="32">
        <v>246.97</v>
      </c>
      <c r="F64" s="13">
        <v>2454.6</v>
      </c>
      <c r="G64" s="32">
        <v>246.99</v>
      </c>
      <c r="H64" s="13">
        <v>2607.1</v>
      </c>
      <c r="I64" s="13">
        <v>2360.1</v>
      </c>
      <c r="J64" s="33">
        <v>0.81871000000000005</v>
      </c>
      <c r="K64" s="35">
        <v>7.9241999999999999</v>
      </c>
      <c r="L64" s="35">
        <v>7.1055000000000001</v>
      </c>
      <c r="N64" s="143">
        <v>1.0166000000000001E-3</v>
      </c>
      <c r="O64" s="147">
        <v>8.0089000000000006</v>
      </c>
      <c r="P64" s="146">
        <v>59</v>
      </c>
    </row>
    <row r="65" spans="1:16" ht="13.8" x14ac:dyDescent="0.25">
      <c r="A65" s="7">
        <v>60</v>
      </c>
      <c r="B65" s="26">
        <v>1.9945999999999998E-2</v>
      </c>
      <c r="C65" s="31">
        <v>1.01713E-3</v>
      </c>
      <c r="D65" s="35">
        <v>7.6672000000000002</v>
      </c>
      <c r="E65" s="32">
        <v>251.16</v>
      </c>
      <c r="F65" s="13">
        <v>2455.9</v>
      </c>
      <c r="G65" s="32">
        <v>251.18</v>
      </c>
      <c r="H65" s="13">
        <v>2608.8000000000002</v>
      </c>
      <c r="I65" s="13">
        <v>2357.6999999999998</v>
      </c>
      <c r="J65" s="33">
        <v>0.83128999999999997</v>
      </c>
      <c r="K65" s="35">
        <v>7.9081000000000001</v>
      </c>
      <c r="L65" s="35">
        <v>7.0769000000000002</v>
      </c>
      <c r="N65" s="143">
        <v>1.01713E-3</v>
      </c>
      <c r="O65" s="147">
        <v>7.6672000000000002</v>
      </c>
      <c r="P65" s="146">
        <v>60</v>
      </c>
    </row>
    <row r="66" spans="1:16" ht="13.8" x14ac:dyDescent="0.25">
      <c r="A66" s="7">
        <v>61</v>
      </c>
      <c r="B66" s="26">
        <v>2.0888E-2</v>
      </c>
      <c r="C66" s="31">
        <v>1.0176600000000001E-3</v>
      </c>
      <c r="D66" s="35">
        <v>7.3423999999999996</v>
      </c>
      <c r="E66" s="32">
        <v>255.35</v>
      </c>
      <c r="F66" s="13">
        <v>2457.1999999999998</v>
      </c>
      <c r="G66" s="32">
        <v>255.37</v>
      </c>
      <c r="H66" s="13">
        <v>2610.6</v>
      </c>
      <c r="I66" s="13">
        <v>2355.1999999999998</v>
      </c>
      <c r="J66" s="33">
        <v>0.84384000000000003</v>
      </c>
      <c r="K66" s="35">
        <v>7.8921999999999999</v>
      </c>
      <c r="L66" s="35">
        <v>7.0484</v>
      </c>
      <c r="N66" s="143">
        <v>1.0176600000000001E-3</v>
      </c>
      <c r="O66" s="147">
        <v>7.3423999999999996</v>
      </c>
      <c r="P66" s="146">
        <v>61</v>
      </c>
    </row>
    <row r="67" spans="1:16" ht="13.8" x14ac:dyDescent="0.25">
      <c r="A67" s="7">
        <v>62</v>
      </c>
      <c r="B67" s="26">
        <v>2.1867000000000001E-2</v>
      </c>
      <c r="C67" s="31">
        <v>1.0182100000000001E-3</v>
      </c>
      <c r="D67" s="35">
        <v>7.0335000000000001</v>
      </c>
      <c r="E67" s="32">
        <v>259.52999999999997</v>
      </c>
      <c r="F67" s="13">
        <v>2458.5</v>
      </c>
      <c r="G67" s="32">
        <v>259.55</v>
      </c>
      <c r="H67" s="13">
        <v>2612.3000000000002</v>
      </c>
      <c r="I67" s="13">
        <v>2352.8000000000002</v>
      </c>
      <c r="J67" s="33">
        <v>0.85633999999999999</v>
      </c>
      <c r="K67" s="35">
        <v>7.8764000000000003</v>
      </c>
      <c r="L67" s="35">
        <v>7.02</v>
      </c>
      <c r="N67" s="143">
        <v>1.0182100000000001E-3</v>
      </c>
      <c r="O67" s="147">
        <v>7.0335000000000001</v>
      </c>
      <c r="P67" s="146">
        <v>62</v>
      </c>
    </row>
    <row r="68" spans="1:16" ht="13.8" x14ac:dyDescent="0.25">
      <c r="A68" s="7">
        <v>63</v>
      </c>
      <c r="B68" s="26">
        <v>2.2884999999999999E-2</v>
      </c>
      <c r="C68" s="31">
        <v>1.0187499999999999E-3</v>
      </c>
      <c r="D68" s="35">
        <v>6.7396000000000003</v>
      </c>
      <c r="E68" s="32">
        <v>263.72000000000003</v>
      </c>
      <c r="F68" s="13">
        <v>2459.8000000000002</v>
      </c>
      <c r="G68" s="32">
        <v>263.74</v>
      </c>
      <c r="H68" s="13">
        <v>2614</v>
      </c>
      <c r="I68" s="13">
        <v>2350.3000000000002</v>
      </c>
      <c r="J68" s="33">
        <v>0.86882000000000004</v>
      </c>
      <c r="K68" s="35">
        <v>7.8606999999999996</v>
      </c>
      <c r="L68" s="35">
        <v>6.9917999999999996</v>
      </c>
      <c r="N68" s="143">
        <v>1.0187499999999999E-3</v>
      </c>
      <c r="O68" s="147">
        <v>6.7396000000000003</v>
      </c>
      <c r="P68" s="146">
        <v>63</v>
      </c>
    </row>
    <row r="69" spans="1:16" ht="13.8" x14ac:dyDescent="0.25">
      <c r="A69" s="7">
        <v>64</v>
      </c>
      <c r="B69" s="26">
        <v>2.3942999999999999E-2</v>
      </c>
      <c r="C69" s="31">
        <v>1.0193100000000001E-3</v>
      </c>
      <c r="D69" s="35">
        <v>6.4598000000000004</v>
      </c>
      <c r="E69" s="32">
        <v>267.91000000000003</v>
      </c>
      <c r="F69" s="13">
        <v>2461.1</v>
      </c>
      <c r="G69" s="32">
        <v>267.93</v>
      </c>
      <c r="H69" s="13">
        <v>2615.8000000000002</v>
      </c>
      <c r="I69" s="13">
        <v>2347.8000000000002</v>
      </c>
      <c r="J69" s="33">
        <v>0.88124999999999998</v>
      </c>
      <c r="K69" s="35">
        <v>7.8451000000000004</v>
      </c>
      <c r="L69" s="35">
        <v>6.9638</v>
      </c>
      <c r="N69" s="143">
        <v>1.0193100000000001E-3</v>
      </c>
      <c r="O69" s="147">
        <v>6.4598000000000004</v>
      </c>
      <c r="P69" s="146">
        <v>64</v>
      </c>
    </row>
    <row r="70" spans="1:16" ht="13.8" x14ac:dyDescent="0.25">
      <c r="A70" s="7">
        <v>65</v>
      </c>
      <c r="B70" s="26">
        <v>2.5041999999999998E-2</v>
      </c>
      <c r="C70" s="31">
        <v>1.01987E-3</v>
      </c>
      <c r="D70" s="35">
        <v>6.1935000000000002</v>
      </c>
      <c r="E70" s="32">
        <v>272.08999999999997</v>
      </c>
      <c r="F70" s="13">
        <v>2462.4</v>
      </c>
      <c r="G70" s="32">
        <v>272.12</v>
      </c>
      <c r="H70" s="13">
        <v>2617.5</v>
      </c>
      <c r="I70" s="13">
        <v>2345.4</v>
      </c>
      <c r="J70" s="33">
        <v>0.89365000000000006</v>
      </c>
      <c r="K70" s="35">
        <v>7.8296000000000001</v>
      </c>
      <c r="L70" s="35">
        <v>6.9359000000000002</v>
      </c>
      <c r="N70" s="143">
        <v>1.01987E-3</v>
      </c>
      <c r="O70" s="147">
        <v>6.1935000000000002</v>
      </c>
      <c r="P70" s="146">
        <v>65</v>
      </c>
    </row>
    <row r="71" spans="1:16" ht="13.8" x14ac:dyDescent="0.25">
      <c r="A71" s="7">
        <v>66</v>
      </c>
      <c r="B71" s="26">
        <v>2.6183000000000001E-2</v>
      </c>
      <c r="C71" s="31">
        <v>1.0204400000000001E-3</v>
      </c>
      <c r="D71" s="35">
        <v>5.9398999999999997</v>
      </c>
      <c r="E71" s="32">
        <v>276.27</v>
      </c>
      <c r="F71" s="13">
        <v>2463.6999999999998</v>
      </c>
      <c r="G71" s="32">
        <v>276.3</v>
      </c>
      <c r="H71" s="13">
        <v>2619.1999999999998</v>
      </c>
      <c r="I71" s="13">
        <v>2342.9</v>
      </c>
      <c r="J71" s="33">
        <v>0.90602000000000005</v>
      </c>
      <c r="K71" s="35">
        <v>7.8141999999999996</v>
      </c>
      <c r="L71" s="35">
        <v>6.9081999999999999</v>
      </c>
      <c r="N71" s="143">
        <v>1.0204400000000001E-3</v>
      </c>
      <c r="O71" s="147">
        <v>5.9398999999999997</v>
      </c>
      <c r="P71" s="146">
        <v>66</v>
      </c>
    </row>
    <row r="72" spans="1:16" ht="13.8" x14ac:dyDescent="0.25">
      <c r="A72" s="7">
        <v>67</v>
      </c>
      <c r="B72" s="26">
        <v>2.7368E-2</v>
      </c>
      <c r="C72" s="31">
        <v>1.0210099999999999E-3</v>
      </c>
      <c r="D72" s="35">
        <v>5.6984000000000004</v>
      </c>
      <c r="E72" s="32">
        <v>280.45999999999998</v>
      </c>
      <c r="F72" s="13">
        <v>2465</v>
      </c>
      <c r="G72" s="32">
        <v>280.49</v>
      </c>
      <c r="H72" s="13">
        <v>2621</v>
      </c>
      <c r="I72" s="13">
        <v>2340.5</v>
      </c>
      <c r="J72" s="33">
        <v>0.91835</v>
      </c>
      <c r="K72" s="35">
        <v>7.7990000000000004</v>
      </c>
      <c r="L72" s="35">
        <v>6.8807</v>
      </c>
      <c r="N72" s="143">
        <v>1.0210099999999999E-3</v>
      </c>
      <c r="O72" s="147">
        <v>5.6984000000000004</v>
      </c>
      <c r="P72" s="146">
        <v>67</v>
      </c>
    </row>
    <row r="73" spans="1:16" ht="13.8" x14ac:dyDescent="0.25">
      <c r="A73" s="7">
        <v>68</v>
      </c>
      <c r="B73" s="26">
        <v>2.8598999999999999E-2</v>
      </c>
      <c r="C73" s="31">
        <v>1.02159E-3</v>
      </c>
      <c r="D73" s="35">
        <v>5.4682000000000004</v>
      </c>
      <c r="E73" s="32">
        <v>284.64999999999998</v>
      </c>
      <c r="F73" s="13">
        <v>2466.3000000000002</v>
      </c>
      <c r="G73" s="32">
        <v>284.68</v>
      </c>
      <c r="H73" s="13">
        <v>2622.7</v>
      </c>
      <c r="I73" s="13">
        <v>2338</v>
      </c>
      <c r="J73" s="33">
        <v>0.93064000000000002</v>
      </c>
      <c r="K73" s="35">
        <v>7.7839</v>
      </c>
      <c r="L73" s="35">
        <v>6.8532000000000002</v>
      </c>
      <c r="N73" s="143">
        <v>1.02159E-3</v>
      </c>
      <c r="O73" s="147">
        <v>5.4682000000000004</v>
      </c>
      <c r="P73" s="146">
        <v>68</v>
      </c>
    </row>
    <row r="74" spans="1:16" ht="13.8" x14ac:dyDescent="0.25">
      <c r="A74" s="7">
        <v>69</v>
      </c>
      <c r="B74" s="26">
        <v>2.9876E-2</v>
      </c>
      <c r="C74" s="31">
        <v>1.0221799999999999E-3</v>
      </c>
      <c r="D74" s="35">
        <v>5.2488000000000001</v>
      </c>
      <c r="E74" s="32">
        <v>288.83999999999997</v>
      </c>
      <c r="F74" s="13">
        <v>2467.6</v>
      </c>
      <c r="G74" s="32">
        <v>288.87</v>
      </c>
      <c r="H74" s="13">
        <v>2624.4</v>
      </c>
      <c r="I74" s="13">
        <v>2335.5</v>
      </c>
      <c r="J74" s="33">
        <v>0.94291000000000003</v>
      </c>
      <c r="K74" s="35">
        <v>7.7689000000000004</v>
      </c>
      <c r="L74" s="35">
        <v>6.8259999999999996</v>
      </c>
      <c r="N74" s="143">
        <v>1.0221799999999999E-3</v>
      </c>
      <c r="O74" s="147">
        <v>5.2488000000000001</v>
      </c>
      <c r="P74" s="146">
        <v>69</v>
      </c>
    </row>
    <row r="75" spans="1:16" ht="13.8" x14ac:dyDescent="0.25">
      <c r="A75" s="7">
        <v>70</v>
      </c>
      <c r="B75" s="26">
        <v>3.1201E-2</v>
      </c>
      <c r="C75" s="31">
        <v>1.0227700000000001E-3</v>
      </c>
      <c r="D75" s="35">
        <v>5.0395000000000003</v>
      </c>
      <c r="E75" s="32">
        <v>293.04000000000002</v>
      </c>
      <c r="F75" s="13">
        <v>2468.9</v>
      </c>
      <c r="G75" s="32">
        <v>293.07</v>
      </c>
      <c r="H75" s="13">
        <v>2626.1</v>
      </c>
      <c r="I75" s="13">
        <v>2333</v>
      </c>
      <c r="J75" s="33">
        <v>0.95513000000000003</v>
      </c>
      <c r="K75" s="35">
        <v>7.7539999999999996</v>
      </c>
      <c r="L75" s="35">
        <v>6.7988999999999997</v>
      </c>
      <c r="N75" s="143">
        <v>1.0227700000000001E-3</v>
      </c>
      <c r="O75" s="147">
        <v>5.0395000000000003</v>
      </c>
      <c r="P75" s="146">
        <v>70</v>
      </c>
    </row>
    <row r="76" spans="1:16" ht="13.8" x14ac:dyDescent="0.25">
      <c r="A76" s="7">
        <v>71</v>
      </c>
      <c r="B76" s="26">
        <v>3.2575E-2</v>
      </c>
      <c r="C76" s="31">
        <v>1.02337E-3</v>
      </c>
      <c r="D76" s="35">
        <v>4.84</v>
      </c>
      <c r="E76" s="32">
        <v>297.23</v>
      </c>
      <c r="F76" s="13">
        <v>2470.1</v>
      </c>
      <c r="G76" s="32">
        <v>297.26</v>
      </c>
      <c r="H76" s="13">
        <v>2627.8</v>
      </c>
      <c r="I76" s="13">
        <v>2330.5</v>
      </c>
      <c r="J76" s="33">
        <v>0.96733000000000002</v>
      </c>
      <c r="K76" s="35">
        <v>7.7392000000000003</v>
      </c>
      <c r="L76" s="35">
        <v>6.7718999999999996</v>
      </c>
      <c r="N76" s="143">
        <v>1.02337E-3</v>
      </c>
      <c r="O76" s="147">
        <v>4.84</v>
      </c>
      <c r="P76" s="146">
        <v>71</v>
      </c>
    </row>
    <row r="77" spans="1:16" ht="13.8" x14ac:dyDescent="0.25">
      <c r="A77" s="7">
        <v>72</v>
      </c>
      <c r="B77" s="26">
        <v>3.4000000000000002E-2</v>
      </c>
      <c r="C77" s="31">
        <v>1.0239800000000001E-3</v>
      </c>
      <c r="D77" s="35">
        <v>4.6496000000000004</v>
      </c>
      <c r="E77" s="32">
        <v>301.42</v>
      </c>
      <c r="F77" s="13">
        <v>2471.4</v>
      </c>
      <c r="G77" s="32">
        <v>301.45</v>
      </c>
      <c r="H77" s="13">
        <v>2629.5</v>
      </c>
      <c r="I77" s="13">
        <v>2328.1</v>
      </c>
      <c r="J77" s="33">
        <v>0.97948999999999997</v>
      </c>
      <c r="K77" s="35">
        <v>7.7245999999999997</v>
      </c>
      <c r="L77" s="35">
        <v>6.7450999999999999</v>
      </c>
      <c r="N77" s="143">
        <v>1.0239800000000001E-3</v>
      </c>
      <c r="O77" s="147">
        <v>4.6496000000000004</v>
      </c>
      <c r="P77" s="146">
        <v>72</v>
      </c>
    </row>
    <row r="78" spans="1:16" ht="13.8" x14ac:dyDescent="0.25">
      <c r="A78" s="7">
        <v>73</v>
      </c>
      <c r="B78" s="26">
        <v>3.5478000000000003E-2</v>
      </c>
      <c r="C78" s="31">
        <v>1.0245899999999999E-3</v>
      </c>
      <c r="D78" s="35">
        <v>4.468</v>
      </c>
      <c r="E78" s="32">
        <v>305.60000000000002</v>
      </c>
      <c r="F78" s="13">
        <v>2472.6999999999998</v>
      </c>
      <c r="G78" s="32">
        <v>305.64</v>
      </c>
      <c r="H78" s="13">
        <v>2631.2</v>
      </c>
      <c r="I78" s="13">
        <v>2325.6</v>
      </c>
      <c r="J78" s="33">
        <v>0.99160999999999999</v>
      </c>
      <c r="K78" s="35">
        <v>7.71</v>
      </c>
      <c r="L78" s="35">
        <v>6.7183999999999999</v>
      </c>
      <c r="N78" s="143">
        <v>1.0245899999999999E-3</v>
      </c>
      <c r="O78" s="147">
        <v>4.468</v>
      </c>
      <c r="P78" s="146">
        <v>73</v>
      </c>
    </row>
    <row r="79" spans="1:16" ht="13.8" x14ac:dyDescent="0.25">
      <c r="A79" s="7">
        <v>74</v>
      </c>
      <c r="B79" s="26">
        <v>3.7009E-2</v>
      </c>
      <c r="C79" s="31">
        <v>1.0252099999999999E-3</v>
      </c>
      <c r="D79" s="35">
        <v>4.2945000000000002</v>
      </c>
      <c r="E79" s="32">
        <v>309.8</v>
      </c>
      <c r="F79" s="13">
        <v>2474</v>
      </c>
      <c r="G79" s="32">
        <v>309.83999999999997</v>
      </c>
      <c r="H79" s="13">
        <v>2632.9</v>
      </c>
      <c r="I79" s="13">
        <v>2323.1</v>
      </c>
      <c r="J79" s="35">
        <v>1.0037</v>
      </c>
      <c r="K79" s="35">
        <v>7.6955</v>
      </c>
      <c r="L79" s="35">
        <v>6.6917999999999997</v>
      </c>
      <c r="N79" s="143">
        <v>1.0252099999999999E-3</v>
      </c>
      <c r="O79" s="147">
        <v>4.2945000000000002</v>
      </c>
      <c r="P79" s="146">
        <v>74</v>
      </c>
    </row>
    <row r="80" spans="1:16" ht="13.8" x14ac:dyDescent="0.25">
      <c r="A80" s="7">
        <v>75</v>
      </c>
      <c r="B80" s="26">
        <v>3.8594999999999997E-2</v>
      </c>
      <c r="C80" s="31">
        <v>1.0258400000000001E-3</v>
      </c>
      <c r="D80" s="35">
        <v>4.1288999999999998</v>
      </c>
      <c r="E80" s="32">
        <v>313.99</v>
      </c>
      <c r="F80" s="13">
        <v>2475.1999999999998</v>
      </c>
      <c r="G80" s="32">
        <v>314.02999999999997</v>
      </c>
      <c r="H80" s="13">
        <v>2634.6</v>
      </c>
      <c r="I80" s="13">
        <v>2320.6</v>
      </c>
      <c r="J80" s="35">
        <v>1.0158</v>
      </c>
      <c r="K80" s="35">
        <v>7.6811999999999996</v>
      </c>
      <c r="L80" s="35">
        <v>6.6654</v>
      </c>
      <c r="N80" s="143">
        <v>1.0258400000000001E-3</v>
      </c>
      <c r="O80" s="147">
        <v>4.1288999999999998</v>
      </c>
      <c r="P80" s="146">
        <v>75</v>
      </c>
    </row>
    <row r="81" spans="1:16" ht="13.8" x14ac:dyDescent="0.25">
      <c r="A81" s="7">
        <v>76</v>
      </c>
      <c r="B81" s="26">
        <v>4.0238999999999997E-2</v>
      </c>
      <c r="C81" s="31">
        <v>1.02647E-3</v>
      </c>
      <c r="D81" s="35">
        <v>3.9708000000000001</v>
      </c>
      <c r="E81" s="32">
        <v>318.18</v>
      </c>
      <c r="F81" s="13">
        <v>2476.5</v>
      </c>
      <c r="G81" s="32">
        <v>318.22000000000003</v>
      </c>
      <c r="H81" s="13">
        <v>2636.3</v>
      </c>
      <c r="I81" s="13">
        <v>2318.1</v>
      </c>
      <c r="J81" s="35">
        <v>1.0278</v>
      </c>
      <c r="K81" s="35">
        <v>7.6669999999999998</v>
      </c>
      <c r="L81" s="35">
        <v>6.6391999999999998</v>
      </c>
      <c r="N81" s="143">
        <v>1.02647E-3</v>
      </c>
      <c r="O81" s="147">
        <v>3.9708000000000001</v>
      </c>
      <c r="P81" s="146">
        <v>76</v>
      </c>
    </row>
    <row r="82" spans="1:16" ht="13.8" x14ac:dyDescent="0.25">
      <c r="A82" s="7">
        <v>77</v>
      </c>
      <c r="B82" s="26">
        <v>4.1940999999999999E-2</v>
      </c>
      <c r="C82" s="31">
        <v>1.0271E-3</v>
      </c>
      <c r="D82" s="35">
        <v>3.8197000000000001</v>
      </c>
      <c r="E82" s="32">
        <v>322.38</v>
      </c>
      <c r="F82" s="13">
        <v>2477.8000000000002</v>
      </c>
      <c r="G82" s="32">
        <v>322.42</v>
      </c>
      <c r="H82" s="13">
        <v>2638</v>
      </c>
      <c r="I82" s="13">
        <v>2315.6</v>
      </c>
      <c r="J82" s="35">
        <v>1.0398000000000001</v>
      </c>
      <c r="K82" s="35">
        <v>7.6528</v>
      </c>
      <c r="L82" s="35">
        <v>6.6130000000000004</v>
      </c>
      <c r="N82" s="143">
        <v>1.0271E-3</v>
      </c>
      <c r="O82" s="147">
        <v>3.8197000000000001</v>
      </c>
      <c r="P82" s="146">
        <v>77</v>
      </c>
    </row>
    <row r="83" spans="1:16" ht="13.8" x14ac:dyDescent="0.25">
      <c r="A83" s="7">
        <v>78</v>
      </c>
      <c r="B83" s="26">
        <v>4.3702999999999999E-2</v>
      </c>
      <c r="C83" s="31">
        <v>1.02775E-3</v>
      </c>
      <c r="D83" s="35">
        <v>3.6751999999999998</v>
      </c>
      <c r="E83" s="32">
        <v>326.58</v>
      </c>
      <c r="F83" s="13">
        <v>2479.1</v>
      </c>
      <c r="G83" s="32">
        <v>326.62</v>
      </c>
      <c r="H83" s="13">
        <v>2639.7</v>
      </c>
      <c r="I83" s="13">
        <v>2313</v>
      </c>
      <c r="J83" s="35">
        <v>1.0517000000000001</v>
      </c>
      <c r="K83" s="35">
        <v>7.6387999999999998</v>
      </c>
      <c r="L83" s="35">
        <v>6.5871000000000004</v>
      </c>
      <c r="N83" s="143">
        <v>1.02775E-3</v>
      </c>
      <c r="O83" s="147">
        <v>3.6751999999999998</v>
      </c>
      <c r="P83" s="146">
        <v>78</v>
      </c>
    </row>
    <row r="84" spans="1:16" ht="13.8" x14ac:dyDescent="0.25">
      <c r="A84" s="7">
        <v>79</v>
      </c>
      <c r="B84" s="26">
        <v>4.5526999999999998E-2</v>
      </c>
      <c r="C84" s="31">
        <v>1.0284000000000001E-3</v>
      </c>
      <c r="D84" s="35">
        <v>3.5371999999999999</v>
      </c>
      <c r="E84" s="32">
        <v>330.76</v>
      </c>
      <c r="F84" s="13">
        <v>2480.3000000000002</v>
      </c>
      <c r="G84" s="32">
        <v>330.81</v>
      </c>
      <c r="H84" s="13">
        <v>2641.3</v>
      </c>
      <c r="I84" s="13">
        <v>2310.5</v>
      </c>
      <c r="J84" s="35">
        <v>1.0637000000000001</v>
      </c>
      <c r="K84" s="35">
        <v>7.6249000000000002</v>
      </c>
      <c r="L84" s="35">
        <v>6.5612000000000004</v>
      </c>
      <c r="N84" s="143">
        <v>1.0284000000000001E-3</v>
      </c>
      <c r="O84" s="147">
        <v>3.5371999999999999</v>
      </c>
      <c r="P84" s="146">
        <v>79</v>
      </c>
    </row>
    <row r="85" spans="1:16" ht="13.8" x14ac:dyDescent="0.25">
      <c r="A85" s="7">
        <v>80</v>
      </c>
      <c r="B85" s="26">
        <v>4.7413999999999998E-2</v>
      </c>
      <c r="C85" s="31">
        <v>1.0290500000000001E-3</v>
      </c>
      <c r="D85" s="35">
        <v>3.4051999999999998</v>
      </c>
      <c r="E85" s="32">
        <v>334.96</v>
      </c>
      <c r="F85" s="13">
        <v>2481.5</v>
      </c>
      <c r="G85" s="32">
        <v>335.01</v>
      </c>
      <c r="H85" s="13">
        <v>2643</v>
      </c>
      <c r="I85" s="13">
        <v>2308</v>
      </c>
      <c r="J85" s="35">
        <v>1.0755999999999999</v>
      </c>
      <c r="K85" s="35">
        <v>7.6111000000000004</v>
      </c>
      <c r="L85" s="35">
        <v>6.5354999999999999</v>
      </c>
      <c r="N85" s="143">
        <v>1.0290500000000001E-3</v>
      </c>
      <c r="O85" s="147">
        <v>3.4051999999999998</v>
      </c>
      <c r="P85" s="146">
        <v>80</v>
      </c>
    </row>
    <row r="86" spans="1:16" ht="13.8" x14ac:dyDescent="0.25">
      <c r="A86" s="7">
        <v>81</v>
      </c>
      <c r="B86" s="26">
        <v>4.9367000000000001E-2</v>
      </c>
      <c r="C86" s="31">
        <v>1.02972E-3</v>
      </c>
      <c r="D86" s="35">
        <v>3.2789000000000001</v>
      </c>
      <c r="E86" s="32">
        <v>339.16</v>
      </c>
      <c r="F86" s="13">
        <v>2482.8000000000002</v>
      </c>
      <c r="G86" s="32">
        <v>339.21</v>
      </c>
      <c r="H86" s="13">
        <v>2644.7</v>
      </c>
      <c r="I86" s="13">
        <v>2305.5</v>
      </c>
      <c r="J86" s="35">
        <v>1.0873999999999999</v>
      </c>
      <c r="K86" s="35">
        <v>7.5972999999999997</v>
      </c>
      <c r="L86" s="35">
        <v>6.5099</v>
      </c>
      <c r="N86" s="143">
        <v>1.02972E-3</v>
      </c>
      <c r="O86" s="147">
        <v>3.2789000000000001</v>
      </c>
      <c r="P86" s="146">
        <v>81</v>
      </c>
    </row>
    <row r="87" spans="1:16" ht="13.8" x14ac:dyDescent="0.25">
      <c r="A87" s="7">
        <v>82</v>
      </c>
      <c r="B87" s="26">
        <v>5.1387000000000002E-2</v>
      </c>
      <c r="C87" s="31">
        <v>1.03038E-3</v>
      </c>
      <c r="D87" s="35">
        <v>3.1581000000000001</v>
      </c>
      <c r="E87" s="32">
        <v>343.36</v>
      </c>
      <c r="F87" s="13">
        <v>2484.1</v>
      </c>
      <c r="G87" s="32">
        <v>343.41</v>
      </c>
      <c r="H87" s="13">
        <v>2646.4</v>
      </c>
      <c r="I87" s="13">
        <v>2302.9</v>
      </c>
      <c r="J87" s="35">
        <v>1.0992999999999999</v>
      </c>
      <c r="K87" s="35">
        <v>7.5837000000000003</v>
      </c>
      <c r="L87" s="35">
        <v>6.4843999999999999</v>
      </c>
      <c r="N87" s="143">
        <v>1.03038E-3</v>
      </c>
      <c r="O87" s="147">
        <v>3.1581000000000001</v>
      </c>
      <c r="P87" s="146">
        <v>82</v>
      </c>
    </row>
    <row r="88" spans="1:16" ht="13.8" x14ac:dyDescent="0.25">
      <c r="A88" s="7">
        <v>83</v>
      </c>
      <c r="B88" s="26">
        <v>5.3476000000000003E-2</v>
      </c>
      <c r="C88" s="31">
        <v>1.0310600000000001E-3</v>
      </c>
      <c r="D88" s="35">
        <v>3.0425</v>
      </c>
      <c r="E88" s="32">
        <v>347.55</v>
      </c>
      <c r="F88" s="13">
        <v>2485.3000000000002</v>
      </c>
      <c r="G88" s="32">
        <v>347.61</v>
      </c>
      <c r="H88" s="13">
        <v>2648</v>
      </c>
      <c r="I88" s="13">
        <v>2300.4</v>
      </c>
      <c r="J88" s="35">
        <v>1.1111</v>
      </c>
      <c r="K88" s="35">
        <v>7.5701999999999998</v>
      </c>
      <c r="L88" s="35">
        <v>6.4591000000000003</v>
      </c>
      <c r="N88" s="143">
        <v>1.0310600000000001E-3</v>
      </c>
      <c r="O88" s="147">
        <v>3.0425</v>
      </c>
      <c r="P88" s="146">
        <v>83</v>
      </c>
    </row>
    <row r="89" spans="1:16" ht="13.8" x14ac:dyDescent="0.25">
      <c r="A89" s="7">
        <v>84</v>
      </c>
      <c r="B89" s="26">
        <v>5.5634999999999997E-2</v>
      </c>
      <c r="C89" s="31">
        <v>1.03174E-3</v>
      </c>
      <c r="D89" s="35">
        <v>2.9318</v>
      </c>
      <c r="E89" s="32">
        <v>351.75</v>
      </c>
      <c r="F89" s="13">
        <v>2486.6</v>
      </c>
      <c r="G89" s="32">
        <v>351.81</v>
      </c>
      <c r="H89" s="13">
        <v>2649.7</v>
      </c>
      <c r="I89" s="13">
        <v>2297.9</v>
      </c>
      <c r="J89" s="35">
        <v>1.1229</v>
      </c>
      <c r="K89" s="35">
        <v>7.5567000000000002</v>
      </c>
      <c r="L89" s="35">
        <v>6.4339000000000004</v>
      </c>
      <c r="N89" s="143">
        <v>1.03174E-3</v>
      </c>
      <c r="O89" s="147">
        <v>2.9318</v>
      </c>
      <c r="P89" s="146">
        <v>84</v>
      </c>
    </row>
    <row r="90" spans="1:16" ht="13.8" x14ac:dyDescent="0.25">
      <c r="A90" s="7">
        <v>85</v>
      </c>
      <c r="B90" s="26">
        <v>5.7867000000000002E-2</v>
      </c>
      <c r="C90" s="31">
        <v>1.03243E-3</v>
      </c>
      <c r="D90" s="35">
        <v>2.8258000000000001</v>
      </c>
      <c r="E90" s="32">
        <v>355.95</v>
      </c>
      <c r="F90" s="13">
        <v>2487.8000000000002</v>
      </c>
      <c r="G90" s="32">
        <v>356.01</v>
      </c>
      <c r="H90" s="13">
        <v>2651.3</v>
      </c>
      <c r="I90" s="13">
        <v>2295.3000000000002</v>
      </c>
      <c r="J90" s="35">
        <v>1.1346000000000001</v>
      </c>
      <c r="K90" s="35">
        <v>7.5434000000000001</v>
      </c>
      <c r="L90" s="35">
        <v>6.4088000000000003</v>
      </c>
      <c r="N90" s="143">
        <v>1.03243E-3</v>
      </c>
      <c r="O90" s="147">
        <v>2.8258000000000001</v>
      </c>
      <c r="P90" s="146">
        <v>85</v>
      </c>
    </row>
    <row r="91" spans="1:16" ht="13.8" x14ac:dyDescent="0.25">
      <c r="A91" s="7">
        <v>86</v>
      </c>
      <c r="B91" s="26">
        <v>6.0172999999999997E-2</v>
      </c>
      <c r="C91" s="31">
        <v>1.03312E-3</v>
      </c>
      <c r="D91" s="35">
        <v>2.7244000000000002</v>
      </c>
      <c r="E91" s="32">
        <v>360.16</v>
      </c>
      <c r="F91" s="13">
        <v>2489.1</v>
      </c>
      <c r="G91" s="32">
        <v>360.22</v>
      </c>
      <c r="H91" s="13">
        <v>2653</v>
      </c>
      <c r="I91" s="13">
        <v>2292.8000000000002</v>
      </c>
      <c r="J91" s="35">
        <v>1.1463000000000001</v>
      </c>
      <c r="K91" s="35">
        <v>7.5301999999999998</v>
      </c>
      <c r="L91" s="35">
        <v>6.3837999999999999</v>
      </c>
      <c r="N91" s="143">
        <v>1.03312E-3</v>
      </c>
      <c r="O91" s="147">
        <v>2.7244000000000002</v>
      </c>
      <c r="P91" s="146">
        <v>86</v>
      </c>
    </row>
    <row r="92" spans="1:16" ht="13.8" x14ac:dyDescent="0.25">
      <c r="A92" s="7">
        <v>87</v>
      </c>
      <c r="B92" s="26">
        <v>6.2556E-2</v>
      </c>
      <c r="C92" s="31">
        <v>1.03382E-3</v>
      </c>
      <c r="D92" s="35">
        <v>2.6271</v>
      </c>
      <c r="E92" s="32">
        <v>364.36</v>
      </c>
      <c r="F92" s="13">
        <v>2490.3000000000002</v>
      </c>
      <c r="G92" s="32">
        <v>364.42</v>
      </c>
      <c r="H92" s="13">
        <v>2654.6</v>
      </c>
      <c r="I92" s="13">
        <v>2290.1999999999998</v>
      </c>
      <c r="J92" s="35">
        <v>1.1579999999999999</v>
      </c>
      <c r="K92" s="35">
        <v>7.5170000000000003</v>
      </c>
      <c r="L92" s="35">
        <v>6.359</v>
      </c>
      <c r="N92" s="143">
        <v>1.03382E-3</v>
      </c>
      <c r="O92" s="147">
        <v>2.6271</v>
      </c>
      <c r="P92" s="146">
        <v>87</v>
      </c>
    </row>
    <row r="93" spans="1:16" ht="13.8" x14ac:dyDescent="0.25">
      <c r="A93" s="7">
        <v>88</v>
      </c>
      <c r="B93" s="26">
        <v>6.5017000000000005E-2</v>
      </c>
      <c r="C93" s="31">
        <v>1.0345199999999999E-3</v>
      </c>
      <c r="D93" s="35">
        <v>2.5339999999999998</v>
      </c>
      <c r="E93" s="32">
        <v>368.56</v>
      </c>
      <c r="F93" s="13">
        <v>2491.5</v>
      </c>
      <c r="G93" s="32">
        <v>368.63</v>
      </c>
      <c r="H93" s="13">
        <v>2656.3</v>
      </c>
      <c r="I93" s="13">
        <v>2287.6</v>
      </c>
      <c r="J93" s="35">
        <v>1.1696</v>
      </c>
      <c r="K93" s="35">
        <v>7.5039999999999996</v>
      </c>
      <c r="L93" s="35">
        <v>6.3342999999999998</v>
      </c>
      <c r="N93" s="143">
        <v>1.0345199999999999E-3</v>
      </c>
      <c r="O93" s="147">
        <v>2.5339999999999998</v>
      </c>
      <c r="P93" s="146">
        <v>88</v>
      </c>
    </row>
    <row r="94" spans="1:16" ht="13.8" x14ac:dyDescent="0.25">
      <c r="A94" s="7">
        <v>89</v>
      </c>
      <c r="B94" s="26">
        <v>6.7558000000000007E-2</v>
      </c>
      <c r="C94" s="31">
        <v>1.03524E-3</v>
      </c>
      <c r="D94" s="35">
        <v>2.4447000000000001</v>
      </c>
      <c r="E94" s="32">
        <v>372.76</v>
      </c>
      <c r="F94" s="13">
        <v>2492.6999999999998</v>
      </c>
      <c r="G94" s="32">
        <v>372.83</v>
      </c>
      <c r="H94" s="13">
        <v>2657.9</v>
      </c>
      <c r="I94" s="13">
        <v>2285.1</v>
      </c>
      <c r="J94" s="35">
        <v>1.1813</v>
      </c>
      <c r="K94" s="35">
        <v>7.4909999999999997</v>
      </c>
      <c r="L94" s="35">
        <v>6.3097000000000003</v>
      </c>
      <c r="N94" s="143">
        <v>1.03524E-3</v>
      </c>
      <c r="O94" s="147">
        <v>2.4447000000000001</v>
      </c>
      <c r="P94" s="146">
        <v>89</v>
      </c>
    </row>
    <row r="95" spans="1:16" ht="13.8" x14ac:dyDescent="0.25">
      <c r="A95" s="7">
        <v>90</v>
      </c>
      <c r="B95" s="26">
        <v>7.0181999999999994E-2</v>
      </c>
      <c r="C95" s="31">
        <v>1.0359499999999999E-3</v>
      </c>
      <c r="D95" s="35">
        <v>2.3591000000000002</v>
      </c>
      <c r="E95" s="32">
        <v>376.97</v>
      </c>
      <c r="F95" s="13">
        <v>2493.9</v>
      </c>
      <c r="G95" s="32">
        <v>377.04</v>
      </c>
      <c r="H95" s="13">
        <v>2659.5</v>
      </c>
      <c r="I95" s="13">
        <v>2282.5</v>
      </c>
      <c r="J95" s="35">
        <v>1.1929000000000001</v>
      </c>
      <c r="K95" s="35">
        <v>7.4781000000000004</v>
      </c>
      <c r="L95" s="35">
        <v>6.2853000000000003</v>
      </c>
      <c r="N95" s="143">
        <v>1.0359499999999999E-3</v>
      </c>
      <c r="O95" s="147">
        <v>2.3591000000000002</v>
      </c>
      <c r="P95" s="146">
        <v>90</v>
      </c>
    </row>
    <row r="96" spans="1:16" ht="13.8" x14ac:dyDescent="0.25">
      <c r="A96" s="7">
        <v>91</v>
      </c>
      <c r="B96" s="26">
        <v>7.2889999999999996E-2</v>
      </c>
      <c r="C96" s="31">
        <v>1.0366799999999999E-3</v>
      </c>
      <c r="D96" s="35">
        <v>2.2770000000000001</v>
      </c>
      <c r="E96" s="32">
        <v>381.17</v>
      </c>
      <c r="F96" s="13">
        <v>2495.1999999999998</v>
      </c>
      <c r="G96" s="32">
        <v>381.25</v>
      </c>
      <c r="H96" s="13">
        <v>2661.2</v>
      </c>
      <c r="I96" s="13">
        <v>2279.9</v>
      </c>
      <c r="J96" s="35">
        <v>1.2043999999999999</v>
      </c>
      <c r="K96" s="35">
        <v>7.4653</v>
      </c>
      <c r="L96" s="35">
        <v>6.2609000000000004</v>
      </c>
      <c r="N96" s="143">
        <v>1.0366799999999999E-3</v>
      </c>
      <c r="O96" s="147">
        <v>2.2770000000000001</v>
      </c>
      <c r="P96" s="146">
        <v>91</v>
      </c>
    </row>
    <row r="97" spans="1:16" ht="13.8" x14ac:dyDescent="0.25">
      <c r="A97" s="7">
        <v>92</v>
      </c>
      <c r="B97" s="26">
        <v>7.5684000000000001E-2</v>
      </c>
      <c r="C97" s="31">
        <v>1.0374099999999999E-3</v>
      </c>
      <c r="D97" s="35">
        <v>2.1981999999999999</v>
      </c>
      <c r="E97" s="32">
        <v>385.38</v>
      </c>
      <c r="F97" s="13">
        <v>2496.4</v>
      </c>
      <c r="G97" s="32">
        <v>385.46</v>
      </c>
      <c r="H97" s="13">
        <v>2662.8</v>
      </c>
      <c r="I97" s="13">
        <v>2277.3000000000002</v>
      </c>
      <c r="J97" s="35">
        <v>1.216</v>
      </c>
      <c r="K97" s="35">
        <v>7.4526000000000003</v>
      </c>
      <c r="L97" s="35">
        <v>6.2366999999999999</v>
      </c>
      <c r="N97" s="143">
        <v>1.0374099999999999E-3</v>
      </c>
      <c r="O97" s="147">
        <v>2.1981999999999999</v>
      </c>
      <c r="P97" s="146">
        <v>92</v>
      </c>
    </row>
    <row r="98" spans="1:16" ht="13.8" x14ac:dyDescent="0.25">
      <c r="A98" s="7">
        <v>93</v>
      </c>
      <c r="B98" s="26">
        <v>7.8567999999999999E-2</v>
      </c>
      <c r="C98" s="31">
        <v>1.0381399999999999E-3</v>
      </c>
      <c r="D98" s="35">
        <v>2.1227</v>
      </c>
      <c r="E98" s="32">
        <v>389.59</v>
      </c>
      <c r="F98" s="13">
        <v>2497.6</v>
      </c>
      <c r="G98" s="32">
        <v>389.67</v>
      </c>
      <c r="H98" s="13">
        <v>2664.4</v>
      </c>
      <c r="I98" s="13">
        <v>2274.6999999999998</v>
      </c>
      <c r="J98" s="35">
        <v>1.2275</v>
      </c>
      <c r="K98" s="35">
        <v>7.44</v>
      </c>
      <c r="L98" s="35">
        <v>6.2126000000000001</v>
      </c>
      <c r="N98" s="143">
        <v>1.0381399999999999E-3</v>
      </c>
      <c r="O98" s="147">
        <v>2.1227</v>
      </c>
      <c r="P98" s="146">
        <v>93</v>
      </c>
    </row>
    <row r="99" spans="1:16" ht="13.8" x14ac:dyDescent="0.25">
      <c r="A99" s="7">
        <v>94</v>
      </c>
      <c r="B99" s="26">
        <v>8.1541000000000002E-2</v>
      </c>
      <c r="C99" s="31">
        <v>1.0388800000000001E-3</v>
      </c>
      <c r="D99" s="35">
        <v>2.0501999999999998</v>
      </c>
      <c r="E99" s="32">
        <v>393.8</v>
      </c>
      <c r="F99" s="13">
        <v>2498.8000000000002</v>
      </c>
      <c r="G99" s="32">
        <v>393.88</v>
      </c>
      <c r="H99" s="13">
        <v>2666</v>
      </c>
      <c r="I99" s="13">
        <v>2272.1</v>
      </c>
      <c r="J99" s="35">
        <v>1.2388999999999999</v>
      </c>
      <c r="K99" s="35">
        <v>7.4275000000000002</v>
      </c>
      <c r="L99" s="35">
        <v>6.1886000000000001</v>
      </c>
      <c r="N99" s="143">
        <v>1.0388800000000001E-3</v>
      </c>
      <c r="O99" s="147">
        <v>2.0501999999999998</v>
      </c>
      <c r="P99" s="146">
        <v>94</v>
      </c>
    </row>
    <row r="100" spans="1:16" ht="13.8" x14ac:dyDescent="0.25">
      <c r="A100" s="7">
        <v>95</v>
      </c>
      <c r="B100" s="26">
        <v>8.4608000000000003E-2</v>
      </c>
      <c r="C100" s="31">
        <v>1.0396299999999999E-3</v>
      </c>
      <c r="D100" s="35">
        <v>1.9805999999999999</v>
      </c>
      <c r="E100" s="32">
        <v>398</v>
      </c>
      <c r="F100" s="13">
        <v>2500</v>
      </c>
      <c r="G100" s="32">
        <v>398.09</v>
      </c>
      <c r="H100" s="13">
        <v>2667.6</v>
      </c>
      <c r="I100" s="13">
        <v>2269.5</v>
      </c>
      <c r="J100" s="35">
        <v>1.2504</v>
      </c>
      <c r="K100" s="35">
        <v>7.4150999999999998</v>
      </c>
      <c r="L100" s="35">
        <v>6.1646999999999998</v>
      </c>
      <c r="N100" s="143">
        <v>1.0396299999999999E-3</v>
      </c>
      <c r="O100" s="147">
        <v>1.9805999999999999</v>
      </c>
      <c r="P100" s="146">
        <v>95</v>
      </c>
    </row>
    <row r="101" spans="1:16" ht="13.8" x14ac:dyDescent="0.25">
      <c r="A101" s="7">
        <v>96</v>
      </c>
      <c r="B101" s="26">
        <v>8.7771000000000002E-2</v>
      </c>
      <c r="C101" s="31">
        <v>1.04038E-3</v>
      </c>
      <c r="D101" s="35">
        <v>1.9137</v>
      </c>
      <c r="E101" s="32">
        <v>402.21</v>
      </c>
      <c r="F101" s="13">
        <v>2501.1999999999998</v>
      </c>
      <c r="G101" s="32">
        <v>402.3</v>
      </c>
      <c r="H101" s="13">
        <v>2669.2</v>
      </c>
      <c r="I101" s="13">
        <v>2266.9</v>
      </c>
      <c r="J101" s="35">
        <v>1.2618</v>
      </c>
      <c r="K101" s="35">
        <v>7.4027000000000003</v>
      </c>
      <c r="L101" s="35">
        <v>6.1409000000000002</v>
      </c>
      <c r="N101" s="143">
        <v>1.04038E-3</v>
      </c>
      <c r="O101" s="147">
        <v>1.9137</v>
      </c>
      <c r="P101" s="146">
        <v>96</v>
      </c>
    </row>
    <row r="102" spans="1:16" ht="13.8" x14ac:dyDescent="0.25">
      <c r="A102" s="7">
        <v>97</v>
      </c>
      <c r="B102" s="26">
        <v>9.103E-2</v>
      </c>
      <c r="C102" s="31">
        <v>1.0411400000000001E-3</v>
      </c>
      <c r="D102" s="35">
        <v>1.8495999999999999</v>
      </c>
      <c r="E102" s="32">
        <v>406.43</v>
      </c>
      <c r="F102" s="13">
        <v>2502.4</v>
      </c>
      <c r="G102" s="32">
        <v>406.52</v>
      </c>
      <c r="H102" s="13">
        <v>2670.8</v>
      </c>
      <c r="I102" s="13">
        <v>2264.3000000000002</v>
      </c>
      <c r="J102" s="35">
        <v>1.2732000000000001</v>
      </c>
      <c r="K102" s="35">
        <v>7.3903999999999996</v>
      </c>
      <c r="L102" s="35">
        <v>6.1172000000000004</v>
      </c>
      <c r="N102" s="143">
        <v>1.0411400000000001E-3</v>
      </c>
      <c r="O102" s="147">
        <v>1.8495999999999999</v>
      </c>
      <c r="P102" s="146">
        <v>97</v>
      </c>
    </row>
    <row r="103" spans="1:16" ht="13.8" x14ac:dyDescent="0.25">
      <c r="A103" s="7">
        <v>98</v>
      </c>
      <c r="B103" s="26">
        <v>9.4390000000000002E-2</v>
      </c>
      <c r="C103" s="31">
        <v>1.0419100000000001E-3</v>
      </c>
      <c r="D103" s="35">
        <v>1.7879</v>
      </c>
      <c r="E103" s="32">
        <v>410.63</v>
      </c>
      <c r="F103" s="13">
        <v>2503.6</v>
      </c>
      <c r="G103" s="32">
        <v>410.73</v>
      </c>
      <c r="H103" s="13">
        <v>2672.4</v>
      </c>
      <c r="I103" s="13">
        <v>2261.6999999999998</v>
      </c>
      <c r="J103" s="35">
        <v>1.2846</v>
      </c>
      <c r="K103" s="35">
        <v>7.3783000000000003</v>
      </c>
      <c r="L103" s="35">
        <v>6.0937000000000001</v>
      </c>
      <c r="N103" s="143">
        <v>1.0419100000000001E-3</v>
      </c>
      <c r="O103" s="147">
        <v>1.7879</v>
      </c>
      <c r="P103" s="146">
        <v>98</v>
      </c>
    </row>
    <row r="104" spans="1:16" ht="13.8" x14ac:dyDescent="0.25">
      <c r="A104" s="7">
        <v>99</v>
      </c>
      <c r="B104" s="26">
        <v>9.7851999999999995E-2</v>
      </c>
      <c r="C104" s="31">
        <v>1.04268E-3</v>
      </c>
      <c r="D104" s="35">
        <v>1.7286999999999999</v>
      </c>
      <c r="E104" s="32">
        <v>414.85</v>
      </c>
      <c r="F104" s="13">
        <v>2504.8000000000002</v>
      </c>
      <c r="G104" s="32">
        <v>414.95</v>
      </c>
      <c r="H104" s="13">
        <v>2674</v>
      </c>
      <c r="I104" s="13">
        <v>2259</v>
      </c>
      <c r="J104" s="35">
        <v>1.2959000000000001</v>
      </c>
      <c r="K104" s="35">
        <v>7.3661000000000003</v>
      </c>
      <c r="L104" s="35">
        <v>6.0701999999999998</v>
      </c>
      <c r="N104" s="143">
        <v>1.04268E-3</v>
      </c>
      <c r="O104" s="147">
        <v>1.7286999999999999</v>
      </c>
      <c r="P104" s="146">
        <v>99</v>
      </c>
    </row>
    <row r="105" spans="1:16" ht="13.8" x14ac:dyDescent="0.25">
      <c r="A105" s="7">
        <v>100</v>
      </c>
      <c r="B105" s="33">
        <v>0.10142</v>
      </c>
      <c r="C105" s="31">
        <v>1.04346E-3</v>
      </c>
      <c r="D105" s="35">
        <v>1.6718</v>
      </c>
      <c r="E105" s="32">
        <v>419.06</v>
      </c>
      <c r="F105" s="13">
        <v>2506</v>
      </c>
      <c r="G105" s="32">
        <v>419.17</v>
      </c>
      <c r="H105" s="13">
        <v>2675.6</v>
      </c>
      <c r="I105" s="13">
        <v>2256.4</v>
      </c>
      <c r="J105" s="35">
        <v>1.3071999999999999</v>
      </c>
      <c r="K105" s="35">
        <v>7.3540999999999999</v>
      </c>
      <c r="L105" s="35">
        <v>6.0468999999999999</v>
      </c>
      <c r="N105" s="143">
        <v>1.04346E-3</v>
      </c>
      <c r="O105" s="147">
        <v>1.6718</v>
      </c>
      <c r="P105" s="146">
        <v>100</v>
      </c>
    </row>
    <row r="106" spans="1:16" ht="13.8" x14ac:dyDescent="0.25">
      <c r="A106" s="7">
        <v>101</v>
      </c>
      <c r="B106" s="33">
        <v>0.10509</v>
      </c>
      <c r="C106" s="31">
        <v>1.04425E-3</v>
      </c>
      <c r="D106" s="35">
        <v>1.6171</v>
      </c>
      <c r="E106" s="32">
        <v>423.28</v>
      </c>
      <c r="F106" s="13">
        <v>2507.1999999999998</v>
      </c>
      <c r="G106" s="32">
        <v>423.39</v>
      </c>
      <c r="H106" s="13">
        <v>2677.1</v>
      </c>
      <c r="I106" s="13">
        <v>2253.8000000000002</v>
      </c>
      <c r="J106" s="35">
        <v>1.3185</v>
      </c>
      <c r="K106" s="35">
        <v>7.3422000000000001</v>
      </c>
      <c r="L106" s="35">
        <v>6.0236999999999998</v>
      </c>
      <c r="N106" s="143">
        <v>1.04425E-3</v>
      </c>
      <c r="O106" s="147">
        <v>1.6171</v>
      </c>
      <c r="P106" s="146">
        <v>101</v>
      </c>
    </row>
    <row r="107" spans="1:16" ht="13.8" x14ac:dyDescent="0.25">
      <c r="A107" s="7">
        <v>102</v>
      </c>
      <c r="B107" s="33">
        <v>0.10886999999999999</v>
      </c>
      <c r="C107" s="31">
        <v>1.0450399999999999E-3</v>
      </c>
      <c r="D107" s="35">
        <v>1.5644</v>
      </c>
      <c r="E107" s="32">
        <v>427.5</v>
      </c>
      <c r="F107" s="13">
        <v>2508.4</v>
      </c>
      <c r="G107" s="32">
        <v>427.61</v>
      </c>
      <c r="H107" s="13">
        <v>2678.7</v>
      </c>
      <c r="I107" s="13">
        <v>2251.1</v>
      </c>
      <c r="J107" s="35">
        <v>1.3297000000000001</v>
      </c>
      <c r="K107" s="35">
        <v>7.3303000000000003</v>
      </c>
      <c r="L107" s="35">
        <v>6.0006000000000004</v>
      </c>
      <c r="N107" s="143">
        <v>1.0450399999999999E-3</v>
      </c>
      <c r="O107" s="147">
        <v>1.5644</v>
      </c>
      <c r="P107" s="146">
        <v>102</v>
      </c>
    </row>
    <row r="108" spans="1:16" ht="13.8" x14ac:dyDescent="0.25">
      <c r="A108" s="7">
        <v>103</v>
      </c>
      <c r="B108" s="33">
        <v>0.11277</v>
      </c>
      <c r="C108" s="31">
        <v>1.04583E-3</v>
      </c>
      <c r="D108" s="35">
        <v>1.5139</v>
      </c>
      <c r="E108" s="32">
        <v>431.71</v>
      </c>
      <c r="F108" s="13">
        <v>2509.6</v>
      </c>
      <c r="G108" s="32">
        <v>431.83</v>
      </c>
      <c r="H108" s="13">
        <v>2680.3</v>
      </c>
      <c r="I108" s="13">
        <v>2248.5</v>
      </c>
      <c r="J108" s="35">
        <v>1.341</v>
      </c>
      <c r="K108" s="35">
        <v>7.3185000000000002</v>
      </c>
      <c r="L108" s="35">
        <v>5.9775</v>
      </c>
      <c r="N108" s="143">
        <v>1.04583E-3</v>
      </c>
      <c r="O108" s="147">
        <v>1.5139</v>
      </c>
      <c r="P108" s="146">
        <v>103</v>
      </c>
    </row>
    <row r="109" spans="1:16" ht="13.8" x14ac:dyDescent="0.25">
      <c r="A109" s="7">
        <v>104</v>
      </c>
      <c r="B109" s="33">
        <v>0.11677999999999999</v>
      </c>
      <c r="C109" s="31">
        <v>1.0466399999999999E-3</v>
      </c>
      <c r="D109" s="35">
        <v>1.4652000000000001</v>
      </c>
      <c r="E109" s="32">
        <v>435.93</v>
      </c>
      <c r="F109" s="13">
        <v>2510.6999999999998</v>
      </c>
      <c r="G109" s="32">
        <v>436.05</v>
      </c>
      <c r="H109" s="13">
        <v>2681.8</v>
      </c>
      <c r="I109" s="13">
        <v>2245.8000000000002</v>
      </c>
      <c r="J109" s="35">
        <v>1.3522000000000001</v>
      </c>
      <c r="K109" s="35">
        <v>7.3068</v>
      </c>
      <c r="L109" s="35">
        <v>5.9546000000000001</v>
      </c>
      <c r="N109" s="143">
        <v>1.0466399999999999E-3</v>
      </c>
      <c r="O109" s="147">
        <v>1.4652000000000001</v>
      </c>
      <c r="P109" s="146">
        <v>104</v>
      </c>
    </row>
    <row r="110" spans="1:16" ht="13.8" x14ac:dyDescent="0.25">
      <c r="A110" s="7">
        <v>105</v>
      </c>
      <c r="B110" s="33">
        <v>0.12089999999999999</v>
      </c>
      <c r="C110" s="31">
        <v>1.04744E-3</v>
      </c>
      <c r="D110" s="35">
        <v>1.4184000000000001</v>
      </c>
      <c r="E110" s="32">
        <v>440.14</v>
      </c>
      <c r="F110" s="13">
        <v>2511.9</v>
      </c>
      <c r="G110" s="32">
        <v>440.27</v>
      </c>
      <c r="H110" s="13">
        <v>2683.4</v>
      </c>
      <c r="I110" s="13">
        <v>2243.1</v>
      </c>
      <c r="J110" s="35">
        <v>1.3633</v>
      </c>
      <c r="K110" s="35">
        <v>7.2952000000000004</v>
      </c>
      <c r="L110" s="35">
        <v>5.9318</v>
      </c>
      <c r="N110" s="143">
        <v>1.04744E-3</v>
      </c>
      <c r="O110" s="147">
        <v>1.4184000000000001</v>
      </c>
      <c r="P110" s="146">
        <v>105</v>
      </c>
    </row>
    <row r="111" spans="1:16" ht="13.8" x14ac:dyDescent="0.25">
      <c r="A111" s="7">
        <v>106</v>
      </c>
      <c r="B111" s="33">
        <v>0.12515000000000001</v>
      </c>
      <c r="C111" s="31">
        <v>1.0482600000000001E-3</v>
      </c>
      <c r="D111" s="35">
        <v>1.3733</v>
      </c>
      <c r="E111" s="32">
        <v>444.37</v>
      </c>
      <c r="F111" s="13">
        <v>2513</v>
      </c>
      <c r="G111" s="32">
        <v>444.5</v>
      </c>
      <c r="H111" s="13">
        <v>2684.9</v>
      </c>
      <c r="I111" s="13">
        <v>2240.4</v>
      </c>
      <c r="J111" s="35">
        <v>1.3745000000000001</v>
      </c>
      <c r="K111" s="35">
        <v>7.2835999999999999</v>
      </c>
      <c r="L111" s="35">
        <v>5.9090999999999996</v>
      </c>
      <c r="N111" s="143">
        <v>1.0482600000000001E-3</v>
      </c>
      <c r="O111" s="147">
        <v>1.3733</v>
      </c>
      <c r="P111" s="146">
        <v>106</v>
      </c>
    </row>
    <row r="112" spans="1:16" ht="13.8" x14ac:dyDescent="0.25">
      <c r="A112" s="7">
        <v>107</v>
      </c>
      <c r="B112" s="33">
        <v>0.12952</v>
      </c>
      <c r="C112" s="31">
        <v>1.04908E-3</v>
      </c>
      <c r="D112" s="35">
        <v>1.33</v>
      </c>
      <c r="E112" s="32">
        <v>448.59</v>
      </c>
      <c r="F112" s="13">
        <v>2514.1999999999998</v>
      </c>
      <c r="G112" s="32">
        <v>448.73</v>
      </c>
      <c r="H112" s="13">
        <v>2686.5</v>
      </c>
      <c r="I112" s="13">
        <v>2237.6999999999998</v>
      </c>
      <c r="J112" s="35">
        <v>1.3855999999999999</v>
      </c>
      <c r="K112" s="35">
        <v>7.2721</v>
      </c>
      <c r="L112" s="35">
        <v>5.8864999999999998</v>
      </c>
      <c r="N112" s="143">
        <v>1.04908E-3</v>
      </c>
      <c r="O112" s="147">
        <v>1.33</v>
      </c>
      <c r="P112" s="146">
        <v>107</v>
      </c>
    </row>
    <row r="113" spans="1:16" ht="13.8" x14ac:dyDescent="0.25">
      <c r="A113" s="7">
        <v>108</v>
      </c>
      <c r="B113" s="33">
        <v>0.13400999999999999</v>
      </c>
      <c r="C113" s="31">
        <v>1.04991E-3</v>
      </c>
      <c r="D113" s="35">
        <v>1.2882</v>
      </c>
      <c r="E113" s="32">
        <v>452.81</v>
      </c>
      <c r="F113" s="13">
        <v>2515.4</v>
      </c>
      <c r="G113" s="32">
        <v>452.95</v>
      </c>
      <c r="H113" s="13">
        <v>2688</v>
      </c>
      <c r="I113" s="13">
        <v>2235.1</v>
      </c>
      <c r="J113" s="35">
        <v>1.3967000000000001</v>
      </c>
      <c r="K113" s="35">
        <v>7.2606999999999999</v>
      </c>
      <c r="L113" s="35">
        <v>5.8639999999999999</v>
      </c>
      <c r="N113" s="143">
        <v>1.04991E-3</v>
      </c>
      <c r="O113" s="147">
        <v>1.2882</v>
      </c>
      <c r="P113" s="146">
        <v>108</v>
      </c>
    </row>
    <row r="114" spans="1:16" ht="13.8" x14ac:dyDescent="0.25">
      <c r="A114" s="7">
        <v>109</v>
      </c>
      <c r="B114" s="33">
        <v>0.13863</v>
      </c>
      <c r="C114" s="31">
        <v>1.0507400000000001E-3</v>
      </c>
      <c r="D114" s="35">
        <v>1.248</v>
      </c>
      <c r="E114" s="32">
        <v>457.03</v>
      </c>
      <c r="F114" s="13">
        <v>2516.5</v>
      </c>
      <c r="G114" s="32">
        <v>457.18</v>
      </c>
      <c r="H114" s="13">
        <v>2689.5</v>
      </c>
      <c r="I114" s="13">
        <v>2232.4</v>
      </c>
      <c r="J114" s="35">
        <v>1.4077999999999999</v>
      </c>
      <c r="K114" s="35">
        <v>7.2492999999999999</v>
      </c>
      <c r="L114" s="35">
        <v>5.8415999999999997</v>
      </c>
      <c r="N114" s="143">
        <v>1.0507400000000001E-3</v>
      </c>
      <c r="O114" s="147">
        <v>1.248</v>
      </c>
      <c r="P114" s="146">
        <v>109</v>
      </c>
    </row>
    <row r="115" spans="1:16" ht="13.8" x14ac:dyDescent="0.25">
      <c r="A115" s="7">
        <v>110</v>
      </c>
      <c r="B115" s="33">
        <v>0.14338000000000001</v>
      </c>
      <c r="C115" s="31">
        <v>1.0515800000000001E-3</v>
      </c>
      <c r="D115" s="35">
        <v>1.2093</v>
      </c>
      <c r="E115" s="32">
        <v>461.27</v>
      </c>
      <c r="F115" s="13">
        <v>2517.6999999999998</v>
      </c>
      <c r="G115" s="32">
        <v>461.42</v>
      </c>
      <c r="H115" s="13">
        <v>2691.1</v>
      </c>
      <c r="I115" s="13">
        <v>2229.6</v>
      </c>
      <c r="J115" s="35">
        <v>1.4188000000000001</v>
      </c>
      <c r="K115" s="35">
        <v>7.2381000000000002</v>
      </c>
      <c r="L115" s="35">
        <v>5.8193000000000001</v>
      </c>
      <c r="N115" s="143">
        <v>1.0515800000000001E-3</v>
      </c>
      <c r="O115" s="147">
        <v>1.2093</v>
      </c>
      <c r="P115" s="146">
        <v>110</v>
      </c>
    </row>
    <row r="116" spans="1:16" ht="13.8" x14ac:dyDescent="0.25">
      <c r="A116" s="7">
        <v>111</v>
      </c>
      <c r="B116" s="33">
        <v>0.14826</v>
      </c>
      <c r="C116" s="31">
        <v>1.05243E-3</v>
      </c>
      <c r="D116" s="35">
        <v>1.1719999999999999</v>
      </c>
      <c r="E116" s="32">
        <v>465.49</v>
      </c>
      <c r="F116" s="13">
        <v>2518.8000000000002</v>
      </c>
      <c r="G116" s="32">
        <v>465.65</v>
      </c>
      <c r="H116" s="13">
        <v>2692.6</v>
      </c>
      <c r="I116" s="13">
        <v>2226.9</v>
      </c>
      <c r="J116" s="35">
        <v>1.4298</v>
      </c>
      <c r="K116" s="35">
        <v>7.2268999999999997</v>
      </c>
      <c r="L116" s="35">
        <v>5.7969999999999997</v>
      </c>
      <c r="N116" s="143">
        <v>1.05243E-3</v>
      </c>
      <c r="O116" s="147">
        <v>1.1719999999999999</v>
      </c>
      <c r="P116" s="146">
        <v>111</v>
      </c>
    </row>
    <row r="117" spans="1:16" ht="13.8" x14ac:dyDescent="0.25">
      <c r="A117" s="7">
        <v>112</v>
      </c>
      <c r="B117" s="33">
        <v>0.15328</v>
      </c>
      <c r="C117" s="31">
        <v>1.05328E-3</v>
      </c>
      <c r="D117" s="35">
        <v>1.1361000000000001</v>
      </c>
      <c r="E117" s="32">
        <v>469.72</v>
      </c>
      <c r="F117" s="13">
        <v>2520</v>
      </c>
      <c r="G117" s="32">
        <v>469.88</v>
      </c>
      <c r="H117" s="13">
        <v>2694.1</v>
      </c>
      <c r="I117" s="13">
        <v>2224.1999999999998</v>
      </c>
      <c r="J117" s="35">
        <v>1.4408000000000001</v>
      </c>
      <c r="K117" s="35">
        <v>7.2157</v>
      </c>
      <c r="L117" s="35">
        <v>5.7748999999999997</v>
      </c>
      <c r="N117" s="143">
        <v>1.05328E-3</v>
      </c>
      <c r="O117" s="147">
        <v>1.1361000000000001</v>
      </c>
      <c r="P117" s="146">
        <v>112</v>
      </c>
    </row>
    <row r="118" spans="1:16" ht="13.8" x14ac:dyDescent="0.25">
      <c r="A118" s="7">
        <v>113</v>
      </c>
      <c r="B118" s="33">
        <v>0.15844</v>
      </c>
      <c r="C118" s="31">
        <v>1.0541400000000001E-3</v>
      </c>
      <c r="D118" s="35">
        <v>1.1013999999999999</v>
      </c>
      <c r="E118" s="32">
        <v>473.95</v>
      </c>
      <c r="F118" s="13">
        <v>2521.1</v>
      </c>
      <c r="G118" s="32">
        <v>474.12</v>
      </c>
      <c r="H118" s="13">
        <v>2695.6</v>
      </c>
      <c r="I118" s="13">
        <v>2221.5</v>
      </c>
      <c r="J118" s="35">
        <v>1.4518</v>
      </c>
      <c r="K118" s="35">
        <v>7.2046999999999999</v>
      </c>
      <c r="L118" s="35">
        <v>5.7529000000000003</v>
      </c>
      <c r="N118" s="143">
        <v>1.0541400000000001E-3</v>
      </c>
      <c r="O118" s="147">
        <v>1.1013999999999999</v>
      </c>
      <c r="P118" s="146">
        <v>113</v>
      </c>
    </row>
    <row r="119" spans="1:16" ht="13.8" x14ac:dyDescent="0.25">
      <c r="A119" s="7">
        <v>114</v>
      </c>
      <c r="B119" s="33">
        <v>0.16374</v>
      </c>
      <c r="C119" s="31">
        <v>1.0549999999999999E-3</v>
      </c>
      <c r="D119" s="35">
        <v>1.0680000000000001</v>
      </c>
      <c r="E119" s="32">
        <v>478.18</v>
      </c>
      <c r="F119" s="13">
        <v>2522.1999999999998</v>
      </c>
      <c r="G119" s="32">
        <v>478.35</v>
      </c>
      <c r="H119" s="13">
        <v>2697.1</v>
      </c>
      <c r="I119" s="13">
        <v>2218.6999999999998</v>
      </c>
      <c r="J119" s="35">
        <v>1.4628000000000001</v>
      </c>
      <c r="K119" s="35">
        <v>7.1936999999999998</v>
      </c>
      <c r="L119" s="35">
        <v>5.7309000000000001</v>
      </c>
      <c r="N119" s="143">
        <v>1.0549999999999999E-3</v>
      </c>
      <c r="O119" s="147">
        <v>1.0680000000000001</v>
      </c>
      <c r="P119" s="146">
        <v>114</v>
      </c>
    </row>
    <row r="120" spans="1:16" ht="13.8" x14ac:dyDescent="0.25">
      <c r="A120" s="7">
        <v>115</v>
      </c>
      <c r="B120" s="33">
        <v>0.16918</v>
      </c>
      <c r="C120" s="31">
        <v>1.0558799999999999E-3</v>
      </c>
      <c r="D120" s="35">
        <v>1.0358000000000001</v>
      </c>
      <c r="E120" s="32">
        <v>482.41</v>
      </c>
      <c r="F120" s="13">
        <v>2523.4</v>
      </c>
      <c r="G120" s="32">
        <v>482.59</v>
      </c>
      <c r="H120" s="13">
        <v>2698.6</v>
      </c>
      <c r="I120" s="13">
        <v>2216</v>
      </c>
      <c r="J120" s="35">
        <v>1.4737</v>
      </c>
      <c r="K120" s="35">
        <v>7.1828000000000003</v>
      </c>
      <c r="L120" s="35">
        <v>5.7091000000000003</v>
      </c>
      <c r="N120" s="143">
        <v>1.0558799999999999E-3</v>
      </c>
      <c r="O120" s="147">
        <v>1.0358000000000001</v>
      </c>
      <c r="P120" s="146">
        <v>115</v>
      </c>
    </row>
    <row r="121" spans="1:16" ht="13.8" x14ac:dyDescent="0.25">
      <c r="A121" s="7">
        <v>116</v>
      </c>
      <c r="B121" s="33">
        <v>0.17477000000000001</v>
      </c>
      <c r="C121" s="31">
        <v>1.05675E-3</v>
      </c>
      <c r="D121" s="33">
        <v>0.99521999999999999</v>
      </c>
      <c r="E121" s="32">
        <v>486.65</v>
      </c>
      <c r="F121" s="13">
        <v>2526.1999999999998</v>
      </c>
      <c r="G121" s="32">
        <v>486.83</v>
      </c>
      <c r="H121" s="13">
        <v>2700.1</v>
      </c>
      <c r="I121" s="13">
        <v>2213.1999999999998</v>
      </c>
      <c r="J121" s="35">
        <v>1.4845999999999999</v>
      </c>
      <c r="K121" s="35">
        <v>7.1718999999999999</v>
      </c>
      <c r="L121" s="35">
        <v>5.6872999999999996</v>
      </c>
      <c r="N121" s="143">
        <v>1.05675E-3</v>
      </c>
      <c r="O121" s="148">
        <v>0.99521999999999999</v>
      </c>
      <c r="P121" s="146">
        <v>116</v>
      </c>
    </row>
    <row r="122" spans="1:16" ht="13.8" x14ac:dyDescent="0.25">
      <c r="A122" s="7">
        <v>117</v>
      </c>
      <c r="B122" s="33">
        <v>0.18052000000000001</v>
      </c>
      <c r="C122" s="31">
        <v>1.0576400000000001E-3</v>
      </c>
      <c r="D122" s="33">
        <v>0.97485999999999995</v>
      </c>
      <c r="E122" s="32">
        <v>490.89</v>
      </c>
      <c r="F122" s="13">
        <v>2525.5</v>
      </c>
      <c r="G122" s="32">
        <v>491.08</v>
      </c>
      <c r="H122" s="13">
        <v>2701.5</v>
      </c>
      <c r="I122" s="13">
        <v>2210.5</v>
      </c>
      <c r="J122" s="35">
        <v>1.4954000000000001</v>
      </c>
      <c r="K122" s="35">
        <v>7.1611000000000002</v>
      </c>
      <c r="L122" s="35">
        <v>5.6657000000000002</v>
      </c>
      <c r="N122" s="143">
        <v>1.0576400000000001E-3</v>
      </c>
      <c r="O122" s="148">
        <v>0.97485999999999995</v>
      </c>
      <c r="P122" s="146">
        <v>117</v>
      </c>
    </row>
    <row r="123" spans="1:16" ht="13.8" x14ac:dyDescent="0.25">
      <c r="A123" s="7">
        <v>118</v>
      </c>
      <c r="B123" s="33">
        <v>0.18640999999999999</v>
      </c>
      <c r="C123" s="31">
        <v>1.05853E-3</v>
      </c>
      <c r="D123" s="33">
        <v>0.94598000000000004</v>
      </c>
      <c r="E123" s="32">
        <v>495.12</v>
      </c>
      <c r="F123" s="13">
        <v>2526.6999999999998</v>
      </c>
      <c r="G123" s="32">
        <v>495.32</v>
      </c>
      <c r="H123" s="13">
        <v>2703</v>
      </c>
      <c r="I123" s="13">
        <v>2207.6999999999998</v>
      </c>
      <c r="J123" s="35">
        <v>1.5063</v>
      </c>
      <c r="K123" s="35">
        <v>7.1504000000000003</v>
      </c>
      <c r="L123" s="35">
        <v>5.6440999999999999</v>
      </c>
      <c r="N123" s="143">
        <v>1.05853E-3</v>
      </c>
      <c r="O123" s="148">
        <v>0.94598000000000004</v>
      </c>
      <c r="P123" s="146">
        <v>118</v>
      </c>
    </row>
    <row r="124" spans="1:16" ht="13.8" x14ac:dyDescent="0.25">
      <c r="A124" s="7">
        <v>119</v>
      </c>
      <c r="B124" s="33">
        <v>0.19245999999999999</v>
      </c>
      <c r="C124" s="31">
        <v>1.0594199999999999E-3</v>
      </c>
      <c r="D124" s="33">
        <v>0.91810999999999998</v>
      </c>
      <c r="E124" s="32">
        <v>499.36</v>
      </c>
      <c r="F124" s="13">
        <v>2527.8000000000002</v>
      </c>
      <c r="G124" s="32">
        <v>499.56</v>
      </c>
      <c r="H124" s="13">
        <v>2704.5</v>
      </c>
      <c r="I124" s="13">
        <v>2204.9</v>
      </c>
      <c r="J124" s="35">
        <v>1.5170999999999999</v>
      </c>
      <c r="K124" s="35">
        <v>7.1397000000000004</v>
      </c>
      <c r="L124" s="35">
        <v>5.6226000000000003</v>
      </c>
      <c r="N124" s="143">
        <v>1.0594199999999999E-3</v>
      </c>
      <c r="O124" s="148">
        <v>0.91810999999999998</v>
      </c>
      <c r="P124" s="146">
        <v>119</v>
      </c>
    </row>
    <row r="125" spans="1:16" ht="13.8" x14ac:dyDescent="0.25">
      <c r="A125" s="7">
        <v>120</v>
      </c>
      <c r="B125" s="33">
        <v>0.19867000000000001</v>
      </c>
      <c r="C125" s="31">
        <v>1.06033E-3</v>
      </c>
      <c r="D125" s="33">
        <v>0.89120999999999995</v>
      </c>
      <c r="E125" s="32">
        <v>503.6</v>
      </c>
      <c r="F125" s="13">
        <v>2528.8000000000002</v>
      </c>
      <c r="G125" s="32">
        <v>503.81</v>
      </c>
      <c r="H125" s="13">
        <v>2705.9</v>
      </c>
      <c r="I125" s="13">
        <v>2202.1</v>
      </c>
      <c r="J125" s="35">
        <v>1.5279</v>
      </c>
      <c r="K125" s="35">
        <v>7.1291000000000002</v>
      </c>
      <c r="L125" s="35">
        <v>5.6012000000000004</v>
      </c>
      <c r="N125" s="143">
        <v>1.06033E-3</v>
      </c>
      <c r="O125" s="148">
        <v>0.89120999999999995</v>
      </c>
      <c r="P125" s="146">
        <v>120</v>
      </c>
    </row>
    <row r="126" spans="1:16" ht="13.8" x14ac:dyDescent="0.25">
      <c r="A126" s="7">
        <v>121</v>
      </c>
      <c r="B126" s="33">
        <v>0.20505000000000001</v>
      </c>
      <c r="C126" s="31">
        <v>1.06123E-3</v>
      </c>
      <c r="D126" s="33">
        <v>0.86524999999999996</v>
      </c>
      <c r="E126" s="32">
        <v>507.84</v>
      </c>
      <c r="F126" s="13">
        <v>2530</v>
      </c>
      <c r="G126" s="32">
        <v>508.06</v>
      </c>
      <c r="H126" s="13">
        <v>2707.4</v>
      </c>
      <c r="I126" s="13">
        <v>2199.3000000000002</v>
      </c>
      <c r="J126" s="35">
        <v>1.5387</v>
      </c>
      <c r="K126" s="35">
        <v>7.1185999999999998</v>
      </c>
      <c r="L126" s="35">
        <v>5.5799000000000003</v>
      </c>
      <c r="N126" s="143">
        <v>1.06123E-3</v>
      </c>
      <c r="O126" s="148">
        <v>0.86524999999999996</v>
      </c>
      <c r="P126" s="146">
        <v>121</v>
      </c>
    </row>
    <row r="127" spans="1:16" ht="13.8" x14ac:dyDescent="0.25">
      <c r="A127" s="7">
        <v>122</v>
      </c>
      <c r="B127" s="33">
        <v>0.21159</v>
      </c>
      <c r="C127" s="31">
        <v>1.06215E-3</v>
      </c>
      <c r="D127" s="33">
        <v>0.84018999999999999</v>
      </c>
      <c r="E127" s="32">
        <v>512.09</v>
      </c>
      <c r="F127" s="13">
        <v>2531</v>
      </c>
      <c r="G127" s="32">
        <v>512.30999999999995</v>
      </c>
      <c r="H127" s="13">
        <v>2708.8</v>
      </c>
      <c r="I127" s="13">
        <v>2196.5</v>
      </c>
      <c r="J127" s="35">
        <v>1.5494000000000001</v>
      </c>
      <c r="K127" s="35">
        <v>7.1081000000000003</v>
      </c>
      <c r="L127" s="35">
        <v>5.5587</v>
      </c>
      <c r="N127" s="143">
        <v>1.06215E-3</v>
      </c>
      <c r="O127" s="148">
        <v>0.84018999999999999</v>
      </c>
      <c r="P127" s="146">
        <v>122</v>
      </c>
    </row>
    <row r="128" spans="1:16" ht="13.8" x14ac:dyDescent="0.25">
      <c r="A128" s="7">
        <v>123</v>
      </c>
      <c r="B128" s="33">
        <v>0.21829999999999999</v>
      </c>
      <c r="C128" s="31">
        <v>1.0630699999999999E-3</v>
      </c>
      <c r="D128" s="33">
        <v>0.81598000000000004</v>
      </c>
      <c r="E128" s="32">
        <v>516.33000000000004</v>
      </c>
      <c r="F128" s="13">
        <v>2532.1999999999998</v>
      </c>
      <c r="G128" s="32">
        <v>516.55999999999995</v>
      </c>
      <c r="H128" s="13">
        <v>2710.3</v>
      </c>
      <c r="I128" s="13">
        <v>2193.6999999999998</v>
      </c>
      <c r="J128" s="35">
        <v>1.5602</v>
      </c>
      <c r="K128" s="35">
        <v>7.0976999999999997</v>
      </c>
      <c r="L128" s="35">
        <v>5.5374999999999996</v>
      </c>
      <c r="N128" s="143">
        <v>1.0630699999999999E-3</v>
      </c>
      <c r="O128" s="148">
        <v>0.81598000000000004</v>
      </c>
      <c r="P128" s="146">
        <v>123</v>
      </c>
    </row>
    <row r="129" spans="1:16" ht="13.8" x14ac:dyDescent="0.25">
      <c r="A129" s="7">
        <v>124</v>
      </c>
      <c r="B129" s="33">
        <v>0.22517999999999999</v>
      </c>
      <c r="C129" s="31">
        <v>1.0640000000000001E-3</v>
      </c>
      <c r="D129" s="33">
        <v>0.79261000000000004</v>
      </c>
      <c r="E129" s="32">
        <v>520.58000000000004</v>
      </c>
      <c r="F129" s="13">
        <v>2533.1999999999998</v>
      </c>
      <c r="G129" s="32">
        <v>520.82000000000005</v>
      </c>
      <c r="H129" s="13">
        <v>2711.7</v>
      </c>
      <c r="I129" s="13">
        <v>2190.9</v>
      </c>
      <c r="J129" s="35">
        <v>1.5709</v>
      </c>
      <c r="K129" s="35">
        <v>7.0872999999999999</v>
      </c>
      <c r="L129" s="35">
        <v>5.5164999999999997</v>
      </c>
      <c r="N129" s="143">
        <v>1.0640000000000001E-3</v>
      </c>
      <c r="O129" s="148">
        <v>0.79261000000000004</v>
      </c>
      <c r="P129" s="146">
        <v>124</v>
      </c>
    </row>
    <row r="130" spans="1:16" ht="13.8" x14ac:dyDescent="0.25">
      <c r="A130" s="7">
        <v>125</v>
      </c>
      <c r="B130" s="33">
        <v>0.23224</v>
      </c>
      <c r="C130" s="31">
        <v>1.0649399999999999E-3</v>
      </c>
      <c r="D130" s="33">
        <v>0.77002999999999999</v>
      </c>
      <c r="E130" s="32">
        <v>524.82000000000005</v>
      </c>
      <c r="F130" s="13">
        <v>2534.3000000000002</v>
      </c>
      <c r="G130" s="32">
        <v>525.07000000000005</v>
      </c>
      <c r="H130" s="13">
        <v>2713.1</v>
      </c>
      <c r="I130" s="13">
        <v>2188</v>
      </c>
      <c r="J130" s="35">
        <v>1.5815999999999999</v>
      </c>
      <c r="K130" s="35">
        <v>7.077</v>
      </c>
      <c r="L130" s="35">
        <v>5.4954999999999998</v>
      </c>
      <c r="N130" s="143">
        <v>1.0649399999999999E-3</v>
      </c>
      <c r="O130" s="148">
        <v>0.77002999999999999</v>
      </c>
      <c r="P130" s="146">
        <v>125</v>
      </c>
    </row>
    <row r="131" spans="1:16" ht="13.8" x14ac:dyDescent="0.25">
      <c r="A131" s="7">
        <v>126</v>
      </c>
      <c r="B131" s="33">
        <v>0.23946999999999999</v>
      </c>
      <c r="C131" s="31">
        <v>1.06588E-3</v>
      </c>
      <c r="D131" s="33">
        <v>0.74821000000000004</v>
      </c>
      <c r="E131" s="32">
        <v>529.07000000000005</v>
      </c>
      <c r="F131" s="13">
        <v>2535.3000000000002</v>
      </c>
      <c r="G131" s="32">
        <v>529.33000000000004</v>
      </c>
      <c r="H131" s="13">
        <v>2714.5</v>
      </c>
      <c r="I131" s="13">
        <v>2185.1999999999998</v>
      </c>
      <c r="J131" s="35">
        <v>1.5922000000000001</v>
      </c>
      <c r="K131" s="35">
        <v>7.0667999999999997</v>
      </c>
      <c r="L131" s="35">
        <v>5.4745999999999997</v>
      </c>
      <c r="N131" s="143">
        <v>1.06588E-3</v>
      </c>
      <c r="O131" s="148">
        <v>0.74821000000000004</v>
      </c>
      <c r="P131" s="146">
        <v>126</v>
      </c>
    </row>
    <row r="132" spans="1:16" ht="13.8" x14ac:dyDescent="0.25">
      <c r="A132" s="7">
        <v>127</v>
      </c>
      <c r="B132" s="33">
        <v>0.24689</v>
      </c>
      <c r="C132" s="31">
        <v>1.0668299999999999E-3</v>
      </c>
      <c r="D132" s="33">
        <v>0.72713000000000005</v>
      </c>
      <c r="E132" s="32">
        <v>533.33000000000004</v>
      </c>
      <c r="F132" s="13">
        <v>2536.4</v>
      </c>
      <c r="G132" s="32">
        <v>533.59</v>
      </c>
      <c r="H132" s="13">
        <v>2715.9</v>
      </c>
      <c r="I132" s="13">
        <v>2182.3000000000002</v>
      </c>
      <c r="J132" s="35">
        <v>1.6029</v>
      </c>
      <c r="K132" s="35">
        <v>7.0566000000000004</v>
      </c>
      <c r="L132" s="35">
        <v>5.4538000000000002</v>
      </c>
      <c r="N132" s="143">
        <v>1.0668299999999999E-3</v>
      </c>
      <c r="O132" s="148">
        <v>0.72713000000000005</v>
      </c>
      <c r="P132" s="146">
        <v>127</v>
      </c>
    </row>
    <row r="133" spans="1:16" ht="13.8" x14ac:dyDescent="0.25">
      <c r="A133" s="7">
        <v>128</v>
      </c>
      <c r="B133" s="33">
        <v>0.2545</v>
      </c>
      <c r="C133" s="31">
        <v>1.0677799999999999E-3</v>
      </c>
      <c r="D133" s="33">
        <v>0.70674999999999999</v>
      </c>
      <c r="E133" s="32">
        <v>537.58000000000004</v>
      </c>
      <c r="F133" s="13">
        <v>2537.4</v>
      </c>
      <c r="G133" s="32">
        <v>537.85</v>
      </c>
      <c r="H133" s="13">
        <v>2717.3</v>
      </c>
      <c r="I133" s="13">
        <v>2179.5</v>
      </c>
      <c r="J133" s="35">
        <v>1.6134999999999999</v>
      </c>
      <c r="K133" s="35">
        <v>7.0465</v>
      </c>
      <c r="L133" s="35">
        <v>5.4329999999999998</v>
      </c>
      <c r="N133" s="143">
        <v>1.0677799999999999E-3</v>
      </c>
      <c r="O133" s="148">
        <v>0.70674999999999999</v>
      </c>
      <c r="P133" s="146">
        <v>128</v>
      </c>
    </row>
    <row r="134" spans="1:16" ht="13.8" x14ac:dyDescent="0.25">
      <c r="A134" s="7">
        <v>129</v>
      </c>
      <c r="B134" s="33">
        <v>0.26229000000000002</v>
      </c>
      <c r="C134" s="31">
        <v>1.0687400000000001E-3</v>
      </c>
      <c r="D134" s="33">
        <v>0.68705000000000005</v>
      </c>
      <c r="E134" s="32">
        <v>541.84</v>
      </c>
      <c r="F134" s="13">
        <v>2538.5</v>
      </c>
      <c r="G134" s="32">
        <v>542.12</v>
      </c>
      <c r="H134" s="13">
        <v>2718.7</v>
      </c>
      <c r="I134" s="13">
        <v>2176.6</v>
      </c>
      <c r="J134" s="35">
        <v>1.6241000000000001</v>
      </c>
      <c r="K134" s="35">
        <v>7.0364000000000004</v>
      </c>
      <c r="L134" s="35">
        <v>5.4123999999999999</v>
      </c>
      <c r="N134" s="143">
        <v>1.0687400000000001E-3</v>
      </c>
      <c r="O134" s="148">
        <v>0.68705000000000005</v>
      </c>
      <c r="P134" s="146">
        <v>129</v>
      </c>
    </row>
    <row r="135" spans="1:16" ht="13.8" x14ac:dyDescent="0.25">
      <c r="A135" s="7">
        <v>130</v>
      </c>
      <c r="B135" s="33">
        <v>0.27028000000000002</v>
      </c>
      <c r="C135" s="31">
        <v>1.06971E-3</v>
      </c>
      <c r="D135" s="33">
        <v>0.66800000000000004</v>
      </c>
      <c r="E135" s="32">
        <v>546.09</v>
      </c>
      <c r="F135" s="13">
        <v>2539.6</v>
      </c>
      <c r="G135" s="32">
        <v>546.38</v>
      </c>
      <c r="H135" s="13">
        <v>2720.1</v>
      </c>
      <c r="I135" s="13">
        <v>2173.6999999999998</v>
      </c>
      <c r="J135" s="35">
        <v>1.6346000000000001</v>
      </c>
      <c r="K135" s="35">
        <v>7.0263999999999998</v>
      </c>
      <c r="L135" s="35">
        <v>5.3917999999999999</v>
      </c>
      <c r="N135" s="143">
        <v>1.06971E-3</v>
      </c>
      <c r="O135" s="148">
        <v>0.66800000000000004</v>
      </c>
      <c r="P135" s="146">
        <v>130</v>
      </c>
    </row>
    <row r="136" spans="1:16" ht="13.8" x14ac:dyDescent="0.25">
      <c r="A136" s="7">
        <v>131</v>
      </c>
      <c r="B136" s="33">
        <v>0.27845999999999999</v>
      </c>
      <c r="C136" s="31">
        <v>1.0706800000000001E-3</v>
      </c>
      <c r="D136" s="33">
        <v>0.64959</v>
      </c>
      <c r="E136" s="32">
        <v>550.35</v>
      </c>
      <c r="F136" s="13">
        <v>2540.6</v>
      </c>
      <c r="G136" s="32">
        <v>550.65</v>
      </c>
      <c r="H136" s="13">
        <v>2721.5</v>
      </c>
      <c r="I136" s="13">
        <v>2170.8000000000002</v>
      </c>
      <c r="J136" s="35">
        <v>1.6452</v>
      </c>
      <c r="K136" s="35">
        <v>7.0164999999999997</v>
      </c>
      <c r="L136" s="35">
        <v>5.3712999999999997</v>
      </c>
      <c r="N136" s="143">
        <v>1.0706800000000001E-3</v>
      </c>
      <c r="O136" s="148">
        <v>0.64959</v>
      </c>
      <c r="P136" s="146">
        <v>131</v>
      </c>
    </row>
    <row r="137" spans="1:16" ht="13.8" x14ac:dyDescent="0.25">
      <c r="A137" s="7">
        <v>132</v>
      </c>
      <c r="B137" s="33">
        <v>0.28684999999999999</v>
      </c>
      <c r="C137" s="31">
        <v>1.0716600000000001E-3</v>
      </c>
      <c r="D137" s="33">
        <v>0.63177000000000005</v>
      </c>
      <c r="E137" s="32">
        <v>554.61</v>
      </c>
      <c r="F137" s="13">
        <v>2541.6</v>
      </c>
      <c r="G137" s="32">
        <v>554.91999999999996</v>
      </c>
      <c r="H137" s="13">
        <v>2722.8</v>
      </c>
      <c r="I137" s="13">
        <v>2167.9</v>
      </c>
      <c r="J137" s="35">
        <v>1.6556999999999999</v>
      </c>
      <c r="K137" s="35">
        <v>7.0065999999999997</v>
      </c>
      <c r="L137" s="35">
        <v>5.3509000000000002</v>
      </c>
      <c r="N137" s="143">
        <v>1.0716600000000001E-3</v>
      </c>
      <c r="O137" s="148">
        <v>0.63177000000000005</v>
      </c>
      <c r="P137" s="146">
        <v>132</v>
      </c>
    </row>
    <row r="138" spans="1:16" ht="13.8" x14ac:dyDescent="0.25">
      <c r="A138" s="7">
        <v>133</v>
      </c>
      <c r="B138" s="33">
        <v>0.29543000000000003</v>
      </c>
      <c r="C138" s="31">
        <v>1.0726500000000001E-3</v>
      </c>
      <c r="D138" s="33">
        <v>0.61453999999999998</v>
      </c>
      <c r="E138" s="32">
        <v>558.87</v>
      </c>
      <c r="F138" s="13">
        <v>2542.6</v>
      </c>
      <c r="G138" s="32">
        <v>559.19000000000005</v>
      </c>
      <c r="H138" s="13">
        <v>2724.2</v>
      </c>
      <c r="I138" s="13">
        <v>2165</v>
      </c>
      <c r="J138" s="35">
        <v>1.6661999999999999</v>
      </c>
      <c r="K138" s="35">
        <v>6.9966999999999997</v>
      </c>
      <c r="L138" s="35">
        <v>5.3304999999999998</v>
      </c>
      <c r="N138" s="143">
        <v>1.0726500000000001E-3</v>
      </c>
      <c r="O138" s="148">
        <v>0.61453999999999998</v>
      </c>
      <c r="P138" s="146">
        <v>133</v>
      </c>
    </row>
    <row r="139" spans="1:16" ht="13.8" x14ac:dyDescent="0.25">
      <c r="A139" s="7">
        <v>134</v>
      </c>
      <c r="B139" s="33">
        <v>0.30423</v>
      </c>
      <c r="C139" s="31">
        <v>1.07365E-3</v>
      </c>
      <c r="D139" s="33">
        <v>0.59785999999999995</v>
      </c>
      <c r="E139" s="32">
        <v>563.14</v>
      </c>
      <c r="F139" s="13">
        <v>2543.6</v>
      </c>
      <c r="G139" s="32">
        <v>563.47</v>
      </c>
      <c r="H139" s="13">
        <v>2725.5</v>
      </c>
      <c r="I139" s="13">
        <v>2162.1</v>
      </c>
      <c r="J139" s="35">
        <v>1.6767000000000001</v>
      </c>
      <c r="K139" s="35">
        <v>6.9869000000000003</v>
      </c>
      <c r="L139" s="35">
        <v>5.3102</v>
      </c>
      <c r="N139" s="143">
        <v>1.07365E-3</v>
      </c>
      <c r="O139" s="148">
        <v>0.59785999999999995</v>
      </c>
      <c r="P139" s="146">
        <v>134</v>
      </c>
    </row>
    <row r="140" spans="1:16" ht="13.8" x14ac:dyDescent="0.25">
      <c r="A140" s="7">
        <v>135</v>
      </c>
      <c r="B140" s="33">
        <v>0.31323000000000001</v>
      </c>
      <c r="C140" s="31">
        <v>1.0746499999999999E-3</v>
      </c>
      <c r="D140" s="33">
        <v>0.58172999999999997</v>
      </c>
      <c r="E140" s="32">
        <v>567.4</v>
      </c>
      <c r="F140" s="13">
        <v>2544.6999999999998</v>
      </c>
      <c r="G140" s="32">
        <v>567.74</v>
      </c>
      <c r="H140" s="13">
        <v>2726.9</v>
      </c>
      <c r="I140" s="13">
        <v>2159.1</v>
      </c>
      <c r="J140" s="35">
        <v>1.6872</v>
      </c>
      <c r="K140" s="35">
        <v>6.9771999999999998</v>
      </c>
      <c r="L140" s="35">
        <v>5.29</v>
      </c>
      <c r="N140" s="143">
        <v>1.0746499999999999E-3</v>
      </c>
      <c r="O140" s="148">
        <v>0.58172999999999997</v>
      </c>
      <c r="P140" s="146">
        <v>135</v>
      </c>
    </row>
    <row r="141" spans="1:16" ht="13.8" x14ac:dyDescent="0.25">
      <c r="A141" s="7">
        <v>136</v>
      </c>
      <c r="B141" s="33">
        <v>0.32245000000000001</v>
      </c>
      <c r="C141" s="31">
        <v>1.07566E-3</v>
      </c>
      <c r="D141" s="33">
        <v>0.56611</v>
      </c>
      <c r="E141" s="32">
        <v>571.66999999999996</v>
      </c>
      <c r="F141" s="13">
        <v>2545.6999999999998</v>
      </c>
      <c r="G141" s="32">
        <v>572.02</v>
      </c>
      <c r="H141" s="13">
        <v>2728.2</v>
      </c>
      <c r="I141" s="13">
        <v>2156.1999999999998</v>
      </c>
      <c r="J141" s="35">
        <v>1.6976</v>
      </c>
      <c r="K141" s="35">
        <v>6.9675000000000002</v>
      </c>
      <c r="L141" s="35">
        <v>5.2698999999999998</v>
      </c>
      <c r="N141" s="143">
        <v>1.07566E-3</v>
      </c>
      <c r="O141" s="148">
        <v>0.56611</v>
      </c>
      <c r="P141" s="146">
        <v>136</v>
      </c>
    </row>
    <row r="142" spans="1:16" ht="13.8" x14ac:dyDescent="0.25">
      <c r="A142" s="7">
        <v>137</v>
      </c>
      <c r="B142" s="33">
        <v>0.33188000000000001</v>
      </c>
      <c r="C142" s="31">
        <v>1.0766700000000001E-3</v>
      </c>
      <c r="D142" s="33">
        <v>0.55098999999999998</v>
      </c>
      <c r="E142" s="32">
        <v>575.94000000000005</v>
      </c>
      <c r="F142" s="13">
        <v>2546.6</v>
      </c>
      <c r="G142" s="32">
        <v>576.29999999999995</v>
      </c>
      <c r="H142" s="13">
        <v>2729.5</v>
      </c>
      <c r="I142" s="13">
        <v>2153.1999999999998</v>
      </c>
      <c r="J142" s="35">
        <v>1.7081</v>
      </c>
      <c r="K142" s="35">
        <v>6.9579000000000004</v>
      </c>
      <c r="L142" s="35">
        <v>5.2497999999999996</v>
      </c>
      <c r="N142" s="143">
        <v>1.0766700000000001E-3</v>
      </c>
      <c r="O142" s="148">
        <v>0.55098999999999998</v>
      </c>
      <c r="P142" s="146">
        <v>137</v>
      </c>
    </row>
    <row r="143" spans="1:16" ht="13.8" x14ac:dyDescent="0.25">
      <c r="A143" s="7">
        <v>138</v>
      </c>
      <c r="B143" s="33">
        <v>0.34154000000000001</v>
      </c>
      <c r="C143" s="31">
        <v>1.0776900000000001E-3</v>
      </c>
      <c r="D143" s="33">
        <v>0.53635999999999995</v>
      </c>
      <c r="E143" s="32">
        <v>580.22</v>
      </c>
      <c r="F143" s="13">
        <v>2547.6</v>
      </c>
      <c r="G143" s="32">
        <v>580.59</v>
      </c>
      <c r="H143" s="13">
        <v>2730.8</v>
      </c>
      <c r="I143" s="13">
        <v>2150.3000000000002</v>
      </c>
      <c r="J143" s="35">
        <v>1.7184999999999999</v>
      </c>
      <c r="K143" s="35">
        <v>6.9482999999999997</v>
      </c>
      <c r="L143" s="35">
        <v>5.2298</v>
      </c>
      <c r="N143" s="143">
        <v>1.0776900000000001E-3</v>
      </c>
      <c r="O143" s="148">
        <v>0.53635999999999995</v>
      </c>
      <c r="P143" s="146">
        <v>138</v>
      </c>
    </row>
    <row r="144" spans="1:16" ht="13.8" x14ac:dyDescent="0.25">
      <c r="A144" s="7">
        <v>139</v>
      </c>
      <c r="B144" s="33">
        <v>0.35143000000000002</v>
      </c>
      <c r="C144" s="31">
        <v>1.07872E-3</v>
      </c>
      <c r="D144" s="33">
        <v>0.52217999999999998</v>
      </c>
      <c r="E144" s="32">
        <v>584.49</v>
      </c>
      <c r="F144" s="13">
        <v>2548.6</v>
      </c>
      <c r="G144" s="32">
        <v>584.87</v>
      </c>
      <c r="H144" s="13">
        <v>2732.1</v>
      </c>
      <c r="I144" s="13">
        <v>2147.3000000000002</v>
      </c>
      <c r="J144" s="35">
        <v>1.7289000000000001</v>
      </c>
      <c r="K144" s="35">
        <v>6.9387999999999996</v>
      </c>
      <c r="L144" s="35">
        <v>5.2099000000000002</v>
      </c>
      <c r="N144" s="143">
        <v>1.07872E-3</v>
      </c>
      <c r="O144" s="148">
        <v>0.52217999999999998</v>
      </c>
      <c r="P144" s="146">
        <v>139</v>
      </c>
    </row>
    <row r="145" spans="1:16" ht="13.8" x14ac:dyDescent="0.25">
      <c r="A145" s="7">
        <v>140</v>
      </c>
      <c r="B145" s="33">
        <v>0.36153999999999997</v>
      </c>
      <c r="C145" s="31">
        <v>1.0797599999999999E-3</v>
      </c>
      <c r="D145" s="33">
        <v>0.50844999999999996</v>
      </c>
      <c r="E145" s="32">
        <v>588.77</v>
      </c>
      <c r="F145" s="13">
        <v>2549.6</v>
      </c>
      <c r="G145" s="32">
        <v>589.16</v>
      </c>
      <c r="H145" s="13">
        <v>2733.4</v>
      </c>
      <c r="I145" s="13">
        <v>2144.3000000000002</v>
      </c>
      <c r="J145" s="35">
        <v>1.7392000000000001</v>
      </c>
      <c r="K145" s="35">
        <v>6.9292999999999996</v>
      </c>
      <c r="L145" s="35">
        <v>5.1901000000000002</v>
      </c>
      <c r="N145" s="143">
        <v>1.0797599999999999E-3</v>
      </c>
      <c r="O145" s="148">
        <v>0.50844999999999996</v>
      </c>
      <c r="P145" s="146">
        <v>140</v>
      </c>
    </row>
    <row r="146" spans="1:16" ht="13.8" x14ac:dyDescent="0.25">
      <c r="A146" s="7">
        <v>141</v>
      </c>
      <c r="B146" s="33">
        <v>0.37189</v>
      </c>
      <c r="C146" s="31">
        <v>1.0808E-3</v>
      </c>
      <c r="D146" s="33">
        <v>0.49515999999999999</v>
      </c>
      <c r="E146" s="32">
        <v>593.04999999999995</v>
      </c>
      <c r="F146" s="13">
        <v>2550.6</v>
      </c>
      <c r="G146" s="32">
        <v>593.45000000000005</v>
      </c>
      <c r="H146" s="13">
        <v>2734.7</v>
      </c>
      <c r="I146" s="13">
        <v>2141.3000000000002</v>
      </c>
      <c r="J146" s="35">
        <v>1.7496</v>
      </c>
      <c r="K146" s="35">
        <v>6.9199000000000002</v>
      </c>
      <c r="L146" s="35">
        <v>5.1703000000000001</v>
      </c>
      <c r="N146" s="143">
        <v>1.0808E-3</v>
      </c>
      <c r="O146" s="148">
        <v>0.49515999999999999</v>
      </c>
      <c r="P146" s="146">
        <v>141</v>
      </c>
    </row>
    <row r="147" spans="1:16" ht="13.8" x14ac:dyDescent="0.25">
      <c r="A147" s="7">
        <v>142</v>
      </c>
      <c r="B147" s="33">
        <v>0.38246999999999998</v>
      </c>
      <c r="C147" s="31">
        <v>1.0818500000000001E-3</v>
      </c>
      <c r="D147" s="33">
        <v>0.48226999999999998</v>
      </c>
      <c r="E147" s="32">
        <v>597.33000000000004</v>
      </c>
      <c r="F147" s="13">
        <v>2551.5</v>
      </c>
      <c r="G147" s="32">
        <v>597.74</v>
      </c>
      <c r="H147" s="13">
        <v>2736</v>
      </c>
      <c r="I147" s="13">
        <v>2138.3000000000002</v>
      </c>
      <c r="J147" s="35">
        <v>1.7599</v>
      </c>
      <c r="K147" s="35">
        <v>6.9104999999999999</v>
      </c>
      <c r="L147" s="35">
        <v>5.1505999999999998</v>
      </c>
      <c r="N147" s="143">
        <v>1.0818500000000001E-3</v>
      </c>
      <c r="O147" s="148">
        <v>0.48226999999999998</v>
      </c>
      <c r="P147" s="146">
        <v>142</v>
      </c>
    </row>
    <row r="148" spans="1:16" ht="13.8" x14ac:dyDescent="0.25">
      <c r="A148" s="7">
        <v>143</v>
      </c>
      <c r="B148" s="33">
        <v>0.39328999999999997</v>
      </c>
      <c r="C148" s="31">
        <v>1.0829100000000001E-3</v>
      </c>
      <c r="D148" s="33">
        <v>0.46978999999999999</v>
      </c>
      <c r="E148" s="32">
        <v>601.61</v>
      </c>
      <c r="F148" s="13">
        <v>2552.5</v>
      </c>
      <c r="G148" s="32">
        <v>602.04</v>
      </c>
      <c r="H148" s="13">
        <v>2737.3</v>
      </c>
      <c r="I148" s="13">
        <v>2135.1999999999998</v>
      </c>
      <c r="J148" s="35">
        <v>1.7702</v>
      </c>
      <c r="K148" s="35">
        <v>6.9010999999999996</v>
      </c>
      <c r="L148" s="35">
        <v>5.1308999999999996</v>
      </c>
      <c r="N148" s="143">
        <v>1.0829100000000001E-3</v>
      </c>
      <c r="O148" s="148">
        <v>0.46978999999999999</v>
      </c>
      <c r="P148" s="146">
        <v>143</v>
      </c>
    </row>
    <row r="149" spans="1:16" ht="13.8" x14ac:dyDescent="0.25">
      <c r="A149" s="7">
        <v>144</v>
      </c>
      <c r="B149" s="33">
        <v>0.40437000000000001</v>
      </c>
      <c r="C149" s="31">
        <v>1.0839700000000001E-3</v>
      </c>
      <c r="D149" s="33">
        <v>0.45768999999999999</v>
      </c>
      <c r="E149" s="32">
        <v>605.9</v>
      </c>
      <c r="F149" s="13">
        <v>2553.4</v>
      </c>
      <c r="G149" s="32">
        <v>606.34</v>
      </c>
      <c r="H149" s="13">
        <v>2738.5</v>
      </c>
      <c r="I149" s="13">
        <v>2132.1999999999998</v>
      </c>
      <c r="J149" s="35">
        <v>1.7805</v>
      </c>
      <c r="K149" s="35">
        <v>6.8918999999999997</v>
      </c>
      <c r="L149" s="35">
        <v>5.1113999999999997</v>
      </c>
      <c r="N149" s="143">
        <v>1.0839700000000001E-3</v>
      </c>
      <c r="O149" s="148">
        <v>0.45768999999999999</v>
      </c>
      <c r="P149" s="146">
        <v>144</v>
      </c>
    </row>
    <row r="150" spans="1:16" ht="13.8" x14ac:dyDescent="0.25">
      <c r="A150" s="7">
        <v>145</v>
      </c>
      <c r="B150" s="33">
        <v>0.41567999999999999</v>
      </c>
      <c r="C150" s="31">
        <v>1.08504E-3</v>
      </c>
      <c r="D150" s="33">
        <v>0.44596000000000002</v>
      </c>
      <c r="E150" s="32">
        <v>610.19000000000005</v>
      </c>
      <c r="F150" s="13">
        <v>2554.4</v>
      </c>
      <c r="G150" s="32">
        <v>610.64</v>
      </c>
      <c r="H150" s="13">
        <v>2739.8</v>
      </c>
      <c r="I150" s="13">
        <v>2129.1999999999998</v>
      </c>
      <c r="J150" s="35">
        <v>1.7907</v>
      </c>
      <c r="K150" s="35">
        <v>6.8826000000000001</v>
      </c>
      <c r="L150" s="35">
        <v>5.0918999999999999</v>
      </c>
      <c r="N150" s="143">
        <v>1.08504E-3</v>
      </c>
      <c r="O150" s="148">
        <v>0.44596000000000002</v>
      </c>
      <c r="P150" s="146">
        <v>145</v>
      </c>
    </row>
    <row r="151" spans="1:16" ht="13.8" x14ac:dyDescent="0.25">
      <c r="A151" s="7">
        <v>146</v>
      </c>
      <c r="B151" s="33">
        <v>0.42725999999999997</v>
      </c>
      <c r="C151" s="31">
        <v>1.0861200000000001E-3</v>
      </c>
      <c r="D151" s="33">
        <v>0.43458999999999998</v>
      </c>
      <c r="E151" s="32">
        <v>614.48</v>
      </c>
      <c r="F151" s="13">
        <v>2555.3000000000002</v>
      </c>
      <c r="G151" s="32">
        <v>614.94000000000005</v>
      </c>
      <c r="H151" s="13">
        <v>2741</v>
      </c>
      <c r="I151" s="13">
        <v>2126.1</v>
      </c>
      <c r="J151" s="35">
        <v>1.8009999999999999</v>
      </c>
      <c r="K151" s="35">
        <v>6.8734000000000002</v>
      </c>
      <c r="L151" s="35">
        <v>5.0724</v>
      </c>
      <c r="N151" s="143">
        <v>1.0861200000000001E-3</v>
      </c>
      <c r="O151" s="148">
        <v>0.43458999999999998</v>
      </c>
      <c r="P151" s="146">
        <v>146</v>
      </c>
    </row>
    <row r="152" spans="1:16" ht="13.8" x14ac:dyDescent="0.25">
      <c r="A152" s="7">
        <v>147</v>
      </c>
      <c r="B152" s="33">
        <v>0.43908999999999998</v>
      </c>
      <c r="C152" s="31">
        <v>1.0872E-3</v>
      </c>
      <c r="D152" s="33">
        <v>0.42357</v>
      </c>
      <c r="E152" s="32">
        <v>618.77</v>
      </c>
      <c r="F152" s="13">
        <v>2556.3000000000002</v>
      </c>
      <c r="G152" s="32">
        <v>619.25</v>
      </c>
      <c r="H152" s="13">
        <v>2742.3</v>
      </c>
      <c r="I152" s="13">
        <v>2123</v>
      </c>
      <c r="J152" s="35">
        <v>1.8111999999999999</v>
      </c>
      <c r="K152" s="35">
        <v>6.8643000000000001</v>
      </c>
      <c r="L152" s="35">
        <v>5.0529999999999999</v>
      </c>
      <c r="N152" s="143">
        <v>1.0872E-3</v>
      </c>
      <c r="O152" s="148">
        <v>0.42357</v>
      </c>
      <c r="P152" s="146">
        <v>147</v>
      </c>
    </row>
    <row r="153" spans="1:16" ht="13.8" x14ac:dyDescent="0.25">
      <c r="A153" s="7">
        <v>148</v>
      </c>
      <c r="B153" s="33">
        <v>0.45118000000000003</v>
      </c>
      <c r="C153" s="31">
        <v>1.0882999999999999E-3</v>
      </c>
      <c r="D153" s="33">
        <v>0.41288000000000002</v>
      </c>
      <c r="E153" s="32">
        <v>623.07000000000005</v>
      </c>
      <c r="F153" s="13">
        <v>2557.1999999999998</v>
      </c>
      <c r="G153" s="32">
        <v>623.55999999999995</v>
      </c>
      <c r="H153" s="13">
        <v>2743.5</v>
      </c>
      <c r="I153" s="13">
        <v>2119.9</v>
      </c>
      <c r="J153" s="35">
        <v>1.8213999999999999</v>
      </c>
      <c r="K153" s="35">
        <v>6.8552</v>
      </c>
      <c r="L153" s="35">
        <v>5.0336999999999996</v>
      </c>
      <c r="N153" s="143">
        <v>1.0882999999999999E-3</v>
      </c>
      <c r="O153" s="148">
        <v>0.41288000000000002</v>
      </c>
      <c r="P153" s="146">
        <v>148</v>
      </c>
    </row>
    <row r="154" spans="1:16" ht="13.8" x14ac:dyDescent="0.25">
      <c r="A154" s="7">
        <v>149</v>
      </c>
      <c r="B154" s="33">
        <v>0.46354000000000001</v>
      </c>
      <c r="C154" s="31">
        <v>1.0893999999999999E-3</v>
      </c>
      <c r="D154" s="33">
        <v>0.40250999999999998</v>
      </c>
      <c r="E154" s="32">
        <v>627.37</v>
      </c>
      <c r="F154" s="13">
        <v>2558.1</v>
      </c>
      <c r="G154" s="32">
        <v>627.87</v>
      </c>
      <c r="H154" s="13">
        <v>2744.7</v>
      </c>
      <c r="I154" s="13">
        <v>2116.9</v>
      </c>
      <c r="J154" s="35">
        <v>1.8315999999999999</v>
      </c>
      <c r="K154" s="35">
        <v>6.8460999999999999</v>
      </c>
      <c r="L154" s="35">
        <v>5.0145</v>
      </c>
      <c r="N154" s="143">
        <v>1.0893999999999999E-3</v>
      </c>
      <c r="O154" s="148">
        <v>0.40250999999999998</v>
      </c>
      <c r="P154" s="146">
        <v>149</v>
      </c>
    </row>
    <row r="155" spans="1:16" ht="13.8" x14ac:dyDescent="0.25">
      <c r="A155" s="7">
        <v>150</v>
      </c>
      <c r="B155" s="33">
        <v>0.47616000000000003</v>
      </c>
      <c r="C155" s="31">
        <v>1.0905000000000001E-3</v>
      </c>
      <c r="D155" s="33">
        <v>0.39245000000000002</v>
      </c>
      <c r="E155" s="32">
        <v>631.66</v>
      </c>
      <c r="F155" s="13">
        <v>2559</v>
      </c>
      <c r="G155" s="32">
        <v>632.17999999999995</v>
      </c>
      <c r="H155" s="13">
        <v>2745.9</v>
      </c>
      <c r="I155" s="13">
        <v>2113.6999999999998</v>
      </c>
      <c r="J155" s="35">
        <v>1.8418000000000001</v>
      </c>
      <c r="K155" s="35">
        <v>6.8371000000000004</v>
      </c>
      <c r="L155" s="35">
        <v>4.9953000000000003</v>
      </c>
      <c r="N155" s="143">
        <v>1.0905000000000001E-3</v>
      </c>
      <c r="O155" s="148">
        <v>0.39245000000000002</v>
      </c>
      <c r="P155" s="146">
        <v>150</v>
      </c>
    </row>
    <row r="156" spans="1:16" ht="13.8" x14ac:dyDescent="0.25">
      <c r="A156" s="7">
        <v>151</v>
      </c>
      <c r="B156" s="33">
        <v>0.48907</v>
      </c>
      <c r="C156" s="31">
        <v>1.09162E-3</v>
      </c>
      <c r="D156" s="33">
        <v>0.38268999999999997</v>
      </c>
      <c r="E156" s="32">
        <v>635.97</v>
      </c>
      <c r="F156" s="13">
        <v>2559.9</v>
      </c>
      <c r="G156" s="32">
        <v>636.5</v>
      </c>
      <c r="H156" s="13">
        <v>2747.1</v>
      </c>
      <c r="I156" s="13">
        <v>2110.6</v>
      </c>
      <c r="J156" s="35">
        <v>1.8520000000000001</v>
      </c>
      <c r="K156" s="35">
        <v>6.8281000000000001</v>
      </c>
      <c r="L156" s="35">
        <v>4.9760999999999997</v>
      </c>
      <c r="N156" s="143">
        <v>1.09162E-3</v>
      </c>
      <c r="O156" s="148">
        <v>0.38268999999999997</v>
      </c>
      <c r="P156" s="146">
        <v>151</v>
      </c>
    </row>
    <row r="157" spans="1:16" ht="13.8" x14ac:dyDescent="0.25">
      <c r="A157" s="7">
        <v>152</v>
      </c>
      <c r="B157" s="33">
        <v>0.50224999999999997</v>
      </c>
      <c r="C157" s="31">
        <v>1.09274E-3</v>
      </c>
      <c r="D157" s="33">
        <v>0.37323000000000001</v>
      </c>
      <c r="E157" s="32">
        <v>640.26</v>
      </c>
      <c r="F157" s="13">
        <v>2560.8000000000002</v>
      </c>
      <c r="G157" s="32">
        <v>640.80999999999995</v>
      </c>
      <c r="H157" s="13">
        <v>2748.3</v>
      </c>
      <c r="I157" s="13">
        <v>2107.5</v>
      </c>
      <c r="J157" s="35">
        <v>1.8621000000000001</v>
      </c>
      <c r="K157" s="35">
        <v>6.8192000000000004</v>
      </c>
      <c r="L157" s="35">
        <v>4.9570999999999996</v>
      </c>
      <c r="N157" s="143">
        <v>1.09274E-3</v>
      </c>
      <c r="O157" s="148">
        <v>0.37323000000000001</v>
      </c>
      <c r="P157" s="146">
        <v>152</v>
      </c>
    </row>
    <row r="158" spans="1:16" ht="13.8" x14ac:dyDescent="0.25">
      <c r="A158" s="7">
        <v>153</v>
      </c>
      <c r="B158" s="33">
        <v>0.51571</v>
      </c>
      <c r="C158" s="31">
        <v>1.09387E-3</v>
      </c>
      <c r="D158" s="33">
        <v>0.36403999999999997</v>
      </c>
      <c r="E158" s="32">
        <v>644.58000000000004</v>
      </c>
      <c r="F158" s="13">
        <v>2561.8000000000002</v>
      </c>
      <c r="G158" s="32">
        <v>645.14</v>
      </c>
      <c r="H158" s="13">
        <v>2749.5</v>
      </c>
      <c r="I158" s="13">
        <v>2104.3000000000002</v>
      </c>
      <c r="J158" s="35">
        <v>1.8722000000000001</v>
      </c>
      <c r="K158" s="35">
        <v>6.8102999999999998</v>
      </c>
      <c r="L158" s="35">
        <v>4.9379999999999997</v>
      </c>
      <c r="N158" s="143">
        <v>1.09387E-3</v>
      </c>
      <c r="O158" s="148">
        <v>0.36403999999999997</v>
      </c>
      <c r="P158" s="146">
        <v>153</v>
      </c>
    </row>
    <row r="159" spans="1:16" ht="13.8" x14ac:dyDescent="0.25">
      <c r="A159" s="7">
        <v>154</v>
      </c>
      <c r="B159" s="33">
        <v>0.52946000000000004</v>
      </c>
      <c r="C159" s="31">
        <v>1.09501E-3</v>
      </c>
      <c r="D159" s="33">
        <v>0.35511999999999999</v>
      </c>
      <c r="E159" s="32">
        <v>648.88</v>
      </c>
      <c r="F159" s="13">
        <v>2562.6999999999998</v>
      </c>
      <c r="G159" s="32">
        <v>649.46</v>
      </c>
      <c r="H159" s="13">
        <v>2750.7</v>
      </c>
      <c r="I159" s="13">
        <v>2101.1999999999998</v>
      </c>
      <c r="J159" s="35">
        <v>1.8823000000000001</v>
      </c>
      <c r="K159" s="35">
        <v>6.8014000000000001</v>
      </c>
      <c r="L159" s="35">
        <v>4.9191000000000003</v>
      </c>
      <c r="N159" s="143">
        <v>1.09501E-3</v>
      </c>
      <c r="O159" s="148">
        <v>0.35511999999999999</v>
      </c>
      <c r="P159" s="146">
        <v>154</v>
      </c>
    </row>
    <row r="160" spans="1:16" ht="13.8" x14ac:dyDescent="0.25">
      <c r="A160" s="7">
        <v>155</v>
      </c>
      <c r="B160" s="33">
        <v>0.54349999999999998</v>
      </c>
      <c r="C160" s="31">
        <v>1.0961499999999999E-3</v>
      </c>
      <c r="D160" s="33">
        <v>0.34645999999999999</v>
      </c>
      <c r="E160" s="32">
        <v>653.19000000000005</v>
      </c>
      <c r="F160" s="13">
        <v>2563.5</v>
      </c>
      <c r="G160" s="32">
        <v>653.79</v>
      </c>
      <c r="H160" s="13">
        <v>2751.8</v>
      </c>
      <c r="I160" s="13">
        <v>2098</v>
      </c>
      <c r="J160" s="35">
        <v>1.8924000000000001</v>
      </c>
      <c r="K160" s="35">
        <v>6.7926000000000002</v>
      </c>
      <c r="L160" s="35">
        <v>4.9001999999999999</v>
      </c>
      <c r="N160" s="143">
        <v>1.0961499999999999E-3</v>
      </c>
      <c r="O160" s="148">
        <v>0.34645999999999999</v>
      </c>
      <c r="P160" s="146">
        <v>155</v>
      </c>
    </row>
    <row r="161" spans="1:16" ht="13.8" x14ac:dyDescent="0.25">
      <c r="A161" s="7">
        <v>156</v>
      </c>
      <c r="B161" s="33">
        <v>0.55784</v>
      </c>
      <c r="C161" s="31">
        <v>1.0973000000000001E-3</v>
      </c>
      <c r="D161" s="33">
        <v>0.33805000000000002</v>
      </c>
      <c r="E161" s="32">
        <v>657.51</v>
      </c>
      <c r="F161" s="13">
        <v>2564.4</v>
      </c>
      <c r="G161" s="32">
        <v>658.12</v>
      </c>
      <c r="H161" s="13">
        <v>2753</v>
      </c>
      <c r="I161" s="13">
        <v>2094.8000000000002</v>
      </c>
      <c r="J161" s="35">
        <v>1.9025000000000001</v>
      </c>
      <c r="K161" s="35">
        <v>6.7838000000000003</v>
      </c>
      <c r="L161" s="35">
        <v>4.8814000000000002</v>
      </c>
      <c r="N161" s="143">
        <v>1.0973000000000001E-3</v>
      </c>
      <c r="O161" s="148">
        <v>0.33805000000000002</v>
      </c>
      <c r="P161" s="146">
        <v>156</v>
      </c>
    </row>
    <row r="162" spans="1:16" ht="13.8" x14ac:dyDescent="0.25">
      <c r="A162" s="7">
        <v>157</v>
      </c>
      <c r="B162" s="33">
        <v>0.57247000000000003</v>
      </c>
      <c r="C162" s="31">
        <v>1.0984600000000001E-3</v>
      </c>
      <c r="D162" s="33">
        <v>0.32989000000000002</v>
      </c>
      <c r="E162" s="32">
        <v>661.82</v>
      </c>
      <c r="F162" s="13">
        <v>2565.1999999999998</v>
      </c>
      <c r="G162" s="32">
        <v>662.45</v>
      </c>
      <c r="H162" s="13">
        <v>2754.1</v>
      </c>
      <c r="I162" s="13">
        <v>2091.6</v>
      </c>
      <c r="J162" s="35">
        <v>1.9125000000000001</v>
      </c>
      <c r="K162" s="35">
        <v>6.7751000000000001</v>
      </c>
      <c r="L162" s="35">
        <v>4.8625999999999996</v>
      </c>
      <c r="N162" s="143">
        <v>1.0984600000000001E-3</v>
      </c>
      <c r="O162" s="148">
        <v>0.32989000000000002</v>
      </c>
      <c r="P162" s="146">
        <v>157</v>
      </c>
    </row>
    <row r="163" spans="1:16" ht="13.8" x14ac:dyDescent="0.25">
      <c r="A163" s="7">
        <v>158</v>
      </c>
      <c r="B163" s="33">
        <v>0.58742000000000005</v>
      </c>
      <c r="C163" s="31">
        <v>1.0996300000000001E-3</v>
      </c>
      <c r="D163" s="33">
        <v>0.32196000000000002</v>
      </c>
      <c r="E163" s="32">
        <v>666.14</v>
      </c>
      <c r="F163" s="13">
        <v>2566.1</v>
      </c>
      <c r="G163" s="32">
        <v>666.79</v>
      </c>
      <c r="H163" s="13">
        <v>2755.2</v>
      </c>
      <c r="I163" s="13">
        <v>2088.4</v>
      </c>
      <c r="J163" s="35">
        <v>1.9225000000000001</v>
      </c>
      <c r="K163" s="35">
        <v>6.7664</v>
      </c>
      <c r="L163" s="35">
        <v>4.8438999999999997</v>
      </c>
      <c r="N163" s="143">
        <v>1.0996300000000001E-3</v>
      </c>
      <c r="O163" s="148">
        <v>0.32196000000000002</v>
      </c>
      <c r="P163" s="146">
        <v>158</v>
      </c>
    </row>
    <row r="164" spans="1:16" ht="13.8" x14ac:dyDescent="0.25">
      <c r="A164" s="7">
        <v>159</v>
      </c>
      <c r="B164" s="33">
        <v>0.60267000000000004</v>
      </c>
      <c r="C164" s="31">
        <v>1.10081E-3</v>
      </c>
      <c r="D164" s="33">
        <v>0.31425999999999998</v>
      </c>
      <c r="E164" s="32">
        <v>670.47</v>
      </c>
      <c r="F164" s="13">
        <v>2566.9</v>
      </c>
      <c r="G164" s="32">
        <v>671.13</v>
      </c>
      <c r="H164" s="13">
        <v>2756.3</v>
      </c>
      <c r="I164" s="13">
        <v>2085.1999999999998</v>
      </c>
      <c r="J164" s="35">
        <v>1.9326000000000001</v>
      </c>
      <c r="K164" s="35">
        <v>6.7577999999999996</v>
      </c>
      <c r="L164" s="35">
        <v>4.8251999999999997</v>
      </c>
      <c r="N164" s="143">
        <v>1.10081E-3</v>
      </c>
      <c r="O164" s="148">
        <v>0.31425999999999998</v>
      </c>
      <c r="P164" s="146">
        <v>159</v>
      </c>
    </row>
    <row r="165" spans="1:16" ht="13.8" x14ac:dyDescent="0.25">
      <c r="A165" s="7">
        <v>160</v>
      </c>
      <c r="B165" s="33">
        <v>0.61822999999999995</v>
      </c>
      <c r="C165" s="31">
        <v>1.10199E-3</v>
      </c>
      <c r="D165" s="33">
        <v>0.30678</v>
      </c>
      <c r="E165" s="32">
        <v>674.79</v>
      </c>
      <c r="F165" s="13">
        <v>2567.6999999999998</v>
      </c>
      <c r="G165" s="32">
        <v>675.47</v>
      </c>
      <c r="H165" s="13">
        <v>2757.4</v>
      </c>
      <c r="I165" s="13">
        <v>2082</v>
      </c>
      <c r="J165" s="35">
        <v>1.9426000000000001</v>
      </c>
      <c r="K165" s="35">
        <v>6.7491000000000003</v>
      </c>
      <c r="L165" s="35">
        <v>4.8066000000000004</v>
      </c>
      <c r="N165" s="143">
        <v>1.10199E-3</v>
      </c>
      <c r="O165" s="148">
        <v>0.30678</v>
      </c>
      <c r="P165" s="146">
        <v>160</v>
      </c>
    </row>
    <row r="166" spans="1:16" ht="13.8" x14ac:dyDescent="0.25">
      <c r="A166" s="7">
        <v>161</v>
      </c>
      <c r="B166" s="33">
        <v>0.63412000000000002</v>
      </c>
      <c r="C166" s="31">
        <v>1.10318E-3</v>
      </c>
      <c r="D166" s="33">
        <v>0.29951</v>
      </c>
      <c r="E166" s="32">
        <v>679.12</v>
      </c>
      <c r="F166" s="13">
        <v>2568.6</v>
      </c>
      <c r="G166" s="32">
        <v>679.82</v>
      </c>
      <c r="H166" s="13">
        <v>2758.5</v>
      </c>
      <c r="I166" s="13">
        <v>2078.6999999999998</v>
      </c>
      <c r="J166" s="35">
        <v>1.9524999999999999</v>
      </c>
      <c r="K166" s="35">
        <v>6.7405999999999997</v>
      </c>
      <c r="L166" s="35">
        <v>4.7880000000000003</v>
      </c>
      <c r="N166" s="143">
        <v>1.10318E-3</v>
      </c>
      <c r="O166" s="148">
        <v>0.29951</v>
      </c>
      <c r="P166" s="146">
        <v>161</v>
      </c>
    </row>
    <row r="167" spans="1:16" ht="13.8" x14ac:dyDescent="0.25">
      <c r="A167" s="7">
        <v>162</v>
      </c>
      <c r="B167" s="33">
        <v>0.65032999999999996</v>
      </c>
      <c r="C167" s="31">
        <v>1.1043800000000001E-3</v>
      </c>
      <c r="D167" s="33">
        <v>0.29244999999999999</v>
      </c>
      <c r="E167" s="32">
        <v>683.45</v>
      </c>
      <c r="F167" s="13">
        <v>2569.4</v>
      </c>
      <c r="G167" s="32">
        <v>684.17</v>
      </c>
      <c r="H167" s="13">
        <v>2759.6</v>
      </c>
      <c r="I167" s="13">
        <v>2075.5</v>
      </c>
      <c r="J167" s="35">
        <v>1.9624999999999999</v>
      </c>
      <c r="K167" s="35">
        <v>6.7320000000000002</v>
      </c>
      <c r="L167" s="35">
        <v>4.7694999999999999</v>
      </c>
      <c r="N167" s="143">
        <v>1.1043800000000001E-3</v>
      </c>
      <c r="O167" s="148">
        <v>0.29244999999999999</v>
      </c>
      <c r="P167" s="146">
        <v>162</v>
      </c>
    </row>
    <row r="168" spans="1:16" ht="13.8" x14ac:dyDescent="0.25">
      <c r="A168" s="7">
        <v>163</v>
      </c>
      <c r="B168" s="33">
        <v>0.66686000000000001</v>
      </c>
      <c r="C168" s="31">
        <v>1.10559E-3</v>
      </c>
      <c r="D168" s="33">
        <v>0.28559000000000001</v>
      </c>
      <c r="E168" s="32">
        <v>687.78</v>
      </c>
      <c r="F168" s="13">
        <v>2570.3000000000002</v>
      </c>
      <c r="G168" s="32">
        <v>688.52</v>
      </c>
      <c r="H168" s="13">
        <v>2760.7</v>
      </c>
      <c r="I168" s="13">
        <v>2072.1999999999998</v>
      </c>
      <c r="J168" s="35">
        <v>1.9724999999999999</v>
      </c>
      <c r="K168" s="35">
        <v>6.7234999999999996</v>
      </c>
      <c r="L168" s="35">
        <v>4.7511000000000001</v>
      </c>
      <c r="N168" s="143">
        <v>1.10559E-3</v>
      </c>
      <c r="O168" s="148">
        <v>0.28559000000000001</v>
      </c>
      <c r="P168" s="146">
        <v>163</v>
      </c>
    </row>
    <row r="169" spans="1:16" ht="13.8" x14ac:dyDescent="0.25">
      <c r="A169" s="7">
        <v>164</v>
      </c>
      <c r="B169" s="33">
        <v>0.68372999999999995</v>
      </c>
      <c r="C169" s="31">
        <v>1.1068E-3</v>
      </c>
      <c r="D169" s="33">
        <v>0.27892</v>
      </c>
      <c r="E169" s="32">
        <v>692.12</v>
      </c>
      <c r="F169" s="13">
        <v>2571.1</v>
      </c>
      <c r="G169" s="32">
        <v>692.88</v>
      </c>
      <c r="H169" s="13">
        <v>2761.8</v>
      </c>
      <c r="I169" s="13">
        <v>2068.9</v>
      </c>
      <c r="J169" s="35">
        <v>1.9823999999999999</v>
      </c>
      <c r="K169" s="35">
        <v>6.7149999999999999</v>
      </c>
      <c r="L169" s="35">
        <v>4.7327000000000004</v>
      </c>
      <c r="N169" s="143">
        <v>1.1068E-3</v>
      </c>
      <c r="O169" s="148">
        <v>0.27892</v>
      </c>
      <c r="P169" s="146">
        <v>164</v>
      </c>
    </row>
    <row r="170" spans="1:16" ht="13.8" x14ac:dyDescent="0.25">
      <c r="A170" s="7">
        <v>165</v>
      </c>
      <c r="B170" s="33">
        <v>0.70093000000000005</v>
      </c>
      <c r="C170" s="31">
        <v>1.1080300000000001E-3</v>
      </c>
      <c r="D170" s="33">
        <v>0.27243000000000001</v>
      </c>
      <c r="E170" s="32">
        <v>696.46</v>
      </c>
      <c r="F170" s="13">
        <v>2571.8000000000002</v>
      </c>
      <c r="G170" s="32">
        <v>697.24</v>
      </c>
      <c r="H170" s="13">
        <v>2762.8</v>
      </c>
      <c r="I170" s="13">
        <v>2065.6</v>
      </c>
      <c r="J170" s="35">
        <v>1.9923</v>
      </c>
      <c r="K170" s="35">
        <v>6.7065999999999999</v>
      </c>
      <c r="L170" s="35">
        <v>4.7142999999999997</v>
      </c>
      <c r="N170" s="143">
        <v>1.1080300000000001E-3</v>
      </c>
      <c r="O170" s="148">
        <v>0.27243000000000001</v>
      </c>
      <c r="P170" s="146">
        <v>165</v>
      </c>
    </row>
    <row r="171" spans="1:16" ht="13.8" x14ac:dyDescent="0.25">
      <c r="A171" s="7">
        <v>166</v>
      </c>
      <c r="B171" s="33">
        <v>0.71848000000000001</v>
      </c>
      <c r="C171" s="31">
        <v>1.1092599999999999E-3</v>
      </c>
      <c r="D171" s="33">
        <v>0.26612000000000002</v>
      </c>
      <c r="E171" s="32">
        <v>700.8</v>
      </c>
      <c r="F171" s="13">
        <v>2572.6999999999998</v>
      </c>
      <c r="G171" s="32">
        <v>701.6</v>
      </c>
      <c r="H171" s="13">
        <v>2763.9</v>
      </c>
      <c r="I171" s="13">
        <v>2062.3000000000002</v>
      </c>
      <c r="J171" s="35">
        <v>2.0022000000000002</v>
      </c>
      <c r="K171" s="35">
        <v>6.6981999999999999</v>
      </c>
      <c r="L171" s="35">
        <v>4.6959999999999997</v>
      </c>
      <c r="N171" s="143">
        <v>1.1092599999999999E-3</v>
      </c>
      <c r="O171" s="148">
        <v>0.26612000000000002</v>
      </c>
      <c r="P171" s="146">
        <v>166</v>
      </c>
    </row>
    <row r="172" spans="1:16" ht="13.8" x14ac:dyDescent="0.25">
      <c r="A172" s="7">
        <v>167</v>
      </c>
      <c r="B172" s="33">
        <v>0.73638000000000003</v>
      </c>
      <c r="C172" s="31">
        <v>1.1104999999999999E-3</v>
      </c>
      <c r="D172" s="33">
        <v>0.25999</v>
      </c>
      <c r="E172" s="32">
        <v>705.14</v>
      </c>
      <c r="F172" s="13">
        <v>2573.4</v>
      </c>
      <c r="G172" s="32">
        <v>705.96</v>
      </c>
      <c r="H172" s="13">
        <v>2764.9</v>
      </c>
      <c r="I172" s="13">
        <v>2058.9</v>
      </c>
      <c r="J172" s="35">
        <v>2.0121000000000002</v>
      </c>
      <c r="K172" s="35">
        <v>6.6898</v>
      </c>
      <c r="L172" s="35">
        <v>4.6778000000000004</v>
      </c>
      <c r="N172" s="143">
        <v>1.1104999999999999E-3</v>
      </c>
      <c r="O172" s="148">
        <v>0.25999</v>
      </c>
      <c r="P172" s="146">
        <v>167</v>
      </c>
    </row>
    <row r="173" spans="1:16" ht="13.8" x14ac:dyDescent="0.25">
      <c r="A173" s="7">
        <v>168</v>
      </c>
      <c r="B173" s="33">
        <v>0.75461999999999996</v>
      </c>
      <c r="C173" s="31">
        <v>1.1117500000000001E-3</v>
      </c>
      <c r="D173" s="33">
        <v>0.25402999999999998</v>
      </c>
      <c r="E173" s="32">
        <v>709.49</v>
      </c>
      <c r="F173" s="13">
        <v>2574.1999999999998</v>
      </c>
      <c r="G173" s="32">
        <v>710.33</v>
      </c>
      <c r="H173" s="13">
        <v>2765.9</v>
      </c>
      <c r="I173" s="13">
        <v>2055.6</v>
      </c>
      <c r="J173" s="35">
        <v>2.0219999999999998</v>
      </c>
      <c r="K173" s="35">
        <v>6.6814999999999998</v>
      </c>
      <c r="L173" s="35">
        <v>4.6596000000000002</v>
      </c>
      <c r="N173" s="143">
        <v>1.1117500000000001E-3</v>
      </c>
      <c r="O173" s="148">
        <v>0.25402999999999998</v>
      </c>
      <c r="P173" s="146">
        <v>168</v>
      </c>
    </row>
    <row r="174" spans="1:16" ht="13.8" x14ac:dyDescent="0.25">
      <c r="A174" s="7">
        <v>169</v>
      </c>
      <c r="B174" s="33">
        <v>0.77322000000000002</v>
      </c>
      <c r="C174" s="31">
        <v>1.1130000000000001E-3</v>
      </c>
      <c r="D174" s="33">
        <v>0.24823000000000001</v>
      </c>
      <c r="E174" s="32">
        <v>713.85</v>
      </c>
      <c r="F174" s="13">
        <v>2575</v>
      </c>
      <c r="G174" s="32">
        <v>714.71</v>
      </c>
      <c r="H174" s="13">
        <v>2766.9</v>
      </c>
      <c r="I174" s="13">
        <v>2052.1999999999998</v>
      </c>
      <c r="J174" s="35">
        <v>2.0318000000000001</v>
      </c>
      <c r="K174" s="35">
        <v>6.6731999999999996</v>
      </c>
      <c r="L174" s="35">
        <v>4.6414</v>
      </c>
      <c r="N174" s="143">
        <v>1.1130000000000001E-3</v>
      </c>
      <c r="O174" s="148">
        <v>0.24823000000000001</v>
      </c>
      <c r="P174" s="146">
        <v>169</v>
      </c>
    </row>
    <row r="175" spans="1:16" ht="13.8" x14ac:dyDescent="0.25">
      <c r="A175" s="7">
        <v>170</v>
      </c>
      <c r="B175" s="33">
        <v>0.79218999999999995</v>
      </c>
      <c r="C175" s="31">
        <v>1.1142700000000001E-3</v>
      </c>
      <c r="D175" s="33">
        <v>0.24259</v>
      </c>
      <c r="E175" s="32">
        <v>718.2</v>
      </c>
      <c r="F175" s="13">
        <v>2575.6999999999998</v>
      </c>
      <c r="G175" s="32">
        <v>719.08</v>
      </c>
      <c r="H175" s="13">
        <v>2767.9</v>
      </c>
      <c r="I175" s="13">
        <v>2048.8000000000002</v>
      </c>
      <c r="J175" s="35">
        <v>2.0417000000000001</v>
      </c>
      <c r="K175" s="35">
        <v>6.665</v>
      </c>
      <c r="L175" s="35">
        <v>4.6233000000000004</v>
      </c>
      <c r="N175" s="143">
        <v>1.1142700000000001E-3</v>
      </c>
      <c r="O175" s="148">
        <v>0.24259</v>
      </c>
      <c r="P175" s="146">
        <v>170</v>
      </c>
    </row>
    <row r="176" spans="1:16" ht="13.8" x14ac:dyDescent="0.25">
      <c r="A176" s="7">
        <v>171</v>
      </c>
      <c r="B176" s="33">
        <v>0.81152000000000002</v>
      </c>
      <c r="C176" s="31">
        <v>1.1155399999999999E-3</v>
      </c>
      <c r="D176" s="33">
        <v>0.23710000000000001</v>
      </c>
      <c r="E176" s="32">
        <v>722.55</v>
      </c>
      <c r="F176" s="13">
        <v>2576.5</v>
      </c>
      <c r="G176" s="32">
        <v>723.46</v>
      </c>
      <c r="H176" s="13">
        <v>2768.9</v>
      </c>
      <c r="I176" s="13">
        <v>2045.4</v>
      </c>
      <c r="J176" s="35">
        <v>2.0514999999999999</v>
      </c>
      <c r="K176" s="35">
        <v>6.6566999999999998</v>
      </c>
      <c r="L176" s="35">
        <v>4.6052999999999997</v>
      </c>
      <c r="N176" s="143">
        <v>1.1155399999999999E-3</v>
      </c>
      <c r="O176" s="148">
        <v>0.23710000000000001</v>
      </c>
      <c r="P176" s="146">
        <v>171</v>
      </c>
    </row>
    <row r="177" spans="1:16" ht="13.8" x14ac:dyDescent="0.25">
      <c r="A177" s="7">
        <v>172</v>
      </c>
      <c r="B177" s="33">
        <v>0.83121999999999996</v>
      </c>
      <c r="C177" s="31">
        <v>1.1168199999999999E-3</v>
      </c>
      <c r="D177" s="33">
        <v>0.23175999999999999</v>
      </c>
      <c r="E177" s="32">
        <v>726.92</v>
      </c>
      <c r="F177" s="13">
        <v>2577.3000000000002</v>
      </c>
      <c r="G177" s="32">
        <v>727.85</v>
      </c>
      <c r="H177" s="13">
        <v>2769.9</v>
      </c>
      <c r="I177" s="13">
        <v>2042</v>
      </c>
      <c r="J177" s="35">
        <v>2.0613000000000001</v>
      </c>
      <c r="K177" s="35">
        <v>6.6485000000000003</v>
      </c>
      <c r="L177" s="35">
        <v>4.5872000000000002</v>
      </c>
      <c r="N177" s="143">
        <v>1.1168199999999999E-3</v>
      </c>
      <c r="O177" s="148">
        <v>0.23175999999999999</v>
      </c>
      <c r="P177" s="146">
        <v>172</v>
      </c>
    </row>
    <row r="178" spans="1:16" ht="13.8" x14ac:dyDescent="0.25">
      <c r="A178" s="7">
        <v>173</v>
      </c>
      <c r="B178" s="33">
        <v>0.85129999999999995</v>
      </c>
      <c r="C178" s="31">
        <v>1.1181100000000001E-3</v>
      </c>
      <c r="D178" s="33">
        <v>0.22656000000000001</v>
      </c>
      <c r="E178" s="32">
        <v>731.28</v>
      </c>
      <c r="F178" s="13">
        <v>2577.9</v>
      </c>
      <c r="G178" s="32">
        <v>732.23</v>
      </c>
      <c r="H178" s="13">
        <v>2770.8</v>
      </c>
      <c r="I178" s="13">
        <v>2038.6</v>
      </c>
      <c r="J178" s="35">
        <v>2.0710999999999999</v>
      </c>
      <c r="K178" s="35">
        <v>6.6403999999999996</v>
      </c>
      <c r="L178" s="35">
        <v>4.5693000000000001</v>
      </c>
      <c r="N178" s="143">
        <v>1.1181100000000001E-3</v>
      </c>
      <c r="O178" s="148">
        <v>0.22656000000000001</v>
      </c>
      <c r="P178" s="146">
        <v>173</v>
      </c>
    </row>
    <row r="179" spans="1:16" ht="13.8" x14ac:dyDescent="0.25">
      <c r="A179" s="7">
        <v>174</v>
      </c>
      <c r="B179" s="33">
        <v>0.87175999999999998</v>
      </c>
      <c r="C179" s="31">
        <v>1.1194099999999999E-3</v>
      </c>
      <c r="D179" s="33">
        <v>0.2215</v>
      </c>
      <c r="E179" s="32">
        <v>735.65</v>
      </c>
      <c r="F179" s="13">
        <v>2578.6999999999998</v>
      </c>
      <c r="G179" s="32">
        <v>736.63</v>
      </c>
      <c r="H179" s="13">
        <v>2771.8</v>
      </c>
      <c r="I179" s="13">
        <v>2035.1</v>
      </c>
      <c r="J179" s="35">
        <v>2.0809000000000002</v>
      </c>
      <c r="K179" s="35">
        <v>6.6322000000000001</v>
      </c>
      <c r="L179" s="35">
        <v>4.5514000000000001</v>
      </c>
      <c r="N179" s="143">
        <v>1.1194099999999999E-3</v>
      </c>
      <c r="O179" s="148">
        <v>0.2215</v>
      </c>
      <c r="P179" s="146">
        <v>174</v>
      </c>
    </row>
    <row r="180" spans="1:16" ht="13.8" x14ac:dyDescent="0.25">
      <c r="A180" s="7">
        <v>175</v>
      </c>
      <c r="B180" s="33">
        <v>0.89259999999999995</v>
      </c>
      <c r="C180" s="31">
        <v>1.12072E-3</v>
      </c>
      <c r="D180" s="33">
        <v>0.21657999999999999</v>
      </c>
      <c r="E180" s="32">
        <v>740.02</v>
      </c>
      <c r="F180" s="13">
        <v>2579.4</v>
      </c>
      <c r="G180" s="32">
        <v>741.02</v>
      </c>
      <c r="H180" s="13">
        <v>2772.7</v>
      </c>
      <c r="I180" s="13">
        <v>2031.7</v>
      </c>
      <c r="J180" s="35">
        <v>2.0905999999999998</v>
      </c>
      <c r="K180" s="35">
        <v>6.6241000000000003</v>
      </c>
      <c r="L180" s="35">
        <v>4.5335000000000001</v>
      </c>
      <c r="N180" s="143">
        <v>1.12072E-3</v>
      </c>
      <c r="O180" s="148">
        <v>0.21657999999999999</v>
      </c>
      <c r="P180" s="146">
        <v>175</v>
      </c>
    </row>
    <row r="181" spans="1:16" ht="13.8" x14ac:dyDescent="0.25">
      <c r="A181" s="7">
        <v>176</v>
      </c>
      <c r="B181" s="33">
        <v>0.91383999999999999</v>
      </c>
      <c r="C181" s="31">
        <v>1.1220399999999999E-3</v>
      </c>
      <c r="D181" s="33">
        <v>0.21179000000000001</v>
      </c>
      <c r="E181" s="32">
        <v>744.39</v>
      </c>
      <c r="F181" s="13">
        <v>2580.1</v>
      </c>
      <c r="G181" s="32">
        <v>745.42</v>
      </c>
      <c r="H181" s="13">
        <v>2773.6</v>
      </c>
      <c r="I181" s="13">
        <v>2028.2</v>
      </c>
      <c r="J181" s="35">
        <v>2.1004</v>
      </c>
      <c r="K181" s="35">
        <v>6.6161000000000003</v>
      </c>
      <c r="L181" s="35">
        <v>4.5156999999999998</v>
      </c>
      <c r="N181" s="143">
        <v>1.1220399999999999E-3</v>
      </c>
      <c r="O181" s="148">
        <v>0.21179000000000001</v>
      </c>
      <c r="P181" s="146">
        <v>176</v>
      </c>
    </row>
    <row r="182" spans="1:16" ht="13.8" x14ac:dyDescent="0.25">
      <c r="A182" s="7">
        <v>177</v>
      </c>
      <c r="B182" s="33">
        <v>0.93547000000000002</v>
      </c>
      <c r="C182" s="31">
        <v>1.1233599999999999E-3</v>
      </c>
      <c r="D182" s="33">
        <v>0.20712</v>
      </c>
      <c r="E182" s="32">
        <v>748.77</v>
      </c>
      <c r="F182" s="13">
        <v>2580.6999999999998</v>
      </c>
      <c r="G182" s="32">
        <v>749.82</v>
      </c>
      <c r="H182" s="13">
        <v>2774.5</v>
      </c>
      <c r="I182" s="13">
        <v>2024.7</v>
      </c>
      <c r="J182" s="35">
        <v>2.1101000000000001</v>
      </c>
      <c r="K182" s="35">
        <v>6.6079999999999997</v>
      </c>
      <c r="L182" s="35">
        <v>4.4978999999999996</v>
      </c>
      <c r="N182" s="143">
        <v>1.1233599999999999E-3</v>
      </c>
      <c r="O182" s="148">
        <v>0.20712</v>
      </c>
      <c r="P182" s="146">
        <v>177</v>
      </c>
    </row>
    <row r="183" spans="1:16" ht="13.8" x14ac:dyDescent="0.25">
      <c r="A183" s="7">
        <v>178</v>
      </c>
      <c r="B183" s="33">
        <v>0.95750999999999997</v>
      </c>
      <c r="C183" s="31">
        <v>1.1247E-3</v>
      </c>
      <c r="D183" s="33">
        <v>0.20258000000000001</v>
      </c>
      <c r="E183" s="32">
        <v>753.15</v>
      </c>
      <c r="F183" s="13">
        <v>2581.4</v>
      </c>
      <c r="G183" s="32">
        <v>754.23</v>
      </c>
      <c r="H183" s="13">
        <v>2775.4</v>
      </c>
      <c r="I183" s="13">
        <v>2021.2</v>
      </c>
      <c r="J183" s="35">
        <v>2.1198000000000001</v>
      </c>
      <c r="K183" s="35">
        <v>6.6</v>
      </c>
      <c r="L183" s="35">
        <v>4.4802</v>
      </c>
      <c r="N183" s="143">
        <v>1.1247E-3</v>
      </c>
      <c r="O183" s="148">
        <v>0.20258000000000001</v>
      </c>
      <c r="P183" s="146">
        <v>178</v>
      </c>
    </row>
    <row r="184" spans="1:16" ht="13.8" x14ac:dyDescent="0.25">
      <c r="A184" s="7">
        <v>179</v>
      </c>
      <c r="B184" s="33">
        <v>0.97994999999999999</v>
      </c>
      <c r="C184" s="31">
        <v>1.12604E-3</v>
      </c>
      <c r="D184" s="33">
        <v>0.19814999999999999</v>
      </c>
      <c r="E184" s="32">
        <v>757.54</v>
      </c>
      <c r="F184" s="13">
        <v>2582.1</v>
      </c>
      <c r="G184" s="32">
        <v>758.64</v>
      </c>
      <c r="H184" s="13">
        <v>2776.3</v>
      </c>
      <c r="I184" s="13">
        <v>2017.7</v>
      </c>
      <c r="J184" s="35">
        <v>2.1295999999999999</v>
      </c>
      <c r="K184" s="35">
        <v>6.5919999999999996</v>
      </c>
      <c r="L184" s="35">
        <v>4.4625000000000004</v>
      </c>
      <c r="N184" s="143">
        <v>1.12604E-3</v>
      </c>
      <c r="O184" s="148">
        <v>0.19814999999999999</v>
      </c>
      <c r="P184" s="146">
        <v>179</v>
      </c>
    </row>
    <row r="185" spans="1:16" ht="13.8" x14ac:dyDescent="0.25">
      <c r="A185" s="7">
        <v>180</v>
      </c>
      <c r="B185" s="35">
        <v>1.0027999999999999</v>
      </c>
      <c r="C185" s="31">
        <v>1.1274E-3</v>
      </c>
      <c r="D185" s="33">
        <v>0.19384000000000001</v>
      </c>
      <c r="E185" s="32">
        <v>761.92</v>
      </c>
      <c r="F185" s="13">
        <v>2582.8000000000002</v>
      </c>
      <c r="G185" s="32">
        <v>763.05</v>
      </c>
      <c r="H185" s="13">
        <v>2777.2</v>
      </c>
      <c r="I185" s="13">
        <v>2014.2</v>
      </c>
      <c r="J185" s="35">
        <v>2.1392000000000002</v>
      </c>
      <c r="K185" s="35">
        <v>6.5839999999999996</v>
      </c>
      <c r="L185" s="35">
        <v>4.4447999999999999</v>
      </c>
      <c r="N185" s="143">
        <v>1.1274E-3</v>
      </c>
      <c r="O185" s="148">
        <v>0.19384000000000001</v>
      </c>
      <c r="P185" s="146">
        <v>180</v>
      </c>
    </row>
    <row r="186" spans="1:16" ht="13.8" x14ac:dyDescent="0.25">
      <c r="A186" s="7">
        <v>181</v>
      </c>
      <c r="B186" s="35">
        <v>1.0261</v>
      </c>
      <c r="C186" s="31">
        <v>1.1287599999999999E-3</v>
      </c>
      <c r="D186" s="33">
        <v>0.18964</v>
      </c>
      <c r="E186" s="32">
        <v>766.31</v>
      </c>
      <c r="F186" s="13">
        <v>2583.5</v>
      </c>
      <c r="G186" s="32">
        <v>767.47</v>
      </c>
      <c r="H186" s="13">
        <v>2778.1</v>
      </c>
      <c r="I186" s="13">
        <v>2010.6</v>
      </c>
      <c r="J186" s="35">
        <v>2.1488999999999998</v>
      </c>
      <c r="K186" s="35">
        <v>6.5761000000000003</v>
      </c>
      <c r="L186" s="35">
        <v>4.4272</v>
      </c>
      <c r="N186" s="143">
        <v>1.1287599999999999E-3</v>
      </c>
      <c r="O186" s="148">
        <v>0.18964</v>
      </c>
      <c r="P186" s="146">
        <v>181</v>
      </c>
    </row>
    <row r="187" spans="1:16" ht="13.8" x14ac:dyDescent="0.25">
      <c r="A187" s="7">
        <v>182</v>
      </c>
      <c r="B187" s="35">
        <v>1.0498000000000001</v>
      </c>
      <c r="C187" s="31">
        <v>1.13013E-3</v>
      </c>
      <c r="D187" s="33">
        <v>0.18554999999999999</v>
      </c>
      <c r="E187" s="32">
        <v>770.71</v>
      </c>
      <c r="F187" s="13">
        <v>2584.1</v>
      </c>
      <c r="G187" s="32">
        <v>771.9</v>
      </c>
      <c r="H187" s="13">
        <v>2778.9</v>
      </c>
      <c r="I187" s="13">
        <v>2007</v>
      </c>
      <c r="J187" s="35">
        <v>2.1585999999999999</v>
      </c>
      <c r="K187" s="35">
        <v>6.5682</v>
      </c>
      <c r="L187" s="35">
        <v>4.4096000000000002</v>
      </c>
      <c r="N187" s="143">
        <v>1.13013E-3</v>
      </c>
      <c r="O187" s="148">
        <v>0.18554999999999999</v>
      </c>
      <c r="P187" s="146">
        <v>182</v>
      </c>
    </row>
    <row r="188" spans="1:16" ht="13.8" x14ac:dyDescent="0.25">
      <c r="A188" s="7">
        <v>183</v>
      </c>
      <c r="B188" s="35">
        <v>1.0739000000000001</v>
      </c>
      <c r="C188" s="31">
        <v>1.1315100000000001E-3</v>
      </c>
      <c r="D188" s="33">
        <v>0.18157000000000001</v>
      </c>
      <c r="E188" s="32">
        <v>775.1</v>
      </c>
      <c r="F188" s="13">
        <v>2584.8000000000002</v>
      </c>
      <c r="G188" s="32">
        <v>776.32</v>
      </c>
      <c r="H188" s="13">
        <v>2779.8</v>
      </c>
      <c r="I188" s="13">
        <v>2003.4</v>
      </c>
      <c r="J188" s="35">
        <v>2.1682999999999999</v>
      </c>
      <c r="K188" s="35">
        <v>6.5602999999999998</v>
      </c>
      <c r="L188" s="35">
        <v>4.3921000000000001</v>
      </c>
      <c r="N188" s="143">
        <v>1.1315100000000001E-3</v>
      </c>
      <c r="O188" s="148">
        <v>0.18157000000000001</v>
      </c>
      <c r="P188" s="146">
        <v>183</v>
      </c>
    </row>
    <row r="189" spans="1:16" ht="13.8" x14ac:dyDescent="0.25">
      <c r="A189" s="7">
        <v>184</v>
      </c>
      <c r="B189" s="35">
        <v>1.0985</v>
      </c>
      <c r="C189" s="31">
        <v>1.1329000000000001E-3</v>
      </c>
      <c r="D189" s="33">
        <v>0.17768999999999999</v>
      </c>
      <c r="E189" s="32">
        <v>779.51</v>
      </c>
      <c r="F189" s="13">
        <v>2585.4</v>
      </c>
      <c r="G189" s="32">
        <v>780.75</v>
      </c>
      <c r="H189" s="13">
        <v>2780.6</v>
      </c>
      <c r="I189" s="13">
        <v>1999.8</v>
      </c>
      <c r="J189" s="35">
        <v>2.1779000000000002</v>
      </c>
      <c r="K189" s="35">
        <v>6.5525000000000002</v>
      </c>
      <c r="L189" s="35">
        <v>4.3746</v>
      </c>
      <c r="N189" s="143">
        <v>1.1329000000000001E-3</v>
      </c>
      <c r="O189" s="148">
        <v>0.17768999999999999</v>
      </c>
      <c r="P189" s="146">
        <v>184</v>
      </c>
    </row>
    <row r="190" spans="1:16" ht="13.8" x14ac:dyDescent="0.25">
      <c r="A190" s="7">
        <v>185</v>
      </c>
      <c r="B190" s="35">
        <v>1.1234999999999999</v>
      </c>
      <c r="C190" s="31">
        <v>1.1343E-3</v>
      </c>
      <c r="D190" s="33">
        <v>0.1739</v>
      </c>
      <c r="E190" s="32">
        <v>783.92</v>
      </c>
      <c r="F190" s="13">
        <v>2586</v>
      </c>
      <c r="G190" s="32">
        <v>785.19</v>
      </c>
      <c r="H190" s="13">
        <v>2781.4</v>
      </c>
      <c r="I190" s="13">
        <v>1996.2</v>
      </c>
      <c r="J190" s="35">
        <v>2.1875</v>
      </c>
      <c r="K190" s="35">
        <v>6.5446999999999997</v>
      </c>
      <c r="L190" s="35">
        <v>4.3571</v>
      </c>
      <c r="N190" s="143">
        <v>1.1343E-3</v>
      </c>
      <c r="O190" s="148">
        <v>0.1739</v>
      </c>
      <c r="P190" s="146">
        <v>185</v>
      </c>
    </row>
    <row r="191" spans="1:16" ht="13.8" x14ac:dyDescent="0.25">
      <c r="A191" s="7">
        <v>186</v>
      </c>
      <c r="B191" s="35">
        <v>1.1489</v>
      </c>
      <c r="C191" s="31">
        <v>1.1357100000000001E-3</v>
      </c>
      <c r="D191" s="33">
        <v>0.17021</v>
      </c>
      <c r="E191" s="32">
        <v>788.33</v>
      </c>
      <c r="F191" s="13">
        <v>2586.6</v>
      </c>
      <c r="G191" s="32">
        <v>789.63</v>
      </c>
      <c r="H191" s="13">
        <v>2782.2</v>
      </c>
      <c r="I191" s="13">
        <v>1992.6</v>
      </c>
      <c r="J191" s="35">
        <v>2.1970999999999998</v>
      </c>
      <c r="K191" s="35">
        <v>6.5369000000000002</v>
      </c>
      <c r="L191" s="35">
        <v>4.3396999999999997</v>
      </c>
      <c r="N191" s="143">
        <v>1.1357100000000001E-3</v>
      </c>
      <c r="O191" s="148">
        <v>0.17021</v>
      </c>
      <c r="P191" s="146">
        <v>186</v>
      </c>
    </row>
    <row r="192" spans="1:16" ht="13.8" x14ac:dyDescent="0.25">
      <c r="A192" s="7">
        <v>187</v>
      </c>
      <c r="B192" s="35">
        <v>1.1748000000000001</v>
      </c>
      <c r="C192" s="31">
        <v>1.1371300000000001E-3</v>
      </c>
      <c r="D192" s="33">
        <v>0.16661999999999999</v>
      </c>
      <c r="E192" s="32">
        <v>792.73</v>
      </c>
      <c r="F192" s="13">
        <v>2587.3000000000002</v>
      </c>
      <c r="G192" s="32">
        <v>794.07</v>
      </c>
      <c r="H192" s="13">
        <v>2783</v>
      </c>
      <c r="I192" s="13">
        <v>1988.9</v>
      </c>
      <c r="J192" s="35">
        <v>2.2067000000000001</v>
      </c>
      <c r="K192" s="35">
        <v>6.5290999999999997</v>
      </c>
      <c r="L192" s="35">
        <v>4.3223000000000003</v>
      </c>
      <c r="N192" s="143">
        <v>1.1371300000000001E-3</v>
      </c>
      <c r="O192" s="148">
        <v>0.16661999999999999</v>
      </c>
      <c r="P192" s="146">
        <v>187</v>
      </c>
    </row>
    <row r="193" spans="1:16" ht="13.8" x14ac:dyDescent="0.25">
      <c r="A193" s="7">
        <v>188</v>
      </c>
      <c r="B193" s="35">
        <v>1.2011000000000001</v>
      </c>
      <c r="C193" s="31">
        <v>1.13856E-3</v>
      </c>
      <c r="D193" s="33">
        <v>0.16311</v>
      </c>
      <c r="E193" s="32">
        <v>797.15</v>
      </c>
      <c r="F193" s="13">
        <v>2587.9</v>
      </c>
      <c r="G193" s="32">
        <v>798.52</v>
      </c>
      <c r="H193" s="13">
        <v>2783.8</v>
      </c>
      <c r="I193" s="13">
        <v>1985.3</v>
      </c>
      <c r="J193" s="35">
        <v>2.2162999999999999</v>
      </c>
      <c r="K193" s="35">
        <v>6.5213000000000001</v>
      </c>
      <c r="L193" s="35">
        <v>4.3049999999999997</v>
      </c>
      <c r="N193" s="143">
        <v>1.13856E-3</v>
      </c>
      <c r="O193" s="148">
        <v>0.16311</v>
      </c>
      <c r="P193" s="146">
        <v>188</v>
      </c>
    </row>
    <row r="194" spans="1:16" ht="13.8" x14ac:dyDescent="0.25">
      <c r="A194" s="7">
        <v>189</v>
      </c>
      <c r="B194" s="35">
        <v>1.228</v>
      </c>
      <c r="C194" s="31">
        <v>1.14E-3</v>
      </c>
      <c r="D194" s="33">
        <v>0.15969</v>
      </c>
      <c r="E194" s="32">
        <v>801.57</v>
      </c>
      <c r="F194" s="13">
        <v>2588.4</v>
      </c>
      <c r="G194" s="32">
        <v>802.97</v>
      </c>
      <c r="H194" s="13">
        <v>2784.5</v>
      </c>
      <c r="I194" s="13">
        <v>1981.6</v>
      </c>
      <c r="J194" s="35">
        <v>2.2259000000000002</v>
      </c>
      <c r="K194" s="35">
        <v>6.5136000000000003</v>
      </c>
      <c r="L194" s="35">
        <v>4.2877000000000001</v>
      </c>
      <c r="N194" s="143">
        <v>1.14E-3</v>
      </c>
      <c r="O194" s="148">
        <v>0.15969</v>
      </c>
      <c r="P194" s="146">
        <v>189</v>
      </c>
    </row>
    <row r="195" spans="1:16" ht="13.8" x14ac:dyDescent="0.25">
      <c r="A195" s="7">
        <v>190</v>
      </c>
      <c r="B195" s="35">
        <v>1.2552000000000001</v>
      </c>
      <c r="C195" s="31">
        <v>1.14145E-3</v>
      </c>
      <c r="D195" s="33">
        <v>0.15636</v>
      </c>
      <c r="E195" s="32">
        <v>806</v>
      </c>
      <c r="F195" s="13">
        <v>2589</v>
      </c>
      <c r="G195" s="32">
        <v>807.43</v>
      </c>
      <c r="H195" s="13">
        <v>2785.3</v>
      </c>
      <c r="I195" s="13">
        <v>1977.9</v>
      </c>
      <c r="J195" s="35">
        <v>2.2355</v>
      </c>
      <c r="K195" s="35">
        <v>6.5058999999999996</v>
      </c>
      <c r="L195" s="35">
        <v>4.2704000000000004</v>
      </c>
      <c r="N195" s="143">
        <v>1.14145E-3</v>
      </c>
      <c r="O195" s="148">
        <v>0.15636</v>
      </c>
      <c r="P195" s="146">
        <v>190</v>
      </c>
    </row>
    <row r="196" spans="1:16" ht="13.8" x14ac:dyDescent="0.25">
      <c r="A196" s="7">
        <v>191</v>
      </c>
      <c r="B196" s="35">
        <v>1.2829999999999999</v>
      </c>
      <c r="C196" s="31">
        <v>1.14291E-3</v>
      </c>
      <c r="D196" s="33">
        <v>0.15311</v>
      </c>
      <c r="E196" s="32">
        <v>810.42</v>
      </c>
      <c r="F196" s="13">
        <v>2589.6</v>
      </c>
      <c r="G196" s="32">
        <v>811.89</v>
      </c>
      <c r="H196" s="13">
        <v>2786</v>
      </c>
      <c r="I196" s="13">
        <v>1974.1</v>
      </c>
      <c r="J196" s="35">
        <v>2.2450000000000001</v>
      </c>
      <c r="K196" s="35">
        <v>6.4981999999999998</v>
      </c>
      <c r="L196" s="35">
        <v>4.2531999999999996</v>
      </c>
      <c r="N196" s="143">
        <v>1.14291E-3</v>
      </c>
      <c r="O196" s="148">
        <v>0.15311</v>
      </c>
      <c r="P196" s="146">
        <v>191</v>
      </c>
    </row>
    <row r="197" spans="1:16" ht="13.8" x14ac:dyDescent="0.25">
      <c r="A197" s="7">
        <v>192</v>
      </c>
      <c r="B197" s="35">
        <v>1.3111999999999999</v>
      </c>
      <c r="C197" s="31">
        <v>1.14438E-3</v>
      </c>
      <c r="D197" s="33">
        <v>0.14993999999999999</v>
      </c>
      <c r="E197" s="32">
        <v>814.86</v>
      </c>
      <c r="F197" s="13">
        <v>2590.1</v>
      </c>
      <c r="G197" s="32">
        <v>816.36</v>
      </c>
      <c r="H197" s="13">
        <v>2786.7</v>
      </c>
      <c r="I197" s="13">
        <v>1970.4</v>
      </c>
      <c r="J197" s="35">
        <v>2.2545999999999999</v>
      </c>
      <c r="K197" s="35">
        <v>6.4905999999999997</v>
      </c>
      <c r="L197" s="35">
        <v>4.2359999999999998</v>
      </c>
      <c r="N197" s="143">
        <v>1.14438E-3</v>
      </c>
      <c r="O197" s="148">
        <v>0.14993999999999999</v>
      </c>
      <c r="P197" s="146">
        <v>192</v>
      </c>
    </row>
    <row r="198" spans="1:16" ht="13.8" x14ac:dyDescent="0.25">
      <c r="A198" s="7">
        <v>193</v>
      </c>
      <c r="B198" s="35">
        <v>1.3399000000000001</v>
      </c>
      <c r="C198" s="31">
        <v>1.1458600000000001E-3</v>
      </c>
      <c r="D198" s="33">
        <v>0.14685000000000001</v>
      </c>
      <c r="E198" s="32">
        <v>819.29</v>
      </c>
      <c r="F198" s="13">
        <v>2590.6</v>
      </c>
      <c r="G198" s="32">
        <v>820.83</v>
      </c>
      <c r="H198" s="13">
        <v>2787.4</v>
      </c>
      <c r="I198" s="13">
        <v>1966.6</v>
      </c>
      <c r="J198" s="35">
        <v>2.2641</v>
      </c>
      <c r="K198" s="35">
        <v>6.4829999999999997</v>
      </c>
      <c r="L198" s="35">
        <v>4.2187999999999999</v>
      </c>
      <c r="N198" s="143">
        <v>1.1458600000000001E-3</v>
      </c>
      <c r="O198" s="148">
        <v>0.14685000000000001</v>
      </c>
      <c r="P198" s="146">
        <v>193</v>
      </c>
    </row>
    <row r="199" spans="1:16" ht="13.8" x14ac:dyDescent="0.25">
      <c r="A199" s="7">
        <v>194</v>
      </c>
      <c r="B199" s="35">
        <v>1.3691</v>
      </c>
      <c r="C199" s="31">
        <v>1.14736E-3</v>
      </c>
      <c r="D199" s="33">
        <v>0.14383000000000001</v>
      </c>
      <c r="E199" s="32">
        <v>823.74</v>
      </c>
      <c r="F199" s="13">
        <v>2591.1999999999998</v>
      </c>
      <c r="G199" s="32">
        <v>825.31</v>
      </c>
      <c r="H199" s="13">
        <v>2788.1</v>
      </c>
      <c r="I199" s="13">
        <v>1962.8</v>
      </c>
      <c r="J199" s="35">
        <v>2.2736000000000001</v>
      </c>
      <c r="K199" s="35">
        <v>6.4753999999999996</v>
      </c>
      <c r="L199" s="35">
        <v>4.2016999999999998</v>
      </c>
      <c r="N199" s="143">
        <v>1.14736E-3</v>
      </c>
      <c r="O199" s="148">
        <v>0.14383000000000001</v>
      </c>
      <c r="P199" s="146">
        <v>194</v>
      </c>
    </row>
    <row r="200" spans="1:16" ht="13.8" x14ac:dyDescent="0.25">
      <c r="A200" s="7">
        <v>195</v>
      </c>
      <c r="B200" s="35">
        <v>1.3988</v>
      </c>
      <c r="C200" s="31">
        <v>1.14886E-3</v>
      </c>
      <c r="D200" s="33">
        <v>0.14088999999999999</v>
      </c>
      <c r="E200" s="32">
        <v>828.18</v>
      </c>
      <c r="F200" s="13">
        <v>2591.6999999999998</v>
      </c>
      <c r="G200" s="32">
        <v>829.79</v>
      </c>
      <c r="H200" s="13">
        <v>2788.8</v>
      </c>
      <c r="I200" s="13">
        <v>1959</v>
      </c>
      <c r="J200" s="35">
        <v>2.2831999999999999</v>
      </c>
      <c r="K200" s="35">
        <v>6.4678000000000004</v>
      </c>
      <c r="L200" s="35">
        <v>4.1845999999999997</v>
      </c>
      <c r="N200" s="143">
        <v>1.14886E-3</v>
      </c>
      <c r="O200" s="148">
        <v>0.14088999999999999</v>
      </c>
      <c r="P200" s="146">
        <v>195</v>
      </c>
    </row>
    <row r="201" spans="1:16" ht="13.8" x14ac:dyDescent="0.25">
      <c r="A201" s="7">
        <v>196</v>
      </c>
      <c r="B201" s="35">
        <v>1.429</v>
      </c>
      <c r="C201" s="31">
        <v>1.15037E-3</v>
      </c>
      <c r="D201" s="33">
        <v>0.13802</v>
      </c>
      <c r="E201" s="32">
        <v>832.64</v>
      </c>
      <c r="F201" s="13">
        <v>2592.3000000000002</v>
      </c>
      <c r="G201" s="32">
        <v>834.28</v>
      </c>
      <c r="H201" s="13">
        <v>2789.5</v>
      </c>
      <c r="I201" s="13">
        <v>1955.2</v>
      </c>
      <c r="J201" s="35">
        <v>2.2926000000000002</v>
      </c>
      <c r="K201" s="35">
        <v>6.4602000000000004</v>
      </c>
      <c r="L201" s="35">
        <v>4.1676000000000002</v>
      </c>
      <c r="N201" s="143">
        <v>1.15037E-3</v>
      </c>
      <c r="O201" s="148">
        <v>0.13802</v>
      </c>
      <c r="P201" s="146">
        <v>196</v>
      </c>
    </row>
    <row r="202" spans="1:16" ht="13.8" x14ac:dyDescent="0.25">
      <c r="A202" s="7">
        <v>197</v>
      </c>
      <c r="B202" s="35">
        <v>1.4597</v>
      </c>
      <c r="C202" s="31">
        <v>1.15189E-3</v>
      </c>
      <c r="D202" s="33">
        <v>0.13522000000000001</v>
      </c>
      <c r="E202" s="32">
        <v>837.09</v>
      </c>
      <c r="F202" s="13">
        <v>2592.6999999999998</v>
      </c>
      <c r="G202" s="32">
        <v>838.77</v>
      </c>
      <c r="H202" s="13">
        <v>2790.1</v>
      </c>
      <c r="I202" s="13">
        <v>1951.4</v>
      </c>
      <c r="J202" s="35">
        <v>2.3020999999999998</v>
      </c>
      <c r="K202" s="35">
        <v>6.4527000000000001</v>
      </c>
      <c r="L202" s="35">
        <v>4.1505000000000001</v>
      </c>
      <c r="N202" s="143">
        <v>1.15189E-3</v>
      </c>
      <c r="O202" s="148">
        <v>0.13522000000000001</v>
      </c>
      <c r="P202" s="146">
        <v>197</v>
      </c>
    </row>
    <row r="203" spans="1:16" ht="13.8" x14ac:dyDescent="0.25">
      <c r="A203" s="7">
        <v>198</v>
      </c>
      <c r="B203" s="35">
        <v>1.4908999999999999</v>
      </c>
      <c r="C203" s="31">
        <v>1.15343E-3</v>
      </c>
      <c r="D203" s="33">
        <v>0.13247999999999999</v>
      </c>
      <c r="E203" s="32">
        <v>841.54</v>
      </c>
      <c r="F203" s="13">
        <v>2593.3000000000002</v>
      </c>
      <c r="G203" s="32">
        <v>843.26</v>
      </c>
      <c r="H203" s="13">
        <v>2790.8</v>
      </c>
      <c r="I203" s="13">
        <v>1947.5</v>
      </c>
      <c r="J203" s="35">
        <v>2.3115999999999999</v>
      </c>
      <c r="K203" s="35">
        <v>6.4451000000000001</v>
      </c>
      <c r="L203" s="35">
        <v>4.1334999999999997</v>
      </c>
      <c r="N203" s="143">
        <v>1.15343E-3</v>
      </c>
      <c r="O203" s="148">
        <v>0.13247999999999999</v>
      </c>
      <c r="P203" s="146">
        <v>198</v>
      </c>
    </row>
    <row r="204" spans="1:16" ht="13.8" x14ac:dyDescent="0.25">
      <c r="A204" s="7">
        <v>199</v>
      </c>
      <c r="B204" s="35">
        <v>1.5226999999999999</v>
      </c>
      <c r="C204" s="31">
        <v>1.15497E-3</v>
      </c>
      <c r="D204" s="33">
        <v>0.12981999999999999</v>
      </c>
      <c r="E204" s="32">
        <v>846</v>
      </c>
      <c r="F204" s="13">
        <v>2593.6999999999998</v>
      </c>
      <c r="G204" s="32">
        <v>847.76</v>
      </c>
      <c r="H204" s="13">
        <v>2791.4</v>
      </c>
      <c r="I204" s="13">
        <v>1943.6</v>
      </c>
      <c r="J204" s="35">
        <v>2.3210999999999999</v>
      </c>
      <c r="K204" s="35">
        <v>6.4375999999999998</v>
      </c>
      <c r="L204" s="35">
        <v>4.1166</v>
      </c>
      <c r="N204" s="143">
        <v>1.15497E-3</v>
      </c>
      <c r="O204" s="148">
        <v>0.12981999999999999</v>
      </c>
      <c r="P204" s="146">
        <v>199</v>
      </c>
    </row>
    <row r="205" spans="1:16" ht="13.8" x14ac:dyDescent="0.25">
      <c r="A205" s="7">
        <v>200</v>
      </c>
      <c r="B205" s="35">
        <v>1.5548999999999999</v>
      </c>
      <c r="C205" s="31">
        <v>1.15653E-3</v>
      </c>
      <c r="D205" s="33">
        <v>0.12720999999999999</v>
      </c>
      <c r="E205" s="32">
        <v>850.47</v>
      </c>
      <c r="F205" s="13">
        <v>2594.1999999999998</v>
      </c>
      <c r="G205" s="32">
        <v>852.27</v>
      </c>
      <c r="H205" s="13">
        <v>2792</v>
      </c>
      <c r="I205" s="13">
        <v>1939.7</v>
      </c>
      <c r="J205" s="35">
        <v>2.3304999999999998</v>
      </c>
      <c r="K205" s="35">
        <v>6.4302000000000001</v>
      </c>
      <c r="L205" s="35">
        <v>4.0995999999999997</v>
      </c>
      <c r="N205" s="143">
        <v>1.15653E-3</v>
      </c>
      <c r="O205" s="148">
        <v>0.12720999999999999</v>
      </c>
      <c r="P205" s="146">
        <v>200</v>
      </c>
    </row>
    <row r="206" spans="1:16" ht="13.8" x14ac:dyDescent="0.25">
      <c r="A206" s="7">
        <v>201</v>
      </c>
      <c r="B206" s="35">
        <v>1.5876999999999999</v>
      </c>
      <c r="C206" s="31">
        <v>1.1580900000000001E-3</v>
      </c>
      <c r="D206" s="33">
        <v>0.12467</v>
      </c>
      <c r="E206" s="32">
        <v>854.94</v>
      </c>
      <c r="F206" s="13">
        <v>2594.6999999999998</v>
      </c>
      <c r="G206" s="32">
        <v>856.78</v>
      </c>
      <c r="H206" s="13">
        <v>2792.6</v>
      </c>
      <c r="I206" s="13">
        <v>1935.8</v>
      </c>
      <c r="J206" s="35">
        <v>2.34</v>
      </c>
      <c r="K206" s="35">
        <v>6.4226999999999999</v>
      </c>
      <c r="L206" s="35">
        <v>4.0827</v>
      </c>
      <c r="N206" s="143">
        <v>1.1580900000000001E-3</v>
      </c>
      <c r="O206" s="148">
        <v>0.12467</v>
      </c>
      <c r="P206" s="146">
        <v>201</v>
      </c>
    </row>
    <row r="207" spans="1:16" ht="13.8" x14ac:dyDescent="0.25">
      <c r="A207" s="7">
        <v>202</v>
      </c>
      <c r="B207" s="35">
        <v>1.621</v>
      </c>
      <c r="C207" s="31">
        <v>1.15967E-3</v>
      </c>
      <c r="D207" s="33">
        <v>0.12218</v>
      </c>
      <c r="E207" s="32">
        <v>859.42</v>
      </c>
      <c r="F207" s="13">
        <v>2595.1</v>
      </c>
      <c r="G207" s="32">
        <v>861.3</v>
      </c>
      <c r="H207" s="13">
        <v>2793.2</v>
      </c>
      <c r="I207" s="13">
        <v>1931.9</v>
      </c>
      <c r="J207" s="35">
        <v>2.3494000000000002</v>
      </c>
      <c r="K207" s="35">
        <v>6.4151999999999996</v>
      </c>
      <c r="L207" s="35">
        <v>4.0658000000000003</v>
      </c>
      <c r="N207" s="143">
        <v>1.15967E-3</v>
      </c>
      <c r="O207" s="148">
        <v>0.12218</v>
      </c>
      <c r="P207" s="146">
        <v>202</v>
      </c>
    </row>
    <row r="208" spans="1:16" ht="13.8" x14ac:dyDescent="0.25">
      <c r="A208" s="7">
        <v>203</v>
      </c>
      <c r="B208" s="35">
        <v>1.6549</v>
      </c>
      <c r="C208" s="31">
        <v>1.1612599999999999E-3</v>
      </c>
      <c r="D208" s="33">
        <v>0.11976000000000001</v>
      </c>
      <c r="E208" s="32">
        <v>863.9</v>
      </c>
      <c r="F208" s="13">
        <v>2595.5</v>
      </c>
      <c r="G208" s="32">
        <v>865.82</v>
      </c>
      <c r="H208" s="13">
        <v>2793.7</v>
      </c>
      <c r="I208" s="13">
        <v>1927.9</v>
      </c>
      <c r="J208" s="35">
        <v>2.3588</v>
      </c>
      <c r="K208" s="35">
        <v>6.4077999999999999</v>
      </c>
      <c r="L208" s="35">
        <v>4.0490000000000004</v>
      </c>
      <c r="N208" s="143">
        <v>1.1612599999999999E-3</v>
      </c>
      <c r="O208" s="148">
        <v>0.11976000000000001</v>
      </c>
      <c r="P208" s="146">
        <v>203</v>
      </c>
    </row>
    <row r="209" spans="1:16" ht="13.8" x14ac:dyDescent="0.25">
      <c r="A209" s="7">
        <v>204</v>
      </c>
      <c r="B209" s="35">
        <v>1.6893</v>
      </c>
      <c r="C209" s="31">
        <v>1.1628599999999999E-3</v>
      </c>
      <c r="D209" s="33">
        <v>0.11738999999999999</v>
      </c>
      <c r="E209" s="32">
        <v>868.39</v>
      </c>
      <c r="F209" s="13">
        <v>2596</v>
      </c>
      <c r="G209" s="32">
        <v>870.35</v>
      </c>
      <c r="H209" s="13">
        <v>2794.3</v>
      </c>
      <c r="I209" s="13">
        <v>1923.9</v>
      </c>
      <c r="J209" s="35">
        <v>2.3683000000000001</v>
      </c>
      <c r="K209" s="35">
        <v>6.4004000000000003</v>
      </c>
      <c r="L209" s="35">
        <v>4.0321999999999996</v>
      </c>
      <c r="N209" s="143">
        <v>1.1628599999999999E-3</v>
      </c>
      <c r="O209" s="148">
        <v>0.11738999999999999</v>
      </c>
      <c r="P209" s="146">
        <v>204</v>
      </c>
    </row>
    <row r="210" spans="1:16" ht="13.8" x14ac:dyDescent="0.25">
      <c r="A210" s="7">
        <v>205</v>
      </c>
      <c r="B210" s="35">
        <v>1.7242999999999999</v>
      </c>
      <c r="C210" s="31">
        <v>1.1644800000000001E-3</v>
      </c>
      <c r="D210" s="33">
        <v>0.11508</v>
      </c>
      <c r="E210" s="32">
        <v>872.87</v>
      </c>
      <c r="F210" s="13">
        <v>2596.4</v>
      </c>
      <c r="G210" s="32">
        <v>874.88</v>
      </c>
      <c r="H210" s="13">
        <v>2794.8</v>
      </c>
      <c r="I210" s="13">
        <v>1919.9</v>
      </c>
      <c r="J210" s="35">
        <v>2.3776999999999999</v>
      </c>
      <c r="K210" s="35">
        <v>6.3929999999999998</v>
      </c>
      <c r="L210" s="35">
        <v>4.0153999999999996</v>
      </c>
      <c r="N210" s="143">
        <v>1.1644800000000001E-3</v>
      </c>
      <c r="O210" s="148">
        <v>0.11508</v>
      </c>
      <c r="P210" s="146">
        <v>205</v>
      </c>
    </row>
    <row r="211" spans="1:16" ht="13.8" x14ac:dyDescent="0.25">
      <c r="A211" s="7">
        <v>206</v>
      </c>
      <c r="B211" s="35">
        <v>1.7598</v>
      </c>
      <c r="C211" s="31">
        <v>1.1661E-3</v>
      </c>
      <c r="D211" s="33">
        <v>0.11282</v>
      </c>
      <c r="E211" s="32">
        <v>877.37</v>
      </c>
      <c r="F211" s="13">
        <v>2596.8000000000002</v>
      </c>
      <c r="G211" s="32">
        <v>879.42</v>
      </c>
      <c r="H211" s="13">
        <v>2795.3</v>
      </c>
      <c r="I211" s="13">
        <v>1915.9</v>
      </c>
      <c r="J211" s="35">
        <v>2.3871000000000002</v>
      </c>
      <c r="K211" s="35">
        <v>6.3856000000000002</v>
      </c>
      <c r="L211" s="35">
        <v>3.9986000000000002</v>
      </c>
      <c r="N211" s="143">
        <v>1.1661E-3</v>
      </c>
      <c r="O211" s="148">
        <v>0.11282</v>
      </c>
      <c r="P211" s="146">
        <v>206</v>
      </c>
    </row>
    <row r="212" spans="1:16" ht="13.8" x14ac:dyDescent="0.25">
      <c r="A212" s="7">
        <v>207</v>
      </c>
      <c r="B212" s="35">
        <v>1.7959000000000001</v>
      </c>
      <c r="C212" s="31">
        <v>1.16774E-3</v>
      </c>
      <c r="D212" s="33">
        <v>0.11061</v>
      </c>
      <c r="E212" s="32">
        <v>881.86</v>
      </c>
      <c r="F212" s="13">
        <v>2597.3000000000002</v>
      </c>
      <c r="G212" s="32">
        <v>883.96</v>
      </c>
      <c r="H212" s="13">
        <v>2795.9</v>
      </c>
      <c r="I212" s="13">
        <v>1911.9</v>
      </c>
      <c r="J212" s="35">
        <v>2.3963999999999999</v>
      </c>
      <c r="K212" s="35">
        <v>6.3783000000000003</v>
      </c>
      <c r="L212" s="35">
        <v>3.9819</v>
      </c>
      <c r="N212" s="143">
        <v>1.16774E-3</v>
      </c>
      <c r="O212" s="148">
        <v>0.11061</v>
      </c>
      <c r="P212" s="146">
        <v>207</v>
      </c>
    </row>
    <row r="213" spans="1:16" ht="13.8" x14ac:dyDescent="0.25">
      <c r="A213" s="7">
        <v>208</v>
      </c>
      <c r="B213" s="35">
        <v>1.8326</v>
      </c>
      <c r="C213" s="31">
        <v>1.16939E-3</v>
      </c>
      <c r="D213" s="33">
        <v>0.10846</v>
      </c>
      <c r="E213" s="32">
        <v>886.37</v>
      </c>
      <c r="F213" s="13">
        <v>2597.5</v>
      </c>
      <c r="G213" s="32">
        <v>888.51</v>
      </c>
      <c r="H213" s="13">
        <v>2796.3</v>
      </c>
      <c r="I213" s="13">
        <v>1907.8</v>
      </c>
      <c r="J213" s="35">
        <v>2.4058000000000002</v>
      </c>
      <c r="K213" s="35">
        <v>6.3710000000000004</v>
      </c>
      <c r="L213" s="35">
        <v>3.9651000000000001</v>
      </c>
      <c r="N213" s="143">
        <v>1.16939E-3</v>
      </c>
      <c r="O213" s="148">
        <v>0.10846</v>
      </c>
      <c r="P213" s="146">
        <v>208</v>
      </c>
    </row>
    <row r="214" spans="1:16" ht="13.8" x14ac:dyDescent="0.25">
      <c r="A214" s="7">
        <v>209</v>
      </c>
      <c r="B214" s="35">
        <v>1.8697999999999999</v>
      </c>
      <c r="C214" s="31">
        <v>1.1710500000000001E-3</v>
      </c>
      <c r="D214" s="33">
        <v>0.10635</v>
      </c>
      <c r="E214" s="32">
        <v>890.88</v>
      </c>
      <c r="F214" s="13">
        <v>2597.9</v>
      </c>
      <c r="G214" s="32">
        <v>893.07</v>
      </c>
      <c r="H214" s="13">
        <v>2796.8</v>
      </c>
      <c r="I214" s="13">
        <v>1903.7</v>
      </c>
      <c r="J214" s="35">
        <v>2.4152</v>
      </c>
      <c r="K214" s="35">
        <v>6.3635999999999999</v>
      </c>
      <c r="L214" s="35">
        <v>3.9483999999999999</v>
      </c>
      <c r="N214" s="143">
        <v>1.1710500000000001E-3</v>
      </c>
      <c r="O214" s="148">
        <v>0.10635</v>
      </c>
      <c r="P214" s="146">
        <v>209</v>
      </c>
    </row>
    <row r="215" spans="1:16" ht="13.8" x14ac:dyDescent="0.25">
      <c r="A215" s="7">
        <v>210</v>
      </c>
      <c r="B215" s="35">
        <v>1.9077</v>
      </c>
      <c r="C215" s="31">
        <v>1.1727199999999999E-3</v>
      </c>
      <c r="D215" s="33">
        <v>0.10428999999999999</v>
      </c>
      <c r="E215" s="32">
        <v>895.39</v>
      </c>
      <c r="F215" s="13">
        <v>2598.3000000000002</v>
      </c>
      <c r="G215" s="32">
        <v>897.63</v>
      </c>
      <c r="H215" s="13">
        <v>2797.3</v>
      </c>
      <c r="I215" s="13">
        <v>1899.6</v>
      </c>
      <c r="J215" s="35">
        <v>2.4245000000000001</v>
      </c>
      <c r="K215" s="35">
        <v>6.3563000000000001</v>
      </c>
      <c r="L215" s="35">
        <v>3.9318</v>
      </c>
      <c r="N215" s="143">
        <v>1.1727199999999999E-3</v>
      </c>
      <c r="O215" s="148">
        <v>0.10428999999999999</v>
      </c>
      <c r="P215" s="146">
        <v>210</v>
      </c>
    </row>
    <row r="216" spans="1:16" ht="13.8" x14ac:dyDescent="0.25">
      <c r="A216" s="7">
        <v>211</v>
      </c>
      <c r="B216" s="35">
        <v>1.9460999999999999</v>
      </c>
      <c r="C216" s="31">
        <v>1.1744100000000001E-3</v>
      </c>
      <c r="D216" s="33">
        <v>0.10228</v>
      </c>
      <c r="E216" s="32">
        <v>899.91</v>
      </c>
      <c r="F216" s="13">
        <v>2598.6999999999998</v>
      </c>
      <c r="G216" s="32">
        <v>902.2</v>
      </c>
      <c r="H216" s="13">
        <v>2797.7</v>
      </c>
      <c r="I216" s="13">
        <v>1895.5</v>
      </c>
      <c r="J216" s="35">
        <v>2.4339</v>
      </c>
      <c r="K216" s="35">
        <v>6.3490000000000002</v>
      </c>
      <c r="L216" s="35">
        <v>3.9150999999999998</v>
      </c>
      <c r="N216" s="143">
        <v>1.1744100000000001E-3</v>
      </c>
      <c r="O216" s="148">
        <v>0.10228</v>
      </c>
      <c r="P216" s="146">
        <v>211</v>
      </c>
    </row>
    <row r="217" spans="1:16" ht="13.8" x14ac:dyDescent="0.25">
      <c r="A217" s="7">
        <v>212</v>
      </c>
      <c r="B217" s="35">
        <v>1.9851000000000001</v>
      </c>
      <c r="C217" s="31">
        <v>1.17611E-3</v>
      </c>
      <c r="D217" s="33">
        <v>0.10031</v>
      </c>
      <c r="E217" s="32">
        <v>904.44</v>
      </c>
      <c r="F217" s="13">
        <v>2599</v>
      </c>
      <c r="G217" s="32">
        <v>906.77</v>
      </c>
      <c r="H217" s="13">
        <v>2798.1</v>
      </c>
      <c r="I217" s="13">
        <v>1891.4</v>
      </c>
      <c r="J217" s="35">
        <v>2.4432</v>
      </c>
      <c r="K217" s="35">
        <v>6.3417000000000003</v>
      </c>
      <c r="L217" s="35">
        <v>3.8984999999999999</v>
      </c>
      <c r="N217" s="143">
        <v>1.17611E-3</v>
      </c>
      <c r="O217" s="148">
        <v>0.10031</v>
      </c>
      <c r="P217" s="146">
        <v>212</v>
      </c>
    </row>
    <row r="218" spans="1:16" ht="13.8" x14ac:dyDescent="0.25">
      <c r="A218" s="7">
        <v>213</v>
      </c>
      <c r="B218" s="35">
        <v>2.0247000000000002</v>
      </c>
      <c r="C218" s="31">
        <v>1.17782E-3</v>
      </c>
      <c r="D218" s="26">
        <v>9.8393999999999995E-2</v>
      </c>
      <c r="E218" s="32">
        <v>908.97</v>
      </c>
      <c r="F218" s="13">
        <v>2599.3000000000002</v>
      </c>
      <c r="G218" s="32">
        <v>911.35</v>
      </c>
      <c r="H218" s="13">
        <v>2798.5</v>
      </c>
      <c r="I218" s="13">
        <v>1887.2</v>
      </c>
      <c r="J218" s="35">
        <v>2.4525999999999999</v>
      </c>
      <c r="K218" s="35">
        <v>6.3345000000000002</v>
      </c>
      <c r="L218" s="35">
        <v>3.8818999999999999</v>
      </c>
      <c r="N218" s="143">
        <v>1.17782E-3</v>
      </c>
      <c r="O218" s="149">
        <v>9.8393999999999995E-2</v>
      </c>
      <c r="P218" s="146">
        <v>213</v>
      </c>
    </row>
    <row r="219" spans="1:16" ht="13.8" x14ac:dyDescent="0.25">
      <c r="A219" s="7">
        <v>214</v>
      </c>
      <c r="B219" s="35">
        <v>2.0649999999999999</v>
      </c>
      <c r="C219" s="31">
        <v>1.17954E-3</v>
      </c>
      <c r="D219" s="26">
        <v>9.6516000000000005E-2</v>
      </c>
      <c r="E219" s="32">
        <v>913.5</v>
      </c>
      <c r="F219" s="13">
        <v>2599.6</v>
      </c>
      <c r="G219" s="32">
        <v>915.94</v>
      </c>
      <c r="H219" s="13">
        <v>2798.9</v>
      </c>
      <c r="I219" s="13">
        <v>1883</v>
      </c>
      <c r="J219" s="35">
        <v>2.4619</v>
      </c>
      <c r="K219" s="35">
        <v>6.3272000000000004</v>
      </c>
      <c r="L219" s="35">
        <v>3.8653</v>
      </c>
      <c r="N219" s="143">
        <v>1.17954E-3</v>
      </c>
      <c r="O219" s="149">
        <v>9.6516000000000005E-2</v>
      </c>
      <c r="P219" s="146">
        <v>214</v>
      </c>
    </row>
    <row r="220" spans="1:16" ht="13.8" x14ac:dyDescent="0.25">
      <c r="A220" s="7">
        <v>215</v>
      </c>
      <c r="B220" s="35">
        <v>2.1057999999999999</v>
      </c>
      <c r="C220" s="31">
        <v>1.18128E-3</v>
      </c>
      <c r="D220" s="26">
        <v>9.4678999999999999E-2</v>
      </c>
      <c r="E220" s="32">
        <v>918.04</v>
      </c>
      <c r="F220" s="13">
        <v>2599.9</v>
      </c>
      <c r="G220" s="32">
        <v>920.53</v>
      </c>
      <c r="H220" s="13">
        <v>2799.3</v>
      </c>
      <c r="I220" s="13">
        <v>1878.8</v>
      </c>
      <c r="J220" s="35">
        <v>2.4712000000000001</v>
      </c>
      <c r="K220" s="35">
        <v>6.32</v>
      </c>
      <c r="L220" s="35">
        <v>3.8488000000000002</v>
      </c>
      <c r="N220" s="143">
        <v>1.18128E-3</v>
      </c>
      <c r="O220" s="149">
        <v>9.4678999999999999E-2</v>
      </c>
      <c r="P220" s="146">
        <v>215</v>
      </c>
    </row>
    <row r="221" spans="1:16" ht="13.8" x14ac:dyDescent="0.25">
      <c r="A221" s="7">
        <v>216</v>
      </c>
      <c r="B221" s="35">
        <v>2.1473</v>
      </c>
      <c r="C221" s="31">
        <v>1.1830300000000001E-3</v>
      </c>
      <c r="D221" s="26">
        <v>9.2883999999999994E-2</v>
      </c>
      <c r="E221" s="32">
        <v>922.58</v>
      </c>
      <c r="F221" s="13">
        <v>2600.3000000000002</v>
      </c>
      <c r="G221" s="32">
        <v>925.12</v>
      </c>
      <c r="H221" s="13">
        <v>2799.7</v>
      </c>
      <c r="I221" s="13">
        <v>1874.6</v>
      </c>
      <c r="J221" s="35">
        <v>2.4805000000000001</v>
      </c>
      <c r="K221" s="35">
        <v>6.3128000000000002</v>
      </c>
      <c r="L221" s="35">
        <v>3.8323</v>
      </c>
      <c r="N221" s="143">
        <v>1.1830300000000001E-3</v>
      </c>
      <c r="O221" s="149">
        <v>9.2883999999999994E-2</v>
      </c>
      <c r="P221" s="146">
        <v>216</v>
      </c>
    </row>
    <row r="222" spans="1:16" ht="13.8" x14ac:dyDescent="0.25">
      <c r="A222" s="7">
        <v>217</v>
      </c>
      <c r="B222" s="35">
        <v>2.1894</v>
      </c>
      <c r="C222" s="31">
        <v>1.18479E-3</v>
      </c>
      <c r="D222" s="26">
        <v>9.1129000000000002E-2</v>
      </c>
      <c r="E222" s="32">
        <v>927.14</v>
      </c>
      <c r="F222" s="13">
        <v>2600.5</v>
      </c>
      <c r="G222" s="32">
        <v>929.73</v>
      </c>
      <c r="H222" s="13">
        <v>2800</v>
      </c>
      <c r="I222" s="13">
        <v>1870.3</v>
      </c>
      <c r="J222" s="35">
        <v>2.4897999999999998</v>
      </c>
      <c r="K222" s="35">
        <v>6.3056000000000001</v>
      </c>
      <c r="L222" s="35">
        <v>3.8157999999999999</v>
      </c>
      <c r="N222" s="143">
        <v>1.18479E-3</v>
      </c>
      <c r="O222" s="149">
        <v>9.1129000000000002E-2</v>
      </c>
      <c r="P222" s="146">
        <v>217</v>
      </c>
    </row>
    <row r="223" spans="1:16" ht="13.8" x14ac:dyDescent="0.25">
      <c r="A223" s="7">
        <v>218</v>
      </c>
      <c r="B223" s="35">
        <v>2.2322000000000002</v>
      </c>
      <c r="C223" s="31">
        <v>1.1865700000000001E-3</v>
      </c>
      <c r="D223" s="26">
        <v>8.9413000000000006E-2</v>
      </c>
      <c r="E223" s="32">
        <v>931.69</v>
      </c>
      <c r="F223" s="13">
        <v>2600.6999999999998</v>
      </c>
      <c r="G223" s="32">
        <v>934.34</v>
      </c>
      <c r="H223" s="13">
        <v>2800.3</v>
      </c>
      <c r="I223" s="13">
        <v>1866</v>
      </c>
      <c r="J223" s="35">
        <v>2.4990999999999999</v>
      </c>
      <c r="K223" s="35">
        <v>6.2984</v>
      </c>
      <c r="L223" s="35">
        <v>3.7993000000000001</v>
      </c>
      <c r="N223" s="143">
        <v>1.1865700000000001E-3</v>
      </c>
      <c r="O223" s="149">
        <v>8.9413000000000006E-2</v>
      </c>
      <c r="P223" s="146">
        <v>218</v>
      </c>
    </row>
    <row r="224" spans="1:16" ht="13.8" x14ac:dyDescent="0.25">
      <c r="A224" s="7">
        <v>219</v>
      </c>
      <c r="B224" s="35">
        <v>2.2755999999999998</v>
      </c>
      <c r="C224" s="31">
        <v>1.1883600000000001E-3</v>
      </c>
      <c r="D224" s="26">
        <v>8.7734000000000006E-2</v>
      </c>
      <c r="E224" s="32">
        <v>936.26</v>
      </c>
      <c r="F224" s="13">
        <v>2601.1</v>
      </c>
      <c r="G224" s="32">
        <v>938.96</v>
      </c>
      <c r="H224" s="13">
        <v>2800.7</v>
      </c>
      <c r="I224" s="13">
        <v>1861.7</v>
      </c>
      <c r="J224" s="35">
        <v>2.5084</v>
      </c>
      <c r="K224" s="35">
        <v>6.2911999999999999</v>
      </c>
      <c r="L224" s="35">
        <v>3.7827999999999999</v>
      </c>
      <c r="N224" s="143">
        <v>1.1883600000000001E-3</v>
      </c>
      <c r="O224" s="149">
        <v>8.7734000000000006E-2</v>
      </c>
      <c r="P224" s="146">
        <v>219</v>
      </c>
    </row>
    <row r="225" spans="1:16" ht="13.8" x14ac:dyDescent="0.25">
      <c r="A225" s="7">
        <v>220</v>
      </c>
      <c r="B225" s="35">
        <v>2.3195999999999999</v>
      </c>
      <c r="C225" s="31">
        <v>1.1901699999999999E-3</v>
      </c>
      <c r="D225" s="26">
        <v>8.6092000000000002E-2</v>
      </c>
      <c r="E225" s="32">
        <v>940.82</v>
      </c>
      <c r="F225" s="13">
        <v>2601.1999999999998</v>
      </c>
      <c r="G225" s="32">
        <v>943.58</v>
      </c>
      <c r="H225" s="13">
        <v>2800.9</v>
      </c>
      <c r="I225" s="13">
        <v>1857.4</v>
      </c>
      <c r="J225" s="35">
        <v>2.5177</v>
      </c>
      <c r="K225" s="35">
        <v>6.2839999999999998</v>
      </c>
      <c r="L225" s="35">
        <v>3.7663000000000002</v>
      </c>
      <c r="N225" s="143">
        <v>1.1901699999999999E-3</v>
      </c>
      <c r="O225" s="149">
        <v>8.6092000000000002E-2</v>
      </c>
      <c r="P225" s="146">
        <v>220</v>
      </c>
    </row>
    <row r="226" spans="1:16" ht="13.8" x14ac:dyDescent="0.25">
      <c r="A226" s="7">
        <v>221</v>
      </c>
      <c r="B226" s="35">
        <v>2.3643000000000001</v>
      </c>
      <c r="C226" s="31">
        <v>1.19198E-3</v>
      </c>
      <c r="D226" s="26">
        <v>8.4486000000000006E-2</v>
      </c>
      <c r="E226" s="32">
        <v>945.39</v>
      </c>
      <c r="F226" s="13">
        <v>2601.4</v>
      </c>
      <c r="G226" s="32">
        <v>948.21</v>
      </c>
      <c r="H226" s="13">
        <v>2801.2</v>
      </c>
      <c r="I226" s="13">
        <v>1853</v>
      </c>
      <c r="J226" s="35">
        <v>2.5268999999999999</v>
      </c>
      <c r="K226" s="35">
        <v>6.2767999999999997</v>
      </c>
      <c r="L226" s="35">
        <v>3.7498999999999998</v>
      </c>
      <c r="N226" s="143">
        <v>1.19198E-3</v>
      </c>
      <c r="O226" s="149">
        <v>8.4486000000000006E-2</v>
      </c>
      <c r="P226" s="146">
        <v>221</v>
      </c>
    </row>
    <row r="227" spans="1:16" ht="13.8" x14ac:dyDescent="0.25">
      <c r="A227" s="7">
        <v>222</v>
      </c>
      <c r="B227" s="35">
        <v>2.4096000000000002</v>
      </c>
      <c r="C227" s="31">
        <v>1.19382E-3</v>
      </c>
      <c r="D227" s="26">
        <v>8.2916000000000004E-2</v>
      </c>
      <c r="E227" s="32">
        <v>949.97</v>
      </c>
      <c r="F227" s="13">
        <v>2601.6999999999998</v>
      </c>
      <c r="G227" s="32">
        <v>952.85</v>
      </c>
      <c r="H227" s="13">
        <v>2801.5</v>
      </c>
      <c r="I227" s="13">
        <v>1848.6</v>
      </c>
      <c r="J227" s="35">
        <v>2.5362</v>
      </c>
      <c r="K227" s="35">
        <v>6.2697000000000003</v>
      </c>
      <c r="L227" s="35">
        <v>3.7334999999999998</v>
      </c>
      <c r="N227" s="143">
        <v>1.19382E-3</v>
      </c>
      <c r="O227" s="149">
        <v>8.2916000000000004E-2</v>
      </c>
      <c r="P227" s="146">
        <v>222</v>
      </c>
    </row>
    <row r="228" spans="1:16" ht="13.8" x14ac:dyDescent="0.25">
      <c r="A228" s="7">
        <v>223</v>
      </c>
      <c r="B228" s="35">
        <v>2.4556</v>
      </c>
      <c r="C228" s="31">
        <v>1.19567E-3</v>
      </c>
      <c r="D228" s="26">
        <v>8.1379000000000007E-2</v>
      </c>
      <c r="E228" s="32">
        <v>954.55</v>
      </c>
      <c r="F228" s="13">
        <v>2601.9</v>
      </c>
      <c r="G228" s="32">
        <v>957.49</v>
      </c>
      <c r="H228" s="13">
        <v>2801.7</v>
      </c>
      <c r="I228" s="13">
        <v>1844.2</v>
      </c>
      <c r="J228" s="35">
        <v>2.5455000000000001</v>
      </c>
      <c r="K228" s="35">
        <v>6.2625000000000002</v>
      </c>
      <c r="L228" s="35">
        <v>3.7170999999999998</v>
      </c>
      <c r="N228" s="143">
        <v>1.19567E-3</v>
      </c>
      <c r="O228" s="149">
        <v>8.1379000000000007E-2</v>
      </c>
      <c r="P228" s="146">
        <v>223</v>
      </c>
    </row>
    <row r="229" spans="1:16" ht="13.8" x14ac:dyDescent="0.25">
      <c r="A229" s="7">
        <v>224</v>
      </c>
      <c r="B229" s="35">
        <v>2.5023</v>
      </c>
      <c r="C229" s="31">
        <v>1.19753E-3</v>
      </c>
      <c r="D229" s="26">
        <v>7.9875000000000002E-2</v>
      </c>
      <c r="E229" s="32">
        <v>959.14</v>
      </c>
      <c r="F229" s="13">
        <v>2602</v>
      </c>
      <c r="G229" s="32">
        <v>962.14</v>
      </c>
      <c r="H229" s="13">
        <v>2801.9</v>
      </c>
      <c r="I229" s="13">
        <v>1839.8</v>
      </c>
      <c r="J229" s="35">
        <v>2.5547</v>
      </c>
      <c r="K229" s="35">
        <v>6.2553999999999998</v>
      </c>
      <c r="L229" s="35">
        <v>3.7006999999999999</v>
      </c>
      <c r="N229" s="143">
        <v>1.19753E-3</v>
      </c>
      <c r="O229" s="149">
        <v>7.9875000000000002E-2</v>
      </c>
      <c r="P229" s="146">
        <v>224</v>
      </c>
    </row>
    <row r="230" spans="1:16" ht="13.8" x14ac:dyDescent="0.25">
      <c r="A230" s="7">
        <v>225</v>
      </c>
      <c r="B230" s="35">
        <v>2.5497000000000001</v>
      </c>
      <c r="C230" s="31">
        <v>1.1994E-3</v>
      </c>
      <c r="D230" s="26">
        <v>7.8403E-2</v>
      </c>
      <c r="E230" s="32">
        <v>963.74</v>
      </c>
      <c r="F230" s="13">
        <v>2602.1999999999998</v>
      </c>
      <c r="G230" s="32">
        <v>966.8</v>
      </c>
      <c r="H230" s="13">
        <v>2802.1</v>
      </c>
      <c r="I230" s="13">
        <v>1835.4</v>
      </c>
      <c r="J230" s="35">
        <v>2.5640000000000001</v>
      </c>
      <c r="K230" s="35">
        <v>6.2483000000000004</v>
      </c>
      <c r="L230" s="35">
        <v>3.6842999999999999</v>
      </c>
      <c r="N230" s="143">
        <v>1.1994E-3</v>
      </c>
      <c r="O230" s="149">
        <v>7.8403E-2</v>
      </c>
      <c r="P230" s="146">
        <v>225</v>
      </c>
    </row>
    <row r="231" spans="1:16" ht="13.8" x14ac:dyDescent="0.25">
      <c r="A231" s="7">
        <v>226</v>
      </c>
      <c r="B231" s="35">
        <v>2.5977999999999999</v>
      </c>
      <c r="C231" s="31">
        <v>1.2013E-3</v>
      </c>
      <c r="D231" s="26">
        <v>7.6964000000000005E-2</v>
      </c>
      <c r="E231" s="32">
        <v>968.34</v>
      </c>
      <c r="F231" s="13">
        <v>2602.4</v>
      </c>
      <c r="G231" s="32">
        <v>971.46</v>
      </c>
      <c r="H231" s="13">
        <v>2802.3</v>
      </c>
      <c r="I231" s="13">
        <v>1830.9</v>
      </c>
      <c r="J231" s="35">
        <v>2.5731999999999999</v>
      </c>
      <c r="K231" s="35">
        <v>6.2412000000000001</v>
      </c>
      <c r="L231" s="35">
        <v>3.6680000000000001</v>
      </c>
      <c r="N231" s="143">
        <v>1.2013E-3</v>
      </c>
      <c r="O231" s="149">
        <v>7.6964000000000005E-2</v>
      </c>
      <c r="P231" s="146">
        <v>226</v>
      </c>
    </row>
    <row r="232" spans="1:16" ht="13.8" x14ac:dyDescent="0.25">
      <c r="A232" s="7">
        <v>227</v>
      </c>
      <c r="B232" s="35">
        <v>2.6465999999999998</v>
      </c>
      <c r="C232" s="31">
        <v>1.2032E-3</v>
      </c>
      <c r="D232" s="26">
        <v>7.5553999999999996E-2</v>
      </c>
      <c r="E232" s="32">
        <v>972.95</v>
      </c>
      <c r="F232" s="13">
        <v>2602.5</v>
      </c>
      <c r="G232" s="32">
        <v>976.13</v>
      </c>
      <c r="H232" s="13">
        <v>2802.5</v>
      </c>
      <c r="I232" s="13">
        <v>1826.4</v>
      </c>
      <c r="J232" s="35">
        <v>2.5823999999999998</v>
      </c>
      <c r="K232" s="35">
        <v>6.2340999999999998</v>
      </c>
      <c r="L232" s="35">
        <v>3.6516000000000002</v>
      </c>
      <c r="N232" s="143">
        <v>1.2032E-3</v>
      </c>
      <c r="O232" s="149">
        <v>7.5553999999999996E-2</v>
      </c>
      <c r="P232" s="146">
        <v>227</v>
      </c>
    </row>
    <row r="233" spans="1:16" ht="13.8" x14ac:dyDescent="0.25">
      <c r="A233" s="7">
        <v>228</v>
      </c>
      <c r="B233" s="35">
        <v>2.6960000000000002</v>
      </c>
      <c r="C233" s="31">
        <v>1.2051200000000001E-3</v>
      </c>
      <c r="D233" s="26">
        <v>7.4175000000000005E-2</v>
      </c>
      <c r="E233" s="32">
        <v>977.56</v>
      </c>
      <c r="F233" s="13">
        <v>2602.6999999999998</v>
      </c>
      <c r="G233" s="32">
        <v>980.81</v>
      </c>
      <c r="H233" s="13">
        <v>2802.7</v>
      </c>
      <c r="I233" s="13">
        <v>1821.8</v>
      </c>
      <c r="J233" s="35">
        <v>2.5916999999999999</v>
      </c>
      <c r="K233" s="35">
        <v>6.2270000000000003</v>
      </c>
      <c r="L233" s="35">
        <v>3.6353</v>
      </c>
      <c r="N233" s="143">
        <v>1.2051200000000001E-3</v>
      </c>
      <c r="O233" s="149">
        <v>7.4175000000000005E-2</v>
      </c>
      <c r="P233" s="146">
        <v>228</v>
      </c>
    </row>
    <row r="234" spans="1:16" ht="13.8" x14ac:dyDescent="0.25">
      <c r="A234" s="7">
        <v>229</v>
      </c>
      <c r="B234" s="35">
        <v>2.7462</v>
      </c>
      <c r="C234" s="31">
        <v>1.20706E-3</v>
      </c>
      <c r="D234" s="26">
        <v>7.2825000000000001E-2</v>
      </c>
      <c r="E234" s="32">
        <v>982.19</v>
      </c>
      <c r="F234" s="13">
        <v>2602.8000000000002</v>
      </c>
      <c r="G234" s="32">
        <v>985.5</v>
      </c>
      <c r="H234" s="13">
        <v>2802.8</v>
      </c>
      <c r="I234" s="13">
        <v>1817.3</v>
      </c>
      <c r="J234" s="35">
        <v>2.6009000000000002</v>
      </c>
      <c r="K234" s="35">
        <v>6.2199</v>
      </c>
      <c r="L234" s="35">
        <v>3.6190000000000002</v>
      </c>
      <c r="N234" s="143">
        <v>1.20706E-3</v>
      </c>
      <c r="O234" s="149">
        <v>7.2825000000000001E-2</v>
      </c>
      <c r="P234" s="146">
        <v>229</v>
      </c>
    </row>
    <row r="235" spans="1:16" ht="13.8" x14ac:dyDescent="0.25">
      <c r="A235" s="7">
        <v>230</v>
      </c>
      <c r="B235" s="35">
        <v>2.7970999999999999</v>
      </c>
      <c r="C235" s="31">
        <v>1.2090200000000001E-3</v>
      </c>
      <c r="D235" s="26">
        <v>7.1502999999999997E-2</v>
      </c>
      <c r="E235" s="32">
        <v>986.81</v>
      </c>
      <c r="F235" s="13">
        <v>2602.9</v>
      </c>
      <c r="G235" s="32">
        <v>990.19</v>
      </c>
      <c r="H235" s="13">
        <v>2802.9</v>
      </c>
      <c r="I235" s="13">
        <v>1812.7</v>
      </c>
      <c r="J235" s="35">
        <v>2.6101000000000001</v>
      </c>
      <c r="K235" s="35">
        <v>6.2127999999999997</v>
      </c>
      <c r="L235" s="35">
        <v>3.6027</v>
      </c>
      <c r="N235" s="143">
        <v>1.2090200000000001E-3</v>
      </c>
      <c r="O235" s="149">
        <v>7.1502999999999997E-2</v>
      </c>
      <c r="P235" s="146">
        <v>230</v>
      </c>
    </row>
    <row r="236" spans="1:16" ht="13.8" x14ac:dyDescent="0.25">
      <c r="A236" s="7">
        <v>231</v>
      </c>
      <c r="B236" s="35">
        <v>2.8487</v>
      </c>
      <c r="C236" s="31">
        <v>1.21098E-3</v>
      </c>
      <c r="D236" s="26">
        <v>7.0209999999999995E-2</v>
      </c>
      <c r="E236" s="32">
        <v>991.44</v>
      </c>
      <c r="F236" s="13">
        <v>2603</v>
      </c>
      <c r="G236" s="32">
        <v>994.89</v>
      </c>
      <c r="H236" s="13">
        <v>2803</v>
      </c>
      <c r="I236" s="13">
        <v>1808.1</v>
      </c>
      <c r="J236" s="35">
        <v>2.6193</v>
      </c>
      <c r="K236" s="35">
        <v>6.2057000000000002</v>
      </c>
      <c r="L236" s="35">
        <v>3.5863999999999998</v>
      </c>
      <c r="N236" s="143">
        <v>1.21098E-3</v>
      </c>
      <c r="O236" s="149">
        <v>7.0209999999999995E-2</v>
      </c>
      <c r="P236" s="146">
        <v>231</v>
      </c>
    </row>
    <row r="237" spans="1:16" ht="13.8" x14ac:dyDescent="0.25">
      <c r="A237" s="7">
        <v>232</v>
      </c>
      <c r="B237" s="35">
        <v>2.9009999999999998</v>
      </c>
      <c r="C237" s="31">
        <v>1.2129700000000001E-3</v>
      </c>
      <c r="D237" s="26">
        <v>6.8943000000000004E-2</v>
      </c>
      <c r="E237" s="32">
        <v>996.08</v>
      </c>
      <c r="F237" s="13">
        <v>2603.1</v>
      </c>
      <c r="G237" s="32">
        <v>999.6</v>
      </c>
      <c r="H237" s="13">
        <v>2803.1</v>
      </c>
      <c r="I237" s="13">
        <v>1803.5</v>
      </c>
      <c r="J237" s="35">
        <v>2.6284999999999998</v>
      </c>
      <c r="K237" s="35">
        <v>6.1986999999999997</v>
      </c>
      <c r="L237" s="35">
        <v>3.5701999999999998</v>
      </c>
      <c r="N237" s="143">
        <v>1.2129700000000001E-3</v>
      </c>
      <c r="O237" s="149">
        <v>6.8943000000000004E-2</v>
      </c>
      <c r="P237" s="146">
        <v>232</v>
      </c>
    </row>
    <row r="238" spans="1:16" ht="13.8" x14ac:dyDescent="0.25">
      <c r="A238" s="7">
        <v>233</v>
      </c>
      <c r="B238" s="35">
        <v>2.9540999999999999</v>
      </c>
      <c r="C238" s="31">
        <v>1.2149699999999999E-3</v>
      </c>
      <c r="D238" s="26">
        <v>6.7701999999999998E-2</v>
      </c>
      <c r="E238" s="13">
        <v>1000.7</v>
      </c>
      <c r="F238" s="13">
        <v>2603.1</v>
      </c>
      <c r="G238" s="13">
        <v>1004.3</v>
      </c>
      <c r="H238" s="13">
        <v>2803.1</v>
      </c>
      <c r="I238" s="13">
        <v>1798.8</v>
      </c>
      <c r="J238" s="35">
        <v>2.6377000000000002</v>
      </c>
      <c r="K238" s="35">
        <v>6.1916000000000002</v>
      </c>
      <c r="L238" s="35">
        <v>3.5539000000000001</v>
      </c>
      <c r="N238" s="143">
        <v>1.2149699999999999E-3</v>
      </c>
      <c r="O238" s="149">
        <v>6.7701999999999998E-2</v>
      </c>
      <c r="P238" s="146">
        <v>233</v>
      </c>
    </row>
    <row r="239" spans="1:16" ht="13.8" x14ac:dyDescent="0.25">
      <c r="A239" s="7">
        <v>234</v>
      </c>
      <c r="B239" s="35">
        <v>3.008</v>
      </c>
      <c r="C239" s="31">
        <v>1.21699E-3</v>
      </c>
      <c r="D239" s="26">
        <v>6.6488000000000005E-2</v>
      </c>
      <c r="E239" s="13">
        <v>1005.3</v>
      </c>
      <c r="F239" s="13">
        <v>2603.1999999999998</v>
      </c>
      <c r="G239" s="13">
        <v>1009</v>
      </c>
      <c r="H239" s="13">
        <v>2803.2</v>
      </c>
      <c r="I239" s="13">
        <v>1794.1</v>
      </c>
      <c r="J239" s="35">
        <v>2.6469</v>
      </c>
      <c r="K239" s="35">
        <v>6.1844999999999999</v>
      </c>
      <c r="L239" s="35">
        <v>3.5375999999999999</v>
      </c>
      <c r="N239" s="143">
        <v>1.21699E-3</v>
      </c>
      <c r="O239" s="149">
        <v>6.6488000000000005E-2</v>
      </c>
      <c r="P239" s="146">
        <v>234</v>
      </c>
    </row>
    <row r="240" spans="1:16" ht="13.8" x14ac:dyDescent="0.25">
      <c r="A240" s="7">
        <v>235</v>
      </c>
      <c r="B240" s="35">
        <v>3.0625</v>
      </c>
      <c r="C240" s="31">
        <v>1.2190199999999999E-3</v>
      </c>
      <c r="D240" s="26">
        <v>6.5297999999999995E-2</v>
      </c>
      <c r="E240" s="13">
        <v>1010.1</v>
      </c>
      <c r="F240" s="13">
        <v>2603.1999999999998</v>
      </c>
      <c r="G240" s="13">
        <v>1013.8</v>
      </c>
      <c r="H240" s="13">
        <v>2803.2</v>
      </c>
      <c r="I240" s="13">
        <v>1789.4</v>
      </c>
      <c r="J240" s="35">
        <v>2.6560999999999999</v>
      </c>
      <c r="K240" s="35">
        <v>6.1775000000000002</v>
      </c>
      <c r="L240" s="35">
        <v>3.5213999999999999</v>
      </c>
      <c r="N240" s="143">
        <v>1.2190199999999999E-3</v>
      </c>
      <c r="O240" s="149">
        <v>6.5297999999999995E-2</v>
      </c>
      <c r="P240" s="146">
        <v>235</v>
      </c>
    </row>
    <row r="241" spans="1:16" ht="13.8" x14ac:dyDescent="0.25">
      <c r="A241" s="7">
        <v>236</v>
      </c>
      <c r="B241" s="35">
        <v>3.1179000000000001</v>
      </c>
      <c r="C241" s="31">
        <v>1.22108E-3</v>
      </c>
      <c r="D241" s="26">
        <v>6.4132999999999996E-2</v>
      </c>
      <c r="E241" s="13">
        <v>1014.7</v>
      </c>
      <c r="F241" s="13">
        <v>2603.1999999999998</v>
      </c>
      <c r="G241" s="13">
        <v>1018.5</v>
      </c>
      <c r="H241" s="13">
        <v>2803.2</v>
      </c>
      <c r="I241" s="13">
        <v>1784.7</v>
      </c>
      <c r="J241" s="35">
        <v>2.6652999999999998</v>
      </c>
      <c r="K241" s="35">
        <v>6.1703999999999999</v>
      </c>
      <c r="L241" s="35">
        <v>3.5051999999999999</v>
      </c>
      <c r="N241" s="143">
        <v>1.22108E-3</v>
      </c>
      <c r="O241" s="149">
        <v>6.4132999999999996E-2</v>
      </c>
      <c r="P241" s="146">
        <v>236</v>
      </c>
    </row>
    <row r="242" spans="1:16" ht="13.8" x14ac:dyDescent="0.25">
      <c r="A242" s="7">
        <v>237</v>
      </c>
      <c r="B242" s="35">
        <v>3.1739999999999999</v>
      </c>
      <c r="C242" s="31">
        <v>1.2231500000000001E-3</v>
      </c>
      <c r="D242" s="26">
        <v>6.2991000000000005E-2</v>
      </c>
      <c r="E242" s="13">
        <v>1019.4</v>
      </c>
      <c r="F242" s="13">
        <v>2603.1999999999998</v>
      </c>
      <c r="G242" s="13">
        <v>1023.3</v>
      </c>
      <c r="H242" s="13">
        <v>2803.1</v>
      </c>
      <c r="I242" s="13">
        <v>1779.9</v>
      </c>
      <c r="J242" s="35">
        <v>2.6745000000000001</v>
      </c>
      <c r="K242" s="35">
        <v>6.1634000000000002</v>
      </c>
      <c r="L242" s="35">
        <v>3.4889999999999999</v>
      </c>
      <c r="N242" s="143">
        <v>1.2231500000000001E-3</v>
      </c>
      <c r="O242" s="149">
        <v>6.2991000000000005E-2</v>
      </c>
      <c r="P242" s="146">
        <v>237</v>
      </c>
    </row>
    <row r="243" spans="1:16" ht="13.8" x14ac:dyDescent="0.25">
      <c r="A243" s="7">
        <v>238</v>
      </c>
      <c r="B243" s="35">
        <v>3.2307999999999999</v>
      </c>
      <c r="C243" s="31">
        <v>1.2252299999999999E-3</v>
      </c>
      <c r="D243" s="26">
        <v>6.1872999999999997E-2</v>
      </c>
      <c r="E243" s="13">
        <v>1024</v>
      </c>
      <c r="F243" s="13">
        <v>2603.1999999999998</v>
      </c>
      <c r="G243" s="13">
        <v>1028</v>
      </c>
      <c r="H243" s="13">
        <v>2803.1</v>
      </c>
      <c r="I243" s="13">
        <v>1775.1</v>
      </c>
      <c r="J243" s="35">
        <v>2.6836000000000002</v>
      </c>
      <c r="K243" s="35">
        <v>6.1563999999999997</v>
      </c>
      <c r="L243" s="35">
        <v>3.4727000000000001</v>
      </c>
      <c r="N243" s="143">
        <v>1.2252299999999999E-3</v>
      </c>
      <c r="O243" s="149">
        <v>6.1872999999999997E-2</v>
      </c>
      <c r="P243" s="146">
        <v>238</v>
      </c>
    </row>
    <row r="244" spans="1:16" ht="13.8" x14ac:dyDescent="0.25">
      <c r="A244" s="7">
        <v>239</v>
      </c>
      <c r="B244" s="35">
        <v>3.2885</v>
      </c>
      <c r="C244" s="31">
        <v>1.2273399999999999E-3</v>
      </c>
      <c r="D244" s="26">
        <v>6.0777999999999999E-2</v>
      </c>
      <c r="E244" s="13">
        <v>1028.8</v>
      </c>
      <c r="F244" s="13">
        <v>2603.1</v>
      </c>
      <c r="G244" s="13">
        <v>1032.8</v>
      </c>
      <c r="H244" s="13">
        <v>2803</v>
      </c>
      <c r="I244" s="13">
        <v>1770.3</v>
      </c>
      <c r="J244" s="35">
        <v>2.6928000000000001</v>
      </c>
      <c r="K244" s="35">
        <v>6.1493000000000002</v>
      </c>
      <c r="L244" s="35">
        <v>3.4565000000000001</v>
      </c>
      <c r="N244" s="143">
        <v>1.2273399999999999E-3</v>
      </c>
      <c r="O244" s="149">
        <v>6.0777999999999999E-2</v>
      </c>
      <c r="P244" s="146">
        <v>239</v>
      </c>
    </row>
    <row r="245" spans="1:16" ht="13.8" x14ac:dyDescent="0.25">
      <c r="A245" s="7">
        <v>240</v>
      </c>
      <c r="B245" s="35">
        <v>3.3469000000000002</v>
      </c>
      <c r="C245" s="31">
        <v>1.2294599999999999E-3</v>
      </c>
      <c r="D245" s="26">
        <v>5.9705000000000001E-2</v>
      </c>
      <c r="E245" s="13">
        <v>1033.5</v>
      </c>
      <c r="F245" s="13">
        <v>2603.1999999999998</v>
      </c>
      <c r="G245" s="13">
        <v>1037.5999999999999</v>
      </c>
      <c r="H245" s="13">
        <v>2803</v>
      </c>
      <c r="I245" s="13">
        <v>1765.4</v>
      </c>
      <c r="J245" s="35">
        <v>2.702</v>
      </c>
      <c r="K245" s="35">
        <v>6.1422999999999996</v>
      </c>
      <c r="L245" s="35">
        <v>3.4403000000000001</v>
      </c>
      <c r="N245" s="143">
        <v>1.2294599999999999E-3</v>
      </c>
      <c r="O245" s="149">
        <v>5.9705000000000001E-2</v>
      </c>
      <c r="P245" s="146">
        <v>240</v>
      </c>
    </row>
    <row r="246" spans="1:16" ht="13.8" x14ac:dyDescent="0.25">
      <c r="A246" s="7">
        <v>241</v>
      </c>
      <c r="B246" s="35">
        <v>3.4062000000000001</v>
      </c>
      <c r="C246" s="31">
        <v>1.2316E-3</v>
      </c>
      <c r="D246" s="26">
        <v>5.8653999999999998E-2</v>
      </c>
      <c r="E246" s="13">
        <v>1038.0999999999999</v>
      </c>
      <c r="F246" s="13">
        <v>2603.1</v>
      </c>
      <c r="G246" s="13">
        <v>1042.3</v>
      </c>
      <c r="H246" s="13">
        <v>2802.9</v>
      </c>
      <c r="I246" s="13">
        <v>1760.5</v>
      </c>
      <c r="J246" s="35">
        <v>2.7111000000000001</v>
      </c>
      <c r="K246" s="35">
        <v>6.1353</v>
      </c>
      <c r="L246" s="35">
        <v>3.4241000000000001</v>
      </c>
      <c r="N246" s="143">
        <v>1.2316E-3</v>
      </c>
      <c r="O246" s="149">
        <v>5.8653999999999998E-2</v>
      </c>
      <c r="P246" s="146">
        <v>241</v>
      </c>
    </row>
    <row r="247" spans="1:16" ht="13.8" x14ac:dyDescent="0.25">
      <c r="A247" s="7">
        <v>242</v>
      </c>
      <c r="B247" s="35">
        <v>3.4662000000000002</v>
      </c>
      <c r="C247" s="31">
        <v>1.23376E-3</v>
      </c>
      <c r="D247" s="26">
        <v>5.7623000000000001E-2</v>
      </c>
      <c r="E247" s="13">
        <v>1042.8</v>
      </c>
      <c r="F247" s="13">
        <v>2603</v>
      </c>
      <c r="G247" s="13">
        <v>1047.0999999999999</v>
      </c>
      <c r="H247" s="13">
        <v>2802.7</v>
      </c>
      <c r="I247" s="13">
        <v>1755.6</v>
      </c>
      <c r="J247" s="35">
        <v>2.7202999999999999</v>
      </c>
      <c r="K247" s="35">
        <v>6.1281999999999996</v>
      </c>
      <c r="L247" s="35">
        <v>3.4079000000000002</v>
      </c>
      <c r="N247" s="143">
        <v>1.23376E-3</v>
      </c>
      <c r="O247" s="149">
        <v>5.7623000000000001E-2</v>
      </c>
      <c r="P247" s="146">
        <v>242</v>
      </c>
    </row>
    <row r="248" spans="1:16" ht="13.8" x14ac:dyDescent="0.25">
      <c r="A248" s="7">
        <v>243</v>
      </c>
      <c r="B248" s="35">
        <v>3.5270000000000001</v>
      </c>
      <c r="C248" s="31">
        <v>1.23594E-3</v>
      </c>
      <c r="D248" s="26">
        <v>5.6612999999999997E-2</v>
      </c>
      <c r="E248" s="13">
        <v>1047.5</v>
      </c>
      <c r="F248" s="13">
        <v>2602.9</v>
      </c>
      <c r="G248" s="13">
        <v>1051.9000000000001</v>
      </c>
      <c r="H248" s="13">
        <v>2802.6</v>
      </c>
      <c r="I248" s="13">
        <v>1750.7</v>
      </c>
      <c r="J248" s="35">
        <v>2.7294999999999998</v>
      </c>
      <c r="K248" s="35">
        <v>6.1212</v>
      </c>
      <c r="L248" s="35">
        <v>3.3917999999999999</v>
      </c>
      <c r="N248" s="143">
        <v>1.23594E-3</v>
      </c>
      <c r="O248" s="149">
        <v>5.6612999999999997E-2</v>
      </c>
      <c r="P248" s="146">
        <v>243</v>
      </c>
    </row>
    <row r="249" spans="1:16" ht="13.8" x14ac:dyDescent="0.25">
      <c r="A249" s="7">
        <v>244</v>
      </c>
      <c r="B249" s="35">
        <v>3.5886999999999998</v>
      </c>
      <c r="C249" s="31">
        <v>1.23813E-3</v>
      </c>
      <c r="D249" s="26">
        <v>5.5624E-2</v>
      </c>
      <c r="E249" s="13">
        <v>1052.3</v>
      </c>
      <c r="F249" s="13">
        <v>2602.8000000000002</v>
      </c>
      <c r="G249" s="13">
        <v>1056.7</v>
      </c>
      <c r="H249" s="13">
        <v>2802.4</v>
      </c>
      <c r="I249" s="13">
        <v>1745.7</v>
      </c>
      <c r="J249" s="35">
        <v>2.7385999999999999</v>
      </c>
      <c r="K249" s="35">
        <v>6.1142000000000003</v>
      </c>
      <c r="L249" s="35">
        <v>3.3755999999999999</v>
      </c>
      <c r="N249" s="143">
        <v>1.23813E-3</v>
      </c>
      <c r="O249" s="149">
        <v>5.5624E-2</v>
      </c>
      <c r="P249" s="146">
        <v>244</v>
      </c>
    </row>
    <row r="250" spans="1:16" ht="13.8" x14ac:dyDescent="0.25">
      <c r="A250" s="7">
        <v>245</v>
      </c>
      <c r="B250" s="35">
        <v>3.6511999999999998</v>
      </c>
      <c r="C250" s="31">
        <v>1.2403500000000001E-3</v>
      </c>
      <c r="D250" s="26">
        <v>5.4654000000000001E-2</v>
      </c>
      <c r="E250" s="13">
        <v>1057</v>
      </c>
      <c r="F250" s="13">
        <v>2602.6</v>
      </c>
      <c r="G250" s="13">
        <v>1061.5</v>
      </c>
      <c r="H250" s="13">
        <v>2802.2</v>
      </c>
      <c r="I250" s="13">
        <v>1740.7</v>
      </c>
      <c r="J250" s="35">
        <v>2.7477999999999998</v>
      </c>
      <c r="K250" s="35">
        <v>6.1071999999999997</v>
      </c>
      <c r="L250" s="35">
        <v>3.3593999999999999</v>
      </c>
      <c r="N250" s="143">
        <v>1.2403500000000001E-3</v>
      </c>
      <c r="O250" s="149">
        <v>5.4654000000000001E-2</v>
      </c>
      <c r="P250" s="146">
        <v>245</v>
      </c>
    </row>
    <row r="251" spans="1:16" ht="13.8" x14ac:dyDescent="0.25">
      <c r="A251" s="7">
        <v>246</v>
      </c>
      <c r="B251" s="35">
        <v>3.7145000000000001</v>
      </c>
      <c r="C251" s="31">
        <v>1.24259E-3</v>
      </c>
      <c r="D251" s="26">
        <v>5.3703000000000001E-2</v>
      </c>
      <c r="E251" s="13">
        <v>1061.8</v>
      </c>
      <c r="F251" s="13">
        <v>2602.5</v>
      </c>
      <c r="G251" s="13">
        <v>1066.4000000000001</v>
      </c>
      <c r="H251" s="13">
        <v>2802</v>
      </c>
      <c r="I251" s="13">
        <v>1735.6</v>
      </c>
      <c r="J251" s="35">
        <v>2.7568999999999999</v>
      </c>
      <c r="K251" s="35">
        <v>6.1002000000000001</v>
      </c>
      <c r="L251" s="35">
        <v>3.3431999999999999</v>
      </c>
      <c r="N251" s="143">
        <v>1.24259E-3</v>
      </c>
      <c r="O251" s="149">
        <v>5.3703000000000001E-2</v>
      </c>
      <c r="P251" s="146">
        <v>246</v>
      </c>
    </row>
    <row r="252" spans="1:16" ht="13.8" x14ac:dyDescent="0.25">
      <c r="A252" s="7">
        <v>247</v>
      </c>
      <c r="B252" s="35">
        <v>3.7786</v>
      </c>
      <c r="C252" s="31">
        <v>1.2448400000000001E-3</v>
      </c>
      <c r="D252" s="26">
        <v>5.2770999999999998E-2</v>
      </c>
      <c r="E252" s="13">
        <v>1066.5</v>
      </c>
      <c r="F252" s="13">
        <v>2602.4</v>
      </c>
      <c r="G252" s="13">
        <v>1071.2</v>
      </c>
      <c r="H252" s="13">
        <v>2801.8</v>
      </c>
      <c r="I252" s="13">
        <v>1730.6</v>
      </c>
      <c r="J252" s="35">
        <v>2.7660999999999998</v>
      </c>
      <c r="K252" s="35">
        <v>6.0930999999999997</v>
      </c>
      <c r="L252" s="35">
        <v>3.327</v>
      </c>
      <c r="N252" s="143">
        <v>1.2448400000000001E-3</v>
      </c>
      <c r="O252" s="149">
        <v>5.2770999999999998E-2</v>
      </c>
      <c r="P252" s="146">
        <v>247</v>
      </c>
    </row>
    <row r="253" spans="1:16" ht="13.8" x14ac:dyDescent="0.25">
      <c r="A253" s="7">
        <v>248</v>
      </c>
      <c r="B253" s="35">
        <v>3.8435999999999999</v>
      </c>
      <c r="C253" s="31">
        <v>1.24712E-3</v>
      </c>
      <c r="D253" s="26">
        <v>5.1857E-2</v>
      </c>
      <c r="E253" s="13">
        <v>1071.3</v>
      </c>
      <c r="F253" s="13">
        <v>2602.1999999999998</v>
      </c>
      <c r="G253" s="13">
        <v>1076.0999999999999</v>
      </c>
      <c r="H253" s="13">
        <v>2801.5</v>
      </c>
      <c r="I253" s="13">
        <v>1725.5</v>
      </c>
      <c r="J253" s="35">
        <v>2.7751999999999999</v>
      </c>
      <c r="K253" s="35">
        <v>6.0861000000000001</v>
      </c>
      <c r="L253" s="35">
        <v>3.3109000000000002</v>
      </c>
      <c r="N253" s="143">
        <v>1.24712E-3</v>
      </c>
      <c r="O253" s="149">
        <v>5.1857E-2</v>
      </c>
      <c r="P253" s="146">
        <v>248</v>
      </c>
    </row>
    <row r="254" spans="1:16" ht="13.8" x14ac:dyDescent="0.25">
      <c r="A254" s="7">
        <v>249</v>
      </c>
      <c r="B254" s="35">
        <v>3.9095</v>
      </c>
      <c r="C254" s="31">
        <v>1.2494100000000001E-3</v>
      </c>
      <c r="D254" s="26">
        <v>5.0960999999999999E-2</v>
      </c>
      <c r="E254" s="13">
        <v>1076</v>
      </c>
      <c r="F254" s="13">
        <v>2602</v>
      </c>
      <c r="G254" s="13">
        <v>1080.9000000000001</v>
      </c>
      <c r="H254" s="13">
        <v>2801.2</v>
      </c>
      <c r="I254" s="13">
        <v>1720.3</v>
      </c>
      <c r="J254" s="35">
        <v>2.7844000000000002</v>
      </c>
      <c r="K254" s="35">
        <v>6.0791000000000004</v>
      </c>
      <c r="L254" s="35">
        <v>3.2947000000000002</v>
      </c>
      <c r="N254" s="143">
        <v>1.2494100000000001E-3</v>
      </c>
      <c r="O254" s="149">
        <v>5.0960999999999999E-2</v>
      </c>
      <c r="P254" s="146">
        <v>249</v>
      </c>
    </row>
    <row r="255" spans="1:16" ht="13.8" x14ac:dyDescent="0.25">
      <c r="A255" s="7">
        <v>250</v>
      </c>
      <c r="B255" s="35">
        <v>3.9762</v>
      </c>
      <c r="C255" s="31">
        <v>1.2517299999999999E-3</v>
      </c>
      <c r="D255" s="26">
        <v>5.0083000000000003E-2</v>
      </c>
      <c r="E255" s="13">
        <v>1080.8</v>
      </c>
      <c r="F255" s="13">
        <v>2601.8000000000002</v>
      </c>
      <c r="G255" s="13">
        <v>1085.8</v>
      </c>
      <c r="H255" s="13">
        <v>2800.9</v>
      </c>
      <c r="I255" s="13">
        <v>1715.2</v>
      </c>
      <c r="J255" s="35">
        <v>2.7934999999999999</v>
      </c>
      <c r="K255" s="35">
        <v>6.0720999999999998</v>
      </c>
      <c r="L255" s="35">
        <v>3.2785000000000002</v>
      </c>
      <c r="N255" s="143">
        <v>1.2517299999999999E-3</v>
      </c>
      <c r="O255" s="149">
        <v>5.0083000000000003E-2</v>
      </c>
      <c r="P255" s="146">
        <v>250</v>
      </c>
    </row>
    <row r="256" spans="1:16" ht="13.8" x14ac:dyDescent="0.25">
      <c r="A256" s="7">
        <v>251</v>
      </c>
      <c r="B256" s="35">
        <v>4.0438000000000001</v>
      </c>
      <c r="C256" s="31">
        <v>1.2540699999999999E-3</v>
      </c>
      <c r="D256" s="26">
        <v>4.9222000000000002E-2</v>
      </c>
      <c r="E256" s="13">
        <v>1085.5</v>
      </c>
      <c r="F256" s="13">
        <v>2601.6</v>
      </c>
      <c r="G256" s="13">
        <v>1090.5999999999999</v>
      </c>
      <c r="H256" s="13">
        <v>2800.6</v>
      </c>
      <c r="I256" s="13">
        <v>1710</v>
      </c>
      <c r="J256" s="35">
        <v>2.8027000000000002</v>
      </c>
      <c r="K256" s="35">
        <v>6.0650000000000004</v>
      </c>
      <c r="L256" s="35">
        <v>3.2624</v>
      </c>
      <c r="N256" s="143">
        <v>1.2540699999999999E-3</v>
      </c>
      <c r="O256" s="149">
        <v>4.9222000000000002E-2</v>
      </c>
      <c r="P256" s="146">
        <v>251</v>
      </c>
    </row>
    <row r="257" spans="1:16" ht="13.8" x14ac:dyDescent="0.25">
      <c r="A257" s="7">
        <v>252</v>
      </c>
      <c r="B257" s="35">
        <v>4.1121999999999996</v>
      </c>
      <c r="C257" s="31">
        <v>1.25643E-3</v>
      </c>
      <c r="D257" s="26">
        <v>4.8377000000000003E-2</v>
      </c>
      <c r="E257" s="13">
        <v>1090.3</v>
      </c>
      <c r="F257" s="13">
        <v>2601.4</v>
      </c>
      <c r="G257" s="13">
        <v>1095.5</v>
      </c>
      <c r="H257" s="13">
        <v>2800.3</v>
      </c>
      <c r="I257" s="13">
        <v>1704.7</v>
      </c>
      <c r="J257" s="35">
        <v>2.8117999999999999</v>
      </c>
      <c r="K257" s="35">
        <v>6.0579999999999998</v>
      </c>
      <c r="L257" s="35">
        <v>3.2462</v>
      </c>
      <c r="N257" s="143">
        <v>1.25643E-3</v>
      </c>
      <c r="O257" s="149">
        <v>4.8377000000000003E-2</v>
      </c>
      <c r="P257" s="146">
        <v>252</v>
      </c>
    </row>
    <row r="258" spans="1:16" ht="13.8" x14ac:dyDescent="0.25">
      <c r="A258" s="7">
        <v>253</v>
      </c>
      <c r="B258" s="35">
        <v>4.1814999999999998</v>
      </c>
      <c r="C258" s="31">
        <v>1.25881E-3</v>
      </c>
      <c r="D258" s="26">
        <v>4.7548E-2</v>
      </c>
      <c r="E258" s="13">
        <v>1095.0999999999999</v>
      </c>
      <c r="F258" s="13">
        <v>2601.1</v>
      </c>
      <c r="G258" s="13">
        <v>1100.4000000000001</v>
      </c>
      <c r="H258" s="13">
        <v>2799.9</v>
      </c>
      <c r="I258" s="13">
        <v>1699.5</v>
      </c>
      <c r="J258" s="35">
        <v>2.8210000000000002</v>
      </c>
      <c r="K258" s="35">
        <v>6.0510000000000002</v>
      </c>
      <c r="L258" s="35">
        <v>3.23</v>
      </c>
      <c r="N258" s="143">
        <v>1.25881E-3</v>
      </c>
      <c r="O258" s="149">
        <v>4.7548E-2</v>
      </c>
      <c r="P258" s="146">
        <v>253</v>
      </c>
    </row>
    <row r="259" spans="1:16" ht="13.8" x14ac:dyDescent="0.25">
      <c r="A259" s="7">
        <v>254</v>
      </c>
      <c r="B259" s="35">
        <v>4.2518000000000002</v>
      </c>
      <c r="C259" s="31">
        <v>1.26121E-3</v>
      </c>
      <c r="D259" s="26">
        <v>4.6736E-2</v>
      </c>
      <c r="E259" s="13">
        <v>1099.9000000000001</v>
      </c>
      <c r="F259" s="13">
        <v>2600.8000000000002</v>
      </c>
      <c r="G259" s="13">
        <v>1105.3</v>
      </c>
      <c r="H259" s="13">
        <v>2799.5</v>
      </c>
      <c r="I259" s="13">
        <v>1694.2</v>
      </c>
      <c r="J259" s="35">
        <v>2.8300999999999998</v>
      </c>
      <c r="K259" s="35">
        <v>6.0438999999999998</v>
      </c>
      <c r="L259" s="35">
        <v>3.2138</v>
      </c>
      <c r="N259" s="143">
        <v>1.26121E-3</v>
      </c>
      <c r="O259" s="149">
        <v>4.6736E-2</v>
      </c>
      <c r="P259" s="146">
        <v>254</v>
      </c>
    </row>
    <row r="260" spans="1:16" ht="13.8" x14ac:dyDescent="0.25">
      <c r="A260" s="7">
        <v>255</v>
      </c>
      <c r="B260" s="35">
        <v>4.3228999999999997</v>
      </c>
      <c r="C260" s="31">
        <v>1.2636399999999999E-3</v>
      </c>
      <c r="D260" s="26">
        <v>4.5938E-2</v>
      </c>
      <c r="E260" s="13">
        <v>1104.7</v>
      </c>
      <c r="F260" s="13">
        <v>2600.5</v>
      </c>
      <c r="G260" s="13">
        <v>1110.2</v>
      </c>
      <c r="H260" s="13">
        <v>2799.1</v>
      </c>
      <c r="I260" s="13">
        <v>1688.8</v>
      </c>
      <c r="J260" s="35">
        <v>2.8391999999999999</v>
      </c>
      <c r="K260" s="35">
        <v>6.0369000000000002</v>
      </c>
      <c r="L260" s="35">
        <v>3.1977000000000002</v>
      </c>
      <c r="N260" s="143">
        <v>1.2636399999999999E-3</v>
      </c>
      <c r="O260" s="149">
        <v>4.5938E-2</v>
      </c>
      <c r="P260" s="146">
        <v>255</v>
      </c>
    </row>
    <row r="261" spans="1:16" ht="13.8" x14ac:dyDescent="0.25">
      <c r="A261" s="7">
        <v>256</v>
      </c>
      <c r="B261" s="35">
        <v>4.3948999999999998</v>
      </c>
      <c r="C261" s="31">
        <v>1.2660900000000001E-3</v>
      </c>
      <c r="D261" s="26">
        <v>4.5156000000000002E-2</v>
      </c>
      <c r="E261" s="13">
        <v>1109.5999999999999</v>
      </c>
      <c r="F261" s="13">
        <v>2600.1</v>
      </c>
      <c r="G261" s="13">
        <v>1115.2</v>
      </c>
      <c r="H261" s="13">
        <v>2798.6</v>
      </c>
      <c r="I261" s="13">
        <v>1683.5</v>
      </c>
      <c r="J261" s="35">
        <v>2.8483999999999998</v>
      </c>
      <c r="K261" s="35">
        <v>6.0297999999999998</v>
      </c>
      <c r="L261" s="35">
        <v>3.1815000000000002</v>
      </c>
      <c r="N261" s="143">
        <v>1.2660900000000001E-3</v>
      </c>
      <c r="O261" s="149">
        <v>4.5156000000000002E-2</v>
      </c>
      <c r="P261" s="146">
        <v>256</v>
      </c>
    </row>
    <row r="262" spans="1:16" ht="13.8" x14ac:dyDescent="0.25">
      <c r="A262" s="7">
        <v>257</v>
      </c>
      <c r="B262" s="35">
        <v>4.4679000000000002</v>
      </c>
      <c r="C262" s="31">
        <v>1.26856E-3</v>
      </c>
      <c r="D262" s="26">
        <v>4.4388999999999998E-2</v>
      </c>
      <c r="E262" s="13">
        <v>1114.4000000000001</v>
      </c>
      <c r="F262" s="13">
        <v>2599.9</v>
      </c>
      <c r="G262" s="13">
        <v>1120.0999999999999</v>
      </c>
      <c r="H262" s="13">
        <v>2798.2</v>
      </c>
      <c r="I262" s="13">
        <v>1678.1</v>
      </c>
      <c r="J262" s="35">
        <v>2.8574999999999999</v>
      </c>
      <c r="K262" s="35">
        <v>6.0228000000000002</v>
      </c>
      <c r="L262" s="35">
        <v>3.1652999999999998</v>
      </c>
      <c r="N262" s="143">
        <v>1.26856E-3</v>
      </c>
      <c r="O262" s="149">
        <v>4.4388999999999998E-2</v>
      </c>
      <c r="P262" s="146">
        <v>257</v>
      </c>
    </row>
    <row r="263" spans="1:16" ht="13.8" x14ac:dyDescent="0.25">
      <c r="A263" s="7">
        <v>258</v>
      </c>
      <c r="B263" s="35">
        <v>4.5416999999999996</v>
      </c>
      <c r="C263" s="31">
        <v>1.2710600000000001E-3</v>
      </c>
      <c r="D263" s="26">
        <v>4.3637000000000002E-2</v>
      </c>
      <c r="E263" s="13">
        <v>1119.2</v>
      </c>
      <c r="F263" s="13">
        <v>2599.5</v>
      </c>
      <c r="G263" s="13">
        <v>1125</v>
      </c>
      <c r="H263" s="13">
        <v>2797.7</v>
      </c>
      <c r="I263" s="13">
        <v>1672.6</v>
      </c>
      <c r="J263" s="35">
        <v>2.8666999999999998</v>
      </c>
      <c r="K263" s="35">
        <v>6.0156999999999998</v>
      </c>
      <c r="L263" s="35">
        <v>3.1490999999999998</v>
      </c>
      <c r="N263" s="143">
        <v>1.2710600000000001E-3</v>
      </c>
      <c r="O263" s="149">
        <v>4.3637000000000002E-2</v>
      </c>
      <c r="P263" s="146">
        <v>258</v>
      </c>
    </row>
    <row r="264" spans="1:16" ht="13.8" x14ac:dyDescent="0.25">
      <c r="A264" s="7">
        <v>259</v>
      </c>
      <c r="B264" s="35">
        <v>4.6165000000000003</v>
      </c>
      <c r="C264" s="31">
        <v>1.2735800000000001E-3</v>
      </c>
      <c r="D264" s="26">
        <v>4.2897999999999999E-2</v>
      </c>
      <c r="E264" s="13">
        <v>1124.0999999999999</v>
      </c>
      <c r="F264" s="13">
        <v>2599.1</v>
      </c>
      <c r="G264" s="13">
        <v>1130</v>
      </c>
      <c r="H264" s="13">
        <v>2797.1</v>
      </c>
      <c r="I264" s="13">
        <v>1667.2</v>
      </c>
      <c r="J264" s="35">
        <v>2.8757999999999999</v>
      </c>
      <c r="K264" s="35">
        <v>6.0087000000000002</v>
      </c>
      <c r="L264" s="35">
        <v>3.1328999999999998</v>
      </c>
      <c r="N264" s="143">
        <v>1.2735800000000001E-3</v>
      </c>
      <c r="O264" s="149">
        <v>4.2897999999999999E-2</v>
      </c>
      <c r="P264" s="146">
        <v>259</v>
      </c>
    </row>
    <row r="265" spans="1:16" ht="13.8" x14ac:dyDescent="0.25">
      <c r="A265" s="7">
        <v>260</v>
      </c>
      <c r="B265" s="35">
        <v>4.6923000000000004</v>
      </c>
      <c r="C265" s="31">
        <v>1.2761199999999999E-3</v>
      </c>
      <c r="D265" s="26">
        <v>4.2173000000000002E-2</v>
      </c>
      <c r="E265" s="13">
        <v>1129</v>
      </c>
      <c r="F265" s="13">
        <v>2598.6999999999998</v>
      </c>
      <c r="G265" s="13">
        <v>1135</v>
      </c>
      <c r="H265" s="13">
        <v>2796.6</v>
      </c>
      <c r="I265" s="13">
        <v>1661.6</v>
      </c>
      <c r="J265" s="35">
        <v>2.8849</v>
      </c>
      <c r="K265" s="35">
        <v>6.0015999999999998</v>
      </c>
      <c r="L265" s="35">
        <v>3.1166999999999998</v>
      </c>
      <c r="N265" s="143">
        <v>1.2761199999999999E-3</v>
      </c>
      <c r="O265" s="149">
        <v>4.2173000000000002E-2</v>
      </c>
      <c r="P265" s="146">
        <v>260</v>
      </c>
    </row>
    <row r="266" spans="1:16" ht="13.8" x14ac:dyDescent="0.25">
      <c r="A266" s="7">
        <v>261</v>
      </c>
      <c r="B266" s="35">
        <v>4.7689000000000004</v>
      </c>
      <c r="C266" s="31">
        <v>1.2786900000000001E-3</v>
      </c>
      <c r="D266" s="26">
        <v>4.1461999999999999E-2</v>
      </c>
      <c r="E266" s="13">
        <v>1133.8</v>
      </c>
      <c r="F266" s="13">
        <v>2598.3000000000002</v>
      </c>
      <c r="G266" s="13">
        <v>1139.9000000000001</v>
      </c>
      <c r="H266" s="13">
        <v>2796</v>
      </c>
      <c r="I266" s="13">
        <v>1656.1</v>
      </c>
      <c r="J266" s="35">
        <v>2.8940999999999999</v>
      </c>
      <c r="K266" s="35">
        <v>5.9945000000000004</v>
      </c>
      <c r="L266" s="35">
        <v>3.1004</v>
      </c>
      <c r="N266" s="143">
        <v>1.2786900000000001E-3</v>
      </c>
      <c r="O266" s="149">
        <v>4.1461999999999999E-2</v>
      </c>
      <c r="P266" s="146">
        <v>261</v>
      </c>
    </row>
    <row r="267" spans="1:16" ht="13.8" x14ac:dyDescent="0.25">
      <c r="A267" s="7">
        <v>262</v>
      </c>
      <c r="B267" s="35">
        <v>4.8465999999999996</v>
      </c>
      <c r="C267" s="31">
        <v>1.2812800000000001E-3</v>
      </c>
      <c r="D267" s="26">
        <v>4.0764000000000002E-2</v>
      </c>
      <c r="E267" s="13">
        <v>1138.7</v>
      </c>
      <c r="F267" s="13">
        <v>2597.8000000000002</v>
      </c>
      <c r="G267" s="13">
        <v>1144.9000000000001</v>
      </c>
      <c r="H267" s="13">
        <v>2795.4</v>
      </c>
      <c r="I267" s="13">
        <v>1650.5</v>
      </c>
      <c r="J267" s="35">
        <v>2.9032</v>
      </c>
      <c r="K267" s="35">
        <v>5.9874000000000001</v>
      </c>
      <c r="L267" s="35">
        <v>3.0842000000000001</v>
      </c>
      <c r="N267" s="143">
        <v>1.2812800000000001E-3</v>
      </c>
      <c r="O267" s="149">
        <v>4.0764000000000002E-2</v>
      </c>
      <c r="P267" s="146">
        <v>262</v>
      </c>
    </row>
    <row r="268" spans="1:16" ht="13.8" x14ac:dyDescent="0.25">
      <c r="A268" s="7">
        <v>263</v>
      </c>
      <c r="B268" s="35">
        <v>4.9252000000000002</v>
      </c>
      <c r="C268" s="31">
        <v>1.2838999999999999E-3</v>
      </c>
      <c r="D268" s="26">
        <v>4.0078999999999997E-2</v>
      </c>
      <c r="E268" s="13">
        <v>1143.5999999999999</v>
      </c>
      <c r="F268" s="13">
        <v>2597.4</v>
      </c>
      <c r="G268" s="13">
        <v>1149.9000000000001</v>
      </c>
      <c r="H268" s="13">
        <v>2794.8</v>
      </c>
      <c r="I268" s="13">
        <v>1644.9</v>
      </c>
      <c r="J268" s="35">
        <v>2.9123999999999999</v>
      </c>
      <c r="K268" s="35">
        <v>5.9804000000000004</v>
      </c>
      <c r="L268" s="35">
        <v>3.0680000000000001</v>
      </c>
      <c r="N268" s="143">
        <v>1.2838999999999999E-3</v>
      </c>
      <c r="O268" s="149">
        <v>4.0078999999999997E-2</v>
      </c>
      <c r="P268" s="146">
        <v>263</v>
      </c>
    </row>
    <row r="269" spans="1:16" ht="13.8" x14ac:dyDescent="0.25">
      <c r="A269" s="7">
        <v>264</v>
      </c>
      <c r="B269" s="35">
        <v>5.0046999999999997</v>
      </c>
      <c r="C269" s="31">
        <v>1.28655E-3</v>
      </c>
      <c r="D269" s="26">
        <v>3.9405999999999997E-2</v>
      </c>
      <c r="E269" s="13">
        <v>1148.5</v>
      </c>
      <c r="F269" s="13">
        <v>2597</v>
      </c>
      <c r="G269" s="13">
        <v>1154.9000000000001</v>
      </c>
      <c r="H269" s="13">
        <v>2794.2</v>
      </c>
      <c r="I269" s="13">
        <v>1639.2</v>
      </c>
      <c r="J269" s="35">
        <v>2.9215</v>
      </c>
      <c r="K269" s="35">
        <v>5.9732000000000003</v>
      </c>
      <c r="L269" s="35">
        <v>3.0516999999999999</v>
      </c>
      <c r="N269" s="143">
        <v>1.28655E-3</v>
      </c>
      <c r="O269" s="149">
        <v>3.9405999999999997E-2</v>
      </c>
      <c r="P269" s="146">
        <v>264</v>
      </c>
    </row>
    <row r="270" spans="1:16" ht="13.8" x14ac:dyDescent="0.25">
      <c r="A270" s="7">
        <v>265</v>
      </c>
      <c r="B270" s="35">
        <v>5.0853000000000002</v>
      </c>
      <c r="C270" s="31">
        <v>1.28922E-3</v>
      </c>
      <c r="D270" s="26">
        <v>3.8746000000000003E-2</v>
      </c>
      <c r="E270" s="13">
        <v>1153.4000000000001</v>
      </c>
      <c r="F270" s="13">
        <v>2596.5</v>
      </c>
      <c r="G270" s="13">
        <v>1160</v>
      </c>
      <c r="H270" s="13">
        <v>2793.5</v>
      </c>
      <c r="I270" s="13">
        <v>1633.5</v>
      </c>
      <c r="J270" s="35">
        <v>2.9306999999999999</v>
      </c>
      <c r="K270" s="35">
        <v>5.9661</v>
      </c>
      <c r="L270" s="35">
        <v>3.0354000000000001</v>
      </c>
      <c r="N270" s="143">
        <v>1.28922E-3</v>
      </c>
      <c r="O270" s="149">
        <v>3.8746000000000003E-2</v>
      </c>
      <c r="P270" s="146">
        <v>265</v>
      </c>
    </row>
    <row r="271" spans="1:16" ht="13.8" x14ac:dyDescent="0.25">
      <c r="A271" s="7">
        <v>266</v>
      </c>
      <c r="B271" s="35">
        <v>5.1668000000000003</v>
      </c>
      <c r="C271" s="31">
        <v>1.29192E-3</v>
      </c>
      <c r="D271" s="26">
        <v>3.8098E-2</v>
      </c>
      <c r="E271" s="13">
        <v>1158.3</v>
      </c>
      <c r="F271" s="13">
        <v>2596</v>
      </c>
      <c r="G271" s="13">
        <v>1165</v>
      </c>
      <c r="H271" s="13">
        <v>2792.8</v>
      </c>
      <c r="I271" s="13">
        <v>1627.8</v>
      </c>
      <c r="J271" s="35">
        <v>2.9398</v>
      </c>
      <c r="K271" s="35">
        <v>5.9589999999999996</v>
      </c>
      <c r="L271" s="35">
        <v>3.0192000000000001</v>
      </c>
      <c r="N271" s="143">
        <v>1.29192E-3</v>
      </c>
      <c r="O271" s="149">
        <v>3.8098E-2</v>
      </c>
      <c r="P271" s="146">
        <v>266</v>
      </c>
    </row>
    <row r="272" spans="1:16" ht="13.8" x14ac:dyDescent="0.25">
      <c r="A272" s="7">
        <v>267</v>
      </c>
      <c r="B272" s="35">
        <v>5.2493999999999996</v>
      </c>
      <c r="C272" s="31">
        <v>1.2946500000000001E-3</v>
      </c>
      <c r="D272" s="26">
        <v>3.7462000000000002E-2</v>
      </c>
      <c r="E272" s="13">
        <v>1163.2</v>
      </c>
      <c r="F272" s="13">
        <v>2595.4</v>
      </c>
      <c r="G272" s="13">
        <v>1170</v>
      </c>
      <c r="H272" s="13">
        <v>2792.1</v>
      </c>
      <c r="I272" s="13">
        <v>1622</v>
      </c>
      <c r="J272" s="35">
        <v>2.9489999999999998</v>
      </c>
      <c r="K272" s="35">
        <v>5.9519000000000002</v>
      </c>
      <c r="L272" s="35">
        <v>3.0028999999999999</v>
      </c>
      <c r="N272" s="143">
        <v>1.2946500000000001E-3</v>
      </c>
      <c r="O272" s="149">
        <v>3.7462000000000002E-2</v>
      </c>
      <c r="P272" s="146">
        <v>267</v>
      </c>
    </row>
    <row r="273" spans="1:16" ht="13.8" x14ac:dyDescent="0.25">
      <c r="A273" s="7">
        <v>268</v>
      </c>
      <c r="B273" s="35">
        <v>5.3329000000000004</v>
      </c>
      <c r="C273" s="31">
        <v>1.2974E-3</v>
      </c>
      <c r="D273" s="26">
        <v>3.6837000000000002E-2</v>
      </c>
      <c r="E273" s="13">
        <v>1168.2</v>
      </c>
      <c r="F273" s="13">
        <v>2594.9</v>
      </c>
      <c r="G273" s="13">
        <v>1175.0999999999999</v>
      </c>
      <c r="H273" s="13">
        <v>2791.3</v>
      </c>
      <c r="I273" s="13">
        <v>1616.2</v>
      </c>
      <c r="J273" s="35">
        <v>2.9582000000000002</v>
      </c>
      <c r="K273" s="35">
        <v>5.9447000000000001</v>
      </c>
      <c r="L273" s="35">
        <v>2.9866000000000001</v>
      </c>
      <c r="N273" s="143">
        <v>1.2974E-3</v>
      </c>
      <c r="O273" s="149">
        <v>3.6837000000000002E-2</v>
      </c>
      <c r="P273" s="146">
        <v>268</v>
      </c>
    </row>
    <row r="274" spans="1:16" ht="13.8" x14ac:dyDescent="0.25">
      <c r="A274" s="7">
        <v>269</v>
      </c>
      <c r="B274" s="35">
        <v>5.4173999999999998</v>
      </c>
      <c r="C274" s="31">
        <v>1.3001899999999999E-3</v>
      </c>
      <c r="D274" s="26">
        <v>3.6222999999999998E-2</v>
      </c>
      <c r="E274" s="13">
        <v>1173.2</v>
      </c>
      <c r="F274" s="13">
        <v>2594.3000000000002</v>
      </c>
      <c r="G274" s="13">
        <v>1180.2</v>
      </c>
      <c r="H274" s="13">
        <v>2790.5</v>
      </c>
      <c r="I274" s="13">
        <v>1610.3</v>
      </c>
      <c r="J274" s="35">
        <v>2.9672999999999998</v>
      </c>
      <c r="K274" s="35">
        <v>5.9375999999999998</v>
      </c>
      <c r="L274" s="35">
        <v>2.9702999999999999</v>
      </c>
      <c r="N274" s="143">
        <v>1.3001899999999999E-3</v>
      </c>
      <c r="O274" s="149">
        <v>3.6222999999999998E-2</v>
      </c>
      <c r="P274" s="146">
        <v>269</v>
      </c>
    </row>
    <row r="275" spans="1:16" ht="13.8" x14ac:dyDescent="0.25">
      <c r="A275" s="7">
        <v>270</v>
      </c>
      <c r="B275" s="35">
        <v>5.5030000000000001</v>
      </c>
      <c r="C275" s="31">
        <v>1.3029999999999999E-3</v>
      </c>
      <c r="D275" s="26">
        <v>3.5621E-2</v>
      </c>
      <c r="E275" s="13">
        <v>1178.0999999999999</v>
      </c>
      <c r="F275" s="13">
        <v>2593.6999999999998</v>
      </c>
      <c r="G275" s="13">
        <v>1185.3</v>
      </c>
      <c r="H275" s="13">
        <v>2789.7</v>
      </c>
      <c r="I275" s="13">
        <v>1604.4</v>
      </c>
      <c r="J275" s="35">
        <v>2.9765000000000001</v>
      </c>
      <c r="K275" s="35">
        <v>5.9303999999999997</v>
      </c>
      <c r="L275" s="35">
        <v>2.9539</v>
      </c>
      <c r="N275" s="143">
        <v>1.3029999999999999E-3</v>
      </c>
      <c r="O275" s="149">
        <v>3.5621E-2</v>
      </c>
      <c r="P275" s="146">
        <v>270</v>
      </c>
    </row>
    <row r="276" spans="1:16" ht="13.8" x14ac:dyDescent="0.25">
      <c r="A276" s="7">
        <v>271</v>
      </c>
      <c r="B276" s="35">
        <v>5.5895999999999999</v>
      </c>
      <c r="C276" s="31">
        <v>1.30584E-3</v>
      </c>
      <c r="D276" s="26">
        <v>3.5028999999999998E-2</v>
      </c>
      <c r="E276" s="13">
        <v>1183.0999999999999</v>
      </c>
      <c r="F276" s="13">
        <v>2593</v>
      </c>
      <c r="G276" s="13">
        <v>1190.4000000000001</v>
      </c>
      <c r="H276" s="13">
        <v>2788.8</v>
      </c>
      <c r="I276" s="13">
        <v>1598.5</v>
      </c>
      <c r="J276" s="35">
        <v>2.9857</v>
      </c>
      <c r="K276" s="35">
        <v>5.9231999999999996</v>
      </c>
      <c r="L276" s="35">
        <v>2.9376000000000002</v>
      </c>
      <c r="N276" s="143">
        <v>1.30584E-3</v>
      </c>
      <c r="O276" s="149">
        <v>3.5028999999999998E-2</v>
      </c>
      <c r="P276" s="146">
        <v>271</v>
      </c>
    </row>
    <row r="277" spans="1:16" ht="13.8" x14ac:dyDescent="0.25">
      <c r="A277" s="7">
        <v>272</v>
      </c>
      <c r="B277" s="35">
        <v>5.6772</v>
      </c>
      <c r="C277" s="31">
        <v>1.30871E-3</v>
      </c>
      <c r="D277" s="26">
        <v>3.4447999999999999E-2</v>
      </c>
      <c r="E277" s="13">
        <v>1188.0999999999999</v>
      </c>
      <c r="F277" s="13">
        <v>2592.4</v>
      </c>
      <c r="G277" s="13">
        <v>1195.5</v>
      </c>
      <c r="H277" s="13">
        <v>2788</v>
      </c>
      <c r="I277" s="13">
        <v>1592.5</v>
      </c>
      <c r="J277" s="35">
        <v>2.9948000000000001</v>
      </c>
      <c r="K277" s="35">
        <v>5.9160000000000004</v>
      </c>
      <c r="L277" s="35">
        <v>2.9211999999999998</v>
      </c>
      <c r="N277" s="143">
        <v>1.30871E-3</v>
      </c>
      <c r="O277" s="149">
        <v>3.4447999999999999E-2</v>
      </c>
      <c r="P277" s="146">
        <v>272</v>
      </c>
    </row>
    <row r="278" spans="1:16" ht="13.8" x14ac:dyDescent="0.25">
      <c r="A278" s="7">
        <v>273</v>
      </c>
      <c r="B278" s="35">
        <v>5.7659000000000002</v>
      </c>
      <c r="C278" s="31">
        <v>1.3116099999999999E-3</v>
      </c>
      <c r="D278" s="26">
        <v>3.3876999999999997E-2</v>
      </c>
      <c r="E278" s="13">
        <v>1193</v>
      </c>
      <c r="F278" s="13">
        <v>2591.8000000000002</v>
      </c>
      <c r="G278" s="13">
        <v>1200.5999999999999</v>
      </c>
      <c r="H278" s="13">
        <v>2787.1</v>
      </c>
      <c r="I278" s="13">
        <v>1586.5</v>
      </c>
      <c r="J278" s="35">
        <v>3.004</v>
      </c>
      <c r="K278" s="35">
        <v>5.9088000000000003</v>
      </c>
      <c r="L278" s="35">
        <v>2.9047999999999998</v>
      </c>
      <c r="N278" s="143">
        <v>1.3116099999999999E-3</v>
      </c>
      <c r="O278" s="149">
        <v>3.3876999999999997E-2</v>
      </c>
      <c r="P278" s="146">
        <v>273</v>
      </c>
    </row>
    <row r="279" spans="1:16" ht="13.8" x14ac:dyDescent="0.25">
      <c r="A279" s="7">
        <v>274</v>
      </c>
      <c r="B279" s="35">
        <v>5.8555999999999999</v>
      </c>
      <c r="C279" s="31">
        <v>1.3145500000000001E-3</v>
      </c>
      <c r="D279" s="26">
        <v>3.3316999999999999E-2</v>
      </c>
      <c r="E279" s="13">
        <v>1198</v>
      </c>
      <c r="F279" s="13">
        <v>2591</v>
      </c>
      <c r="G279" s="13">
        <v>1205.7</v>
      </c>
      <c r="H279" s="13">
        <v>2786.1</v>
      </c>
      <c r="I279" s="13">
        <v>1580.4</v>
      </c>
      <c r="J279" s="35">
        <v>3.0131999999999999</v>
      </c>
      <c r="K279" s="35">
        <v>5.9016000000000002</v>
      </c>
      <c r="L279" s="35">
        <v>2.8883999999999999</v>
      </c>
      <c r="N279" s="143">
        <v>1.3145500000000001E-3</v>
      </c>
      <c r="O279" s="149">
        <v>3.3316999999999999E-2</v>
      </c>
      <c r="P279" s="146">
        <v>274</v>
      </c>
    </row>
    <row r="280" spans="1:16" ht="13.8" x14ac:dyDescent="0.25">
      <c r="A280" s="7">
        <v>275</v>
      </c>
      <c r="B280" s="35">
        <v>5.9463999999999997</v>
      </c>
      <c r="C280" s="31">
        <v>1.31751E-3</v>
      </c>
      <c r="D280" s="26">
        <v>3.2766000000000003E-2</v>
      </c>
      <c r="E280" s="13">
        <v>1203.0999999999999</v>
      </c>
      <c r="F280" s="13">
        <v>2590.4</v>
      </c>
      <c r="G280" s="13">
        <v>1210.9000000000001</v>
      </c>
      <c r="H280" s="13">
        <v>2785.2</v>
      </c>
      <c r="I280" s="13">
        <v>1574.3</v>
      </c>
      <c r="J280" s="35">
        <v>3.0224000000000002</v>
      </c>
      <c r="K280" s="35">
        <v>5.8944000000000001</v>
      </c>
      <c r="L280" s="35">
        <v>2.8719999999999999</v>
      </c>
      <c r="N280" s="143">
        <v>1.31751E-3</v>
      </c>
      <c r="O280" s="149">
        <v>3.2766000000000003E-2</v>
      </c>
      <c r="P280" s="146">
        <v>275</v>
      </c>
    </row>
    <row r="281" spans="1:16" ht="13.8" x14ac:dyDescent="0.25">
      <c r="A281" s="7">
        <v>276</v>
      </c>
      <c r="B281" s="35">
        <v>6.0382999999999996</v>
      </c>
      <c r="C281" s="31">
        <v>1.32051E-3</v>
      </c>
      <c r="D281" s="26">
        <v>3.2224999999999997E-2</v>
      </c>
      <c r="E281" s="13">
        <v>1208.0999999999999</v>
      </c>
      <c r="F281" s="13">
        <v>2589.6</v>
      </c>
      <c r="G281" s="13">
        <v>1216.0999999999999</v>
      </c>
      <c r="H281" s="13">
        <v>2784.2</v>
      </c>
      <c r="I281" s="13">
        <v>1568.1</v>
      </c>
      <c r="J281" s="35">
        <v>3.0316000000000001</v>
      </c>
      <c r="K281" s="35">
        <v>5.8871000000000002</v>
      </c>
      <c r="L281" s="35">
        <v>2.8555000000000001</v>
      </c>
      <c r="N281" s="143">
        <v>1.32051E-3</v>
      </c>
      <c r="O281" s="149">
        <v>3.2224999999999997E-2</v>
      </c>
      <c r="P281" s="146">
        <v>276</v>
      </c>
    </row>
    <row r="282" spans="1:16" ht="13.8" x14ac:dyDescent="0.25">
      <c r="A282" s="7">
        <v>277</v>
      </c>
      <c r="B282" s="35">
        <v>6.1311999999999998</v>
      </c>
      <c r="C282" s="31">
        <v>1.32354E-3</v>
      </c>
      <c r="D282" s="26">
        <v>3.1692999999999999E-2</v>
      </c>
      <c r="E282" s="13">
        <v>1213.2</v>
      </c>
      <c r="F282" s="13">
        <v>2588.8000000000002</v>
      </c>
      <c r="G282" s="13">
        <v>1221.3</v>
      </c>
      <c r="H282" s="13">
        <v>2783.1</v>
      </c>
      <c r="I282" s="13">
        <v>1561.9</v>
      </c>
      <c r="J282" s="35">
        <v>3.0407999999999999</v>
      </c>
      <c r="K282" s="35">
        <v>5.8798000000000004</v>
      </c>
      <c r="L282" s="35">
        <v>2.839</v>
      </c>
      <c r="N282" s="143">
        <v>1.32354E-3</v>
      </c>
      <c r="O282" s="149">
        <v>3.1692999999999999E-2</v>
      </c>
      <c r="P282" s="146">
        <v>277</v>
      </c>
    </row>
    <row r="283" spans="1:16" ht="13.8" x14ac:dyDescent="0.25">
      <c r="A283" s="7">
        <v>278</v>
      </c>
      <c r="B283" s="35">
        <v>6.2252000000000001</v>
      </c>
      <c r="C283" s="31">
        <v>1.32661E-3</v>
      </c>
      <c r="D283" s="26">
        <v>3.1171000000000001E-2</v>
      </c>
      <c r="E283" s="13">
        <v>1218.0999999999999</v>
      </c>
      <c r="F283" s="13">
        <v>2588.1</v>
      </c>
      <c r="G283" s="13">
        <v>1226.4000000000001</v>
      </c>
      <c r="H283" s="13">
        <v>2782.1</v>
      </c>
      <c r="I283" s="13">
        <v>1555.6</v>
      </c>
      <c r="J283" s="35">
        <v>3.05</v>
      </c>
      <c r="K283" s="35">
        <v>5.8724999999999996</v>
      </c>
      <c r="L283" s="35">
        <v>2.8224999999999998</v>
      </c>
      <c r="N283" s="143">
        <v>1.32661E-3</v>
      </c>
      <c r="O283" s="149">
        <v>3.1171000000000001E-2</v>
      </c>
      <c r="P283" s="146">
        <v>278</v>
      </c>
    </row>
    <row r="284" spans="1:16" ht="13.8" x14ac:dyDescent="0.25">
      <c r="A284" s="7">
        <v>279</v>
      </c>
      <c r="B284" s="35">
        <v>6.3202999999999996</v>
      </c>
      <c r="C284" s="31">
        <v>1.32971E-3</v>
      </c>
      <c r="D284" s="26">
        <v>3.0657E-2</v>
      </c>
      <c r="E284" s="13">
        <v>1223.3</v>
      </c>
      <c r="F284" s="13">
        <v>2587.1999999999998</v>
      </c>
      <c r="G284" s="13">
        <v>1231.7</v>
      </c>
      <c r="H284" s="13">
        <v>2781</v>
      </c>
      <c r="I284" s="13">
        <v>1549.3</v>
      </c>
      <c r="J284" s="35">
        <v>3.0592000000000001</v>
      </c>
      <c r="K284" s="35">
        <v>5.8651999999999997</v>
      </c>
      <c r="L284" s="35">
        <v>2.806</v>
      </c>
      <c r="N284" s="143">
        <v>1.32971E-3</v>
      </c>
      <c r="O284" s="149">
        <v>3.0657E-2</v>
      </c>
      <c r="P284" s="146">
        <v>279</v>
      </c>
    </row>
    <row r="285" spans="1:16" ht="13.8" x14ac:dyDescent="0.25">
      <c r="A285" s="7">
        <v>280</v>
      </c>
      <c r="B285" s="35">
        <v>6.4165999999999999</v>
      </c>
      <c r="C285" s="31">
        <v>1.3328400000000001E-3</v>
      </c>
      <c r="D285" s="26">
        <v>3.0152999999999999E-2</v>
      </c>
      <c r="E285" s="13">
        <v>1228.3</v>
      </c>
      <c r="F285" s="13">
        <v>2586.4</v>
      </c>
      <c r="G285" s="13">
        <v>1236.9000000000001</v>
      </c>
      <c r="H285" s="13">
        <v>2779.9</v>
      </c>
      <c r="I285" s="13">
        <v>1543</v>
      </c>
      <c r="J285" s="35">
        <v>3.0684999999999998</v>
      </c>
      <c r="K285" s="35">
        <v>5.8578999999999999</v>
      </c>
      <c r="L285" s="35">
        <v>2.7894000000000001</v>
      </c>
      <c r="N285" s="143">
        <v>1.3328400000000001E-3</v>
      </c>
      <c r="O285" s="149">
        <v>3.0152999999999999E-2</v>
      </c>
      <c r="P285" s="146">
        <v>280</v>
      </c>
    </row>
    <row r="286" spans="1:16" ht="13.8" x14ac:dyDescent="0.25">
      <c r="A286" s="7">
        <v>281</v>
      </c>
      <c r="B286" s="35">
        <v>6.5138999999999996</v>
      </c>
      <c r="C286" s="31">
        <v>1.33602E-3</v>
      </c>
      <c r="D286" s="26">
        <v>2.9656999999999999E-2</v>
      </c>
      <c r="E286" s="13">
        <v>1233.4000000000001</v>
      </c>
      <c r="F286" s="13">
        <v>2585.5</v>
      </c>
      <c r="G286" s="13">
        <v>1242.0999999999999</v>
      </c>
      <c r="H286" s="13">
        <v>2778.7</v>
      </c>
      <c r="I286" s="13">
        <v>1536.6</v>
      </c>
      <c r="J286" s="35">
        <v>3.0777000000000001</v>
      </c>
      <c r="K286" s="35">
        <v>5.8506</v>
      </c>
      <c r="L286" s="35">
        <v>2.7728999999999999</v>
      </c>
      <c r="N286" s="143">
        <v>1.33602E-3</v>
      </c>
      <c r="O286" s="149">
        <v>2.9656999999999999E-2</v>
      </c>
      <c r="P286" s="146">
        <v>281</v>
      </c>
    </row>
    <row r="287" spans="1:16" ht="13.8" x14ac:dyDescent="0.25">
      <c r="A287" s="7">
        <v>282</v>
      </c>
      <c r="B287" s="35">
        <v>6.6124000000000001</v>
      </c>
      <c r="C287" s="31">
        <v>1.3392199999999999E-3</v>
      </c>
      <c r="D287" s="26">
        <v>2.9169E-2</v>
      </c>
      <c r="E287" s="13">
        <v>1238.5</v>
      </c>
      <c r="F287" s="13">
        <v>2584.6</v>
      </c>
      <c r="G287" s="13">
        <v>1247.4000000000001</v>
      </c>
      <c r="H287" s="13">
        <v>2777.5</v>
      </c>
      <c r="I287" s="13">
        <v>1530.1</v>
      </c>
      <c r="J287" s="35">
        <v>3.0869</v>
      </c>
      <c r="K287" s="35">
        <v>5.8432000000000004</v>
      </c>
      <c r="L287" s="35">
        <v>2.7563</v>
      </c>
      <c r="N287" s="143">
        <v>1.3392199999999999E-3</v>
      </c>
      <c r="O287" s="149">
        <v>2.9169E-2</v>
      </c>
      <c r="P287" s="146">
        <v>282</v>
      </c>
    </row>
    <row r="288" spans="1:16" ht="13.8" x14ac:dyDescent="0.25">
      <c r="A288" s="7">
        <v>283</v>
      </c>
      <c r="B288" s="35">
        <v>6.7119999999999997</v>
      </c>
      <c r="C288" s="31">
        <v>1.3424699999999999E-3</v>
      </c>
      <c r="D288" s="26">
        <v>2.869E-2</v>
      </c>
      <c r="E288" s="13">
        <v>1243.7</v>
      </c>
      <c r="F288" s="13">
        <v>2583.6999999999998</v>
      </c>
      <c r="G288" s="13">
        <v>1252.7</v>
      </c>
      <c r="H288" s="13">
        <v>2776.3</v>
      </c>
      <c r="I288" s="13">
        <v>1523.6</v>
      </c>
      <c r="J288" s="35">
        <v>3.0962000000000001</v>
      </c>
      <c r="K288" s="35">
        <v>5.8357999999999999</v>
      </c>
      <c r="L288" s="35">
        <v>2.7395999999999998</v>
      </c>
      <c r="N288" s="143">
        <v>1.3424699999999999E-3</v>
      </c>
      <c r="O288" s="149">
        <v>2.869E-2</v>
      </c>
      <c r="P288" s="146">
        <v>283</v>
      </c>
    </row>
    <row r="289" spans="1:16" ht="13.8" x14ac:dyDescent="0.25">
      <c r="A289" s="7">
        <v>284</v>
      </c>
      <c r="B289" s="35">
        <v>6.8128000000000002</v>
      </c>
      <c r="C289" s="31">
        <v>1.3457499999999999E-3</v>
      </c>
      <c r="D289" s="26">
        <v>2.8219000000000001E-2</v>
      </c>
      <c r="E289" s="13">
        <v>1248.7</v>
      </c>
      <c r="F289" s="13">
        <v>2582.6999999999998</v>
      </c>
      <c r="G289" s="13">
        <v>1257.9000000000001</v>
      </c>
      <c r="H289" s="13">
        <v>2775</v>
      </c>
      <c r="I289" s="13">
        <v>1517.1</v>
      </c>
      <c r="J289" s="35">
        <v>3.1053999999999999</v>
      </c>
      <c r="K289" s="35">
        <v>5.8284000000000002</v>
      </c>
      <c r="L289" s="35">
        <v>2.7229000000000001</v>
      </c>
      <c r="N289" s="143">
        <v>1.3457499999999999E-3</v>
      </c>
      <c r="O289" s="149">
        <v>2.8219000000000001E-2</v>
      </c>
      <c r="P289" s="146">
        <v>284</v>
      </c>
    </row>
    <row r="290" spans="1:16" ht="13.8" x14ac:dyDescent="0.25">
      <c r="A290" s="7">
        <v>285</v>
      </c>
      <c r="B290" s="35">
        <v>6.9146999999999998</v>
      </c>
      <c r="C290" s="31">
        <v>1.34907E-3</v>
      </c>
      <c r="D290" s="26">
        <v>2.7755999999999999E-2</v>
      </c>
      <c r="E290" s="13">
        <v>1253.9000000000001</v>
      </c>
      <c r="F290" s="13">
        <v>2581.8000000000002</v>
      </c>
      <c r="G290" s="13">
        <v>1263.2</v>
      </c>
      <c r="H290" s="13">
        <v>2773.7</v>
      </c>
      <c r="I290" s="13">
        <v>1510.5</v>
      </c>
      <c r="J290" s="35">
        <v>3.1147</v>
      </c>
      <c r="K290" s="35">
        <v>5.8209</v>
      </c>
      <c r="L290" s="35">
        <v>2.7061999999999999</v>
      </c>
      <c r="N290" s="143">
        <v>1.34907E-3</v>
      </c>
      <c r="O290" s="149">
        <v>2.7755999999999999E-2</v>
      </c>
      <c r="P290" s="146">
        <v>285</v>
      </c>
    </row>
    <row r="291" spans="1:16" ht="13.8" x14ac:dyDescent="0.25">
      <c r="A291" s="7">
        <v>286</v>
      </c>
      <c r="B291" s="35">
        <v>7.0176999999999996</v>
      </c>
      <c r="C291" s="31">
        <v>1.35243E-3</v>
      </c>
      <c r="D291" s="26">
        <v>2.7300999999999999E-2</v>
      </c>
      <c r="E291" s="13">
        <v>1259.0999999999999</v>
      </c>
      <c r="F291" s="13">
        <v>2580.8000000000002</v>
      </c>
      <c r="G291" s="13">
        <v>1268.5999999999999</v>
      </c>
      <c r="H291" s="13">
        <v>2772.4</v>
      </c>
      <c r="I291" s="13">
        <v>1503.8</v>
      </c>
      <c r="J291" s="35">
        <v>3.1240000000000001</v>
      </c>
      <c r="K291" s="35">
        <v>5.8135000000000003</v>
      </c>
      <c r="L291" s="35">
        <v>2.6894999999999998</v>
      </c>
      <c r="N291" s="143">
        <v>1.35243E-3</v>
      </c>
      <c r="O291" s="149">
        <v>2.7300999999999999E-2</v>
      </c>
      <c r="P291" s="146">
        <v>286</v>
      </c>
    </row>
    <row r="292" spans="1:16" ht="13.8" x14ac:dyDescent="0.25">
      <c r="A292" s="7">
        <v>287</v>
      </c>
      <c r="B292" s="35">
        <v>7.1219999999999999</v>
      </c>
      <c r="C292" s="31">
        <v>1.3558400000000001E-3</v>
      </c>
      <c r="D292" s="26">
        <v>2.6852999999999998E-2</v>
      </c>
      <c r="E292" s="13">
        <v>1264.2</v>
      </c>
      <c r="F292" s="13">
        <v>2579.8000000000002</v>
      </c>
      <c r="G292" s="13">
        <v>1273.9000000000001</v>
      </c>
      <c r="H292" s="13">
        <v>2771</v>
      </c>
      <c r="I292" s="13">
        <v>1497.1</v>
      </c>
      <c r="J292" s="35">
        <v>3.1333000000000002</v>
      </c>
      <c r="K292" s="35">
        <v>5.806</v>
      </c>
      <c r="L292" s="35">
        <v>2.6726999999999999</v>
      </c>
      <c r="N292" s="143">
        <v>1.3558400000000001E-3</v>
      </c>
      <c r="O292" s="149">
        <v>2.6852999999999998E-2</v>
      </c>
      <c r="P292" s="146">
        <v>287</v>
      </c>
    </row>
    <row r="293" spans="1:16" ht="13.8" x14ac:dyDescent="0.25">
      <c r="A293" s="7">
        <v>288</v>
      </c>
      <c r="B293" s="35">
        <v>7.2274000000000003</v>
      </c>
      <c r="C293" s="31">
        <v>1.35928E-3</v>
      </c>
      <c r="D293" s="26">
        <v>2.6412999999999999E-2</v>
      </c>
      <c r="E293" s="13">
        <v>1269.5</v>
      </c>
      <c r="F293" s="13">
        <v>2578.6999999999998</v>
      </c>
      <c r="G293" s="13">
        <v>1279.3</v>
      </c>
      <c r="H293" s="13">
        <v>2769.6</v>
      </c>
      <c r="I293" s="13">
        <v>1490.4</v>
      </c>
      <c r="J293" s="35">
        <v>3.1425999999999998</v>
      </c>
      <c r="K293" s="35">
        <v>5.7984999999999998</v>
      </c>
      <c r="L293" s="35">
        <v>2.6558999999999999</v>
      </c>
      <c r="N293" s="143">
        <v>1.35928E-3</v>
      </c>
      <c r="O293" s="149">
        <v>2.6412999999999999E-2</v>
      </c>
      <c r="P293" s="146">
        <v>288</v>
      </c>
    </row>
    <row r="294" spans="1:16" ht="13.8" x14ac:dyDescent="0.25">
      <c r="A294" s="7">
        <v>289</v>
      </c>
      <c r="B294" s="35">
        <v>7.3339999999999996</v>
      </c>
      <c r="C294" s="31">
        <v>1.3627699999999999E-3</v>
      </c>
      <c r="D294" s="26">
        <v>2.5981000000000001E-2</v>
      </c>
      <c r="E294" s="13">
        <v>1274.5999999999999</v>
      </c>
      <c r="F294" s="13">
        <v>2577.6999999999998</v>
      </c>
      <c r="G294" s="13">
        <v>1284.5999999999999</v>
      </c>
      <c r="H294" s="13">
        <v>2768.2</v>
      </c>
      <c r="I294" s="13">
        <v>1483.5</v>
      </c>
      <c r="J294" s="35">
        <v>3.1518999999999999</v>
      </c>
      <c r="K294" s="35">
        <v>5.7908999999999997</v>
      </c>
      <c r="L294" s="35">
        <v>2.6389999999999998</v>
      </c>
      <c r="N294" s="143">
        <v>1.3627699999999999E-3</v>
      </c>
      <c r="O294" s="149">
        <v>2.5981000000000001E-2</v>
      </c>
      <c r="P294" s="146">
        <v>289</v>
      </c>
    </row>
    <row r="295" spans="1:16" ht="13.8" x14ac:dyDescent="0.25">
      <c r="A295" s="7">
        <v>290</v>
      </c>
      <c r="B295" s="35">
        <v>7.4417999999999997</v>
      </c>
      <c r="C295" s="31">
        <v>1.3663E-3</v>
      </c>
      <c r="D295" s="26">
        <v>2.5555000000000001E-2</v>
      </c>
      <c r="E295" s="13">
        <v>1279.8</v>
      </c>
      <c r="F295" s="13">
        <v>2576.5</v>
      </c>
      <c r="G295" s="13">
        <v>1290</v>
      </c>
      <c r="H295" s="13">
        <v>2766.7</v>
      </c>
      <c r="I295" s="13">
        <v>1476.7</v>
      </c>
      <c r="J295" s="35">
        <v>3.1612</v>
      </c>
      <c r="K295" s="35">
        <v>5.7834000000000003</v>
      </c>
      <c r="L295" s="35">
        <v>2.6221999999999999</v>
      </c>
      <c r="N295" s="143">
        <v>1.3663E-3</v>
      </c>
      <c r="O295" s="149">
        <v>2.5555000000000001E-2</v>
      </c>
      <c r="P295" s="146">
        <v>290</v>
      </c>
    </row>
    <row r="296" spans="1:16" ht="13.8" x14ac:dyDescent="0.25">
      <c r="A296" s="7">
        <v>291</v>
      </c>
      <c r="B296" s="35">
        <v>7.5507999999999997</v>
      </c>
      <c r="C296" s="31">
        <v>1.36987E-3</v>
      </c>
      <c r="D296" s="26">
        <v>2.5135999999999999E-2</v>
      </c>
      <c r="E296" s="13">
        <v>1285.0999999999999</v>
      </c>
      <c r="F296" s="13">
        <v>2575.4</v>
      </c>
      <c r="G296" s="13">
        <v>1295.4000000000001</v>
      </c>
      <c r="H296" s="13">
        <v>2765.2</v>
      </c>
      <c r="I296" s="13">
        <v>1469.7</v>
      </c>
      <c r="J296" s="35">
        <v>3.1705000000000001</v>
      </c>
      <c r="K296" s="35">
        <v>5.7758000000000003</v>
      </c>
      <c r="L296" s="35">
        <v>2.6052</v>
      </c>
      <c r="N296" s="143">
        <v>1.36987E-3</v>
      </c>
      <c r="O296" s="149">
        <v>2.5135999999999999E-2</v>
      </c>
      <c r="P296" s="146">
        <v>291</v>
      </c>
    </row>
    <row r="297" spans="1:16" ht="13.8" x14ac:dyDescent="0.25">
      <c r="A297" s="7">
        <v>292</v>
      </c>
      <c r="B297" s="35">
        <v>7.6609999999999996</v>
      </c>
      <c r="C297" s="31">
        <v>1.37349E-3</v>
      </c>
      <c r="D297" s="26">
        <v>2.4723999999999999E-2</v>
      </c>
      <c r="E297" s="13">
        <v>1290.4000000000001</v>
      </c>
      <c r="F297" s="13">
        <v>2574.1999999999998</v>
      </c>
      <c r="G297" s="13">
        <v>1300.9000000000001</v>
      </c>
      <c r="H297" s="13">
        <v>2763.6</v>
      </c>
      <c r="I297" s="13">
        <v>1462.7</v>
      </c>
      <c r="J297" s="35">
        <v>3.1798999999999999</v>
      </c>
      <c r="K297" s="35">
        <v>5.7680999999999996</v>
      </c>
      <c r="L297" s="35">
        <v>2.5882999999999998</v>
      </c>
      <c r="N297" s="143">
        <v>1.37349E-3</v>
      </c>
      <c r="O297" s="149">
        <v>2.4723999999999999E-2</v>
      </c>
      <c r="P297" s="146">
        <v>292</v>
      </c>
    </row>
    <row r="298" spans="1:16" ht="13.8" x14ac:dyDescent="0.25">
      <c r="A298" s="7">
        <v>293</v>
      </c>
      <c r="B298" s="35">
        <v>7.7725</v>
      </c>
      <c r="C298" s="31">
        <v>1.3771600000000001E-3</v>
      </c>
      <c r="D298" s="26">
        <v>2.4319E-2</v>
      </c>
      <c r="E298" s="13">
        <v>1295.5999999999999</v>
      </c>
      <c r="F298" s="13">
        <v>2573</v>
      </c>
      <c r="G298" s="13">
        <v>1306.3</v>
      </c>
      <c r="H298" s="13">
        <v>2762</v>
      </c>
      <c r="I298" s="13">
        <v>1455.7</v>
      </c>
      <c r="J298" s="35">
        <v>3.1892</v>
      </c>
      <c r="K298" s="35">
        <v>5.7605000000000004</v>
      </c>
      <c r="L298" s="35">
        <v>2.5712000000000002</v>
      </c>
      <c r="N298" s="143">
        <v>1.3771600000000001E-3</v>
      </c>
      <c r="O298" s="149">
        <v>2.4319E-2</v>
      </c>
      <c r="P298" s="146">
        <v>293</v>
      </c>
    </row>
    <row r="299" spans="1:16" ht="13.8" x14ac:dyDescent="0.25">
      <c r="A299" s="7">
        <v>294</v>
      </c>
      <c r="B299" s="35">
        <v>7.8852000000000002</v>
      </c>
      <c r="C299" s="31">
        <v>1.38087E-3</v>
      </c>
      <c r="D299" s="26">
        <v>2.3921000000000001E-2</v>
      </c>
      <c r="E299" s="13">
        <v>1300.9000000000001</v>
      </c>
      <c r="F299" s="13">
        <v>2571.8000000000002</v>
      </c>
      <c r="G299" s="13">
        <v>1311.8</v>
      </c>
      <c r="H299" s="13">
        <v>2760.4</v>
      </c>
      <c r="I299" s="13">
        <v>1448.6</v>
      </c>
      <c r="J299" s="35">
        <v>3.1985999999999999</v>
      </c>
      <c r="K299" s="35">
        <v>5.7527999999999997</v>
      </c>
      <c r="L299" s="35">
        <v>2.5541999999999998</v>
      </c>
      <c r="N299" s="143">
        <v>1.38087E-3</v>
      </c>
      <c r="O299" s="149">
        <v>2.3921000000000001E-2</v>
      </c>
      <c r="P299" s="146">
        <v>294</v>
      </c>
    </row>
    <row r="300" spans="1:16" ht="13.8" x14ac:dyDescent="0.25">
      <c r="A300" s="7">
        <v>295</v>
      </c>
      <c r="B300" s="35">
        <v>7.9991000000000003</v>
      </c>
      <c r="C300" s="31">
        <v>1.3846399999999999E-3</v>
      </c>
      <c r="D300" s="26">
        <v>2.3529000000000001E-2</v>
      </c>
      <c r="E300" s="13">
        <v>1306.2</v>
      </c>
      <c r="F300" s="13">
        <v>2570.5</v>
      </c>
      <c r="G300" s="13">
        <v>1317.3</v>
      </c>
      <c r="H300" s="13">
        <v>2758.7</v>
      </c>
      <c r="I300" s="13">
        <v>1441.4</v>
      </c>
      <c r="J300" s="35">
        <v>3.2080000000000002</v>
      </c>
      <c r="K300" s="35">
        <v>5.7450999999999999</v>
      </c>
      <c r="L300" s="35">
        <v>2.5371000000000001</v>
      </c>
      <c r="N300" s="143">
        <v>1.3846399999999999E-3</v>
      </c>
      <c r="O300" s="149">
        <v>2.3529000000000001E-2</v>
      </c>
      <c r="P300" s="146">
        <v>295</v>
      </c>
    </row>
    <row r="301" spans="1:16" ht="13.8" x14ac:dyDescent="0.25">
      <c r="A301" s="7">
        <v>296</v>
      </c>
      <c r="B301" s="35">
        <v>8.1143000000000001</v>
      </c>
      <c r="C301" s="31">
        <v>1.3884500000000001E-3</v>
      </c>
      <c r="D301" s="26">
        <v>2.3143E-2</v>
      </c>
      <c r="E301" s="13">
        <v>1311.5</v>
      </c>
      <c r="F301" s="13">
        <v>2569.1999999999998</v>
      </c>
      <c r="G301" s="13">
        <v>1322.8</v>
      </c>
      <c r="H301" s="13">
        <v>2757</v>
      </c>
      <c r="I301" s="13">
        <v>1434.2</v>
      </c>
      <c r="J301" s="35">
        <v>3.2174</v>
      </c>
      <c r="K301" s="35">
        <v>5.7373000000000003</v>
      </c>
      <c r="L301" s="35">
        <v>2.5198999999999998</v>
      </c>
      <c r="N301" s="143">
        <v>1.3884500000000001E-3</v>
      </c>
      <c r="O301" s="149">
        <v>2.3143E-2</v>
      </c>
      <c r="P301" s="146">
        <v>296</v>
      </c>
    </row>
    <row r="302" spans="1:16" ht="13.8" x14ac:dyDescent="0.25">
      <c r="A302" s="7">
        <v>297</v>
      </c>
      <c r="B302" s="35">
        <v>8.2308000000000003</v>
      </c>
      <c r="C302" s="31">
        <v>1.3923099999999999E-3</v>
      </c>
      <c r="D302" s="26">
        <v>2.2762999999999999E-2</v>
      </c>
      <c r="E302" s="13">
        <v>1316.8</v>
      </c>
      <c r="F302" s="13">
        <v>2567.8000000000002</v>
      </c>
      <c r="G302" s="13">
        <v>1328.3</v>
      </c>
      <c r="H302" s="13">
        <v>2755.2</v>
      </c>
      <c r="I302" s="13">
        <v>1426.9</v>
      </c>
      <c r="J302" s="35">
        <v>3.2267999999999999</v>
      </c>
      <c r="K302" s="35">
        <v>5.7294999999999998</v>
      </c>
      <c r="L302" s="35">
        <v>2.5026999999999999</v>
      </c>
      <c r="N302" s="143">
        <v>1.3923099999999999E-3</v>
      </c>
      <c r="O302" s="149">
        <v>2.2762999999999999E-2</v>
      </c>
      <c r="P302" s="146">
        <v>297</v>
      </c>
    </row>
    <row r="303" spans="1:16" ht="13.8" x14ac:dyDescent="0.25">
      <c r="A303" s="7">
        <v>298</v>
      </c>
      <c r="B303" s="35">
        <v>8.3484999999999996</v>
      </c>
      <c r="C303" s="31">
        <v>1.39623E-3</v>
      </c>
      <c r="D303" s="26">
        <v>2.239E-2</v>
      </c>
      <c r="E303" s="13">
        <v>1322.1</v>
      </c>
      <c r="F303" s="13">
        <v>2566.5</v>
      </c>
      <c r="G303" s="13">
        <v>1333.8</v>
      </c>
      <c r="H303" s="13">
        <v>2753.4</v>
      </c>
      <c r="I303" s="13">
        <v>1419.5</v>
      </c>
      <c r="J303" s="35">
        <v>3.2362000000000002</v>
      </c>
      <c r="K303" s="35">
        <v>5.7217000000000002</v>
      </c>
      <c r="L303" s="35">
        <v>2.4853999999999998</v>
      </c>
      <c r="N303" s="143">
        <v>1.39623E-3</v>
      </c>
      <c r="O303" s="149">
        <v>2.239E-2</v>
      </c>
      <c r="P303" s="146">
        <v>298</v>
      </c>
    </row>
    <row r="304" spans="1:16" ht="13.8" x14ac:dyDescent="0.25">
      <c r="A304" s="7">
        <v>299</v>
      </c>
      <c r="B304" s="35">
        <v>8.4675999999999991</v>
      </c>
      <c r="C304" s="31">
        <v>1.4002000000000001E-3</v>
      </c>
      <c r="D304" s="26">
        <v>2.2022E-2</v>
      </c>
      <c r="E304" s="13">
        <v>1327.5</v>
      </c>
      <c r="F304" s="13">
        <v>2565</v>
      </c>
      <c r="G304" s="13">
        <v>1339.4</v>
      </c>
      <c r="H304" s="13">
        <v>2751.5</v>
      </c>
      <c r="I304" s="13">
        <v>1412.1</v>
      </c>
      <c r="J304" s="35">
        <v>3.2456999999999998</v>
      </c>
      <c r="K304" s="35">
        <v>5.7138</v>
      </c>
      <c r="L304" s="35">
        <v>2.4681000000000002</v>
      </c>
      <c r="N304" s="143">
        <v>1.4002000000000001E-3</v>
      </c>
      <c r="O304" s="149">
        <v>2.2022E-2</v>
      </c>
      <c r="P304" s="146">
        <v>299</v>
      </c>
    </row>
    <row r="305" spans="1:16" ht="13.8" x14ac:dyDescent="0.25">
      <c r="A305" s="7">
        <v>300</v>
      </c>
      <c r="B305" s="35">
        <v>8.5878999999999994</v>
      </c>
      <c r="C305" s="31">
        <v>1.40423E-3</v>
      </c>
      <c r="D305" s="26">
        <v>2.1659999999999999E-2</v>
      </c>
      <c r="E305" s="13">
        <v>1332.9</v>
      </c>
      <c r="F305" s="13">
        <v>2563.6</v>
      </c>
      <c r="G305" s="13">
        <v>1345</v>
      </c>
      <c r="H305" s="13">
        <v>2749.6</v>
      </c>
      <c r="I305" s="13">
        <v>1404.6</v>
      </c>
      <c r="J305" s="35">
        <v>3.2551999999999999</v>
      </c>
      <c r="K305" s="35">
        <v>5.7058999999999997</v>
      </c>
      <c r="L305" s="35">
        <v>2.4506999999999999</v>
      </c>
      <c r="N305" s="143">
        <v>1.40423E-3</v>
      </c>
      <c r="O305" s="149">
        <v>2.1659999999999999E-2</v>
      </c>
      <c r="P305" s="146">
        <v>300</v>
      </c>
    </row>
    <row r="306" spans="1:16" ht="13.8" x14ac:dyDescent="0.25">
      <c r="A306" s="7">
        <v>301</v>
      </c>
      <c r="B306" s="35">
        <v>8.7095000000000002</v>
      </c>
      <c r="C306" s="31">
        <v>1.4083100000000001E-3</v>
      </c>
      <c r="D306" s="26">
        <v>2.1304E-2</v>
      </c>
      <c r="E306" s="13">
        <v>1338.3</v>
      </c>
      <c r="F306" s="13">
        <v>2562.1999999999998</v>
      </c>
      <c r="G306" s="13">
        <v>1350.6</v>
      </c>
      <c r="H306" s="13">
        <v>2747.7</v>
      </c>
      <c r="I306" s="13">
        <v>1397.1</v>
      </c>
      <c r="J306" s="35">
        <v>3.2646999999999999</v>
      </c>
      <c r="K306" s="35">
        <v>5.6978999999999997</v>
      </c>
      <c r="L306" s="35">
        <v>2.4333</v>
      </c>
      <c r="N306" s="143">
        <v>1.4083100000000001E-3</v>
      </c>
      <c r="O306" s="149">
        <v>2.1304E-2</v>
      </c>
      <c r="P306" s="146">
        <v>301</v>
      </c>
    </row>
    <row r="307" spans="1:16" ht="13.8" x14ac:dyDescent="0.25">
      <c r="A307" s="7">
        <v>302</v>
      </c>
      <c r="B307" s="35">
        <v>8.8324999999999996</v>
      </c>
      <c r="C307" s="31">
        <v>1.41245E-3</v>
      </c>
      <c r="D307" s="26">
        <v>2.0952999999999999E-2</v>
      </c>
      <c r="E307" s="13">
        <v>1343.8</v>
      </c>
      <c r="F307" s="13">
        <v>2560.6</v>
      </c>
      <c r="G307" s="13">
        <v>1356.3</v>
      </c>
      <c r="H307" s="13">
        <v>2745.7</v>
      </c>
      <c r="I307" s="13">
        <v>1389.4</v>
      </c>
      <c r="J307" s="35">
        <v>3.2742</v>
      </c>
      <c r="K307" s="35">
        <v>5.6898999999999997</v>
      </c>
      <c r="L307" s="35">
        <v>2.4157999999999999</v>
      </c>
      <c r="N307" s="143">
        <v>1.41245E-3</v>
      </c>
      <c r="O307" s="149">
        <v>2.0952999999999999E-2</v>
      </c>
      <c r="P307" s="146">
        <v>302</v>
      </c>
    </row>
    <row r="308" spans="1:16" ht="13.8" x14ac:dyDescent="0.25">
      <c r="A308" s="7">
        <v>303</v>
      </c>
      <c r="B308" s="35">
        <v>8.9567999999999994</v>
      </c>
      <c r="C308" s="31">
        <v>1.41665E-3</v>
      </c>
      <c r="D308" s="26">
        <v>2.0608000000000001E-2</v>
      </c>
      <c r="E308" s="13">
        <v>1349.2</v>
      </c>
      <c r="F308" s="13">
        <v>2559.1</v>
      </c>
      <c r="G308" s="13">
        <v>1361.9</v>
      </c>
      <c r="H308" s="13">
        <v>2743.7</v>
      </c>
      <c r="I308" s="13">
        <v>1381.7</v>
      </c>
      <c r="J308" s="35">
        <v>3.2837000000000001</v>
      </c>
      <c r="K308" s="35">
        <v>5.6818999999999997</v>
      </c>
      <c r="L308" s="35">
        <v>2.3982000000000001</v>
      </c>
      <c r="N308" s="143">
        <v>1.41665E-3</v>
      </c>
      <c r="O308" s="149">
        <v>2.0608000000000001E-2</v>
      </c>
      <c r="P308" s="146">
        <v>303</v>
      </c>
    </row>
    <row r="309" spans="1:16" ht="13.8" x14ac:dyDescent="0.25">
      <c r="A309" s="7">
        <v>304</v>
      </c>
      <c r="B309" s="35">
        <v>9.0823999999999998</v>
      </c>
      <c r="C309" s="31">
        <v>1.4209100000000001E-3</v>
      </c>
      <c r="D309" s="26">
        <v>2.0268000000000001E-2</v>
      </c>
      <c r="E309" s="13">
        <v>1354.7</v>
      </c>
      <c r="F309" s="13">
        <v>2557.5</v>
      </c>
      <c r="G309" s="13">
        <v>1367.6</v>
      </c>
      <c r="H309" s="13">
        <v>2741.6</v>
      </c>
      <c r="I309" s="13">
        <v>1374</v>
      </c>
      <c r="J309" s="35">
        <v>3.2932000000000001</v>
      </c>
      <c r="K309" s="35">
        <v>5.6738</v>
      </c>
      <c r="L309" s="35">
        <v>2.3805999999999998</v>
      </c>
      <c r="N309" s="143">
        <v>1.4209100000000001E-3</v>
      </c>
      <c r="O309" s="149">
        <v>2.0268000000000001E-2</v>
      </c>
      <c r="P309" s="146">
        <v>304</v>
      </c>
    </row>
    <row r="310" spans="1:16" ht="13.8" x14ac:dyDescent="0.25">
      <c r="A310" s="7">
        <v>305</v>
      </c>
      <c r="B310" s="35">
        <v>9.2094000000000005</v>
      </c>
      <c r="C310" s="31">
        <v>1.4252399999999999E-3</v>
      </c>
      <c r="D310" s="26">
        <v>1.9932999999999999E-2</v>
      </c>
      <c r="E310" s="13">
        <v>1360.2</v>
      </c>
      <c r="F310" s="13">
        <v>2555.8000000000002</v>
      </c>
      <c r="G310" s="13">
        <v>1373.3</v>
      </c>
      <c r="H310" s="13">
        <v>2739.4</v>
      </c>
      <c r="I310" s="13">
        <v>1366.1</v>
      </c>
      <c r="J310" s="35">
        <v>3.3028</v>
      </c>
      <c r="K310" s="35">
        <v>5.6657000000000002</v>
      </c>
      <c r="L310" s="35">
        <v>2.3628999999999998</v>
      </c>
      <c r="N310" s="143">
        <v>1.4252399999999999E-3</v>
      </c>
      <c r="O310" s="149">
        <v>1.9932999999999999E-2</v>
      </c>
      <c r="P310" s="146">
        <v>305</v>
      </c>
    </row>
    <row r="311" spans="1:16" ht="13.8" x14ac:dyDescent="0.25">
      <c r="A311" s="7">
        <v>306</v>
      </c>
      <c r="B311" s="35">
        <v>9.3377999999999997</v>
      </c>
      <c r="C311" s="31">
        <v>1.4296300000000001E-3</v>
      </c>
      <c r="D311" s="26">
        <v>1.9604E-2</v>
      </c>
      <c r="E311" s="13">
        <v>1365.7</v>
      </c>
      <c r="F311" s="13">
        <v>2554.1</v>
      </c>
      <c r="G311" s="13">
        <v>1379</v>
      </c>
      <c r="H311" s="13">
        <v>2737.2</v>
      </c>
      <c r="I311" s="13">
        <v>1358.2</v>
      </c>
      <c r="J311" s="35">
        <v>3.3123999999999998</v>
      </c>
      <c r="K311" s="35">
        <v>5.6574999999999998</v>
      </c>
      <c r="L311" s="35">
        <v>2.3452000000000002</v>
      </c>
      <c r="N311" s="143">
        <v>1.4296300000000001E-3</v>
      </c>
      <c r="O311" s="149">
        <v>1.9604E-2</v>
      </c>
      <c r="P311" s="146">
        <v>306</v>
      </c>
    </row>
    <row r="312" spans="1:16" ht="13.8" x14ac:dyDescent="0.25">
      <c r="A312" s="7">
        <v>307</v>
      </c>
      <c r="B312" s="35">
        <v>9.4674999999999994</v>
      </c>
      <c r="C312" s="31">
        <v>1.4340799999999999E-3</v>
      </c>
      <c r="D312" s="26">
        <v>1.9279000000000001E-2</v>
      </c>
      <c r="E312" s="13">
        <v>1371.2</v>
      </c>
      <c r="F312" s="13">
        <v>2552.5</v>
      </c>
      <c r="G312" s="13">
        <v>1384.8</v>
      </c>
      <c r="H312" s="13">
        <v>2735</v>
      </c>
      <c r="I312" s="13">
        <v>1350.2</v>
      </c>
      <c r="J312" s="35">
        <v>3.3220000000000001</v>
      </c>
      <c r="K312" s="35">
        <v>5.6493000000000002</v>
      </c>
      <c r="L312" s="35">
        <v>2.3273000000000001</v>
      </c>
      <c r="N312" s="143">
        <v>1.4340799999999999E-3</v>
      </c>
      <c r="O312" s="149">
        <v>1.9279000000000001E-2</v>
      </c>
      <c r="P312" s="146">
        <v>307</v>
      </c>
    </row>
    <row r="313" spans="1:16" ht="13.8" x14ac:dyDescent="0.25">
      <c r="A313" s="7">
        <v>308</v>
      </c>
      <c r="B313" s="35">
        <v>9.5985999999999994</v>
      </c>
      <c r="C313" s="31">
        <v>1.4386100000000001E-3</v>
      </c>
      <c r="D313" s="26">
        <v>1.8960000000000001E-2</v>
      </c>
      <c r="E313" s="13">
        <v>1376.8</v>
      </c>
      <c r="F313" s="13">
        <v>2550.6999999999998</v>
      </c>
      <c r="G313" s="13">
        <v>1390.6</v>
      </c>
      <c r="H313" s="13">
        <v>2732.7</v>
      </c>
      <c r="I313" s="13">
        <v>1342.1</v>
      </c>
      <c r="J313" s="35">
        <v>3.3315999999999999</v>
      </c>
      <c r="K313" s="35">
        <v>5.6410999999999998</v>
      </c>
      <c r="L313" s="35">
        <v>2.3094000000000001</v>
      </c>
      <c r="N313" s="143">
        <v>1.4386100000000001E-3</v>
      </c>
      <c r="O313" s="149">
        <v>1.8960000000000001E-2</v>
      </c>
      <c r="P313" s="146">
        <v>308</v>
      </c>
    </row>
    <row r="314" spans="1:16" ht="13.8" x14ac:dyDescent="0.25">
      <c r="A314" s="7">
        <v>309</v>
      </c>
      <c r="B314" s="35">
        <v>9.7310999999999996</v>
      </c>
      <c r="C314" s="31">
        <v>1.4432E-3</v>
      </c>
      <c r="D314" s="26">
        <v>1.8644999999999998E-2</v>
      </c>
      <c r="E314" s="13">
        <v>1382.4</v>
      </c>
      <c r="F314" s="13">
        <v>2549</v>
      </c>
      <c r="G314" s="13">
        <v>1396.4</v>
      </c>
      <c r="H314" s="13">
        <v>2730.4</v>
      </c>
      <c r="I314" s="13">
        <v>1334</v>
      </c>
      <c r="J314" s="35">
        <v>3.3412999999999999</v>
      </c>
      <c r="K314" s="35">
        <v>5.6326999999999998</v>
      </c>
      <c r="L314" s="35">
        <v>2.2915000000000001</v>
      </c>
      <c r="N314" s="143">
        <v>1.4432E-3</v>
      </c>
      <c r="O314" s="149">
        <v>1.8644999999999998E-2</v>
      </c>
      <c r="P314" s="146">
        <v>309</v>
      </c>
    </row>
    <row r="315" spans="1:16" ht="13.8" x14ac:dyDescent="0.25">
      <c r="A315" s="7">
        <v>310</v>
      </c>
      <c r="B315" s="35">
        <v>9.8651</v>
      </c>
      <c r="C315" s="31">
        <v>1.44787E-3</v>
      </c>
      <c r="D315" s="26">
        <v>1.8335000000000001E-2</v>
      </c>
      <c r="E315" s="13">
        <v>1387.9</v>
      </c>
      <c r="F315" s="13">
        <v>2547</v>
      </c>
      <c r="G315" s="13">
        <v>1402.2</v>
      </c>
      <c r="H315" s="13">
        <v>2727.9</v>
      </c>
      <c r="I315" s="13">
        <v>1325.7</v>
      </c>
      <c r="J315" s="35">
        <v>3.351</v>
      </c>
      <c r="K315" s="35">
        <v>5.6243999999999996</v>
      </c>
      <c r="L315" s="35">
        <v>2.2734000000000001</v>
      </c>
      <c r="N315" s="143">
        <v>1.44787E-3</v>
      </c>
      <c r="O315" s="149">
        <v>1.8335000000000001E-2</v>
      </c>
      <c r="P315" s="146">
        <v>310</v>
      </c>
    </row>
    <row r="316" spans="1:16" ht="13.8" x14ac:dyDescent="0.25">
      <c r="A316" s="7">
        <v>311</v>
      </c>
      <c r="B316" s="34">
        <v>10</v>
      </c>
      <c r="C316" s="31">
        <v>1.45261E-3</v>
      </c>
      <c r="D316" s="26">
        <v>1.8029E-2</v>
      </c>
      <c r="E316" s="13">
        <v>1393.6</v>
      </c>
      <c r="F316" s="13">
        <v>2545.1999999999998</v>
      </c>
      <c r="G316" s="13">
        <v>1408.1</v>
      </c>
      <c r="H316" s="13">
        <v>2725.5</v>
      </c>
      <c r="I316" s="13">
        <v>1317.4</v>
      </c>
      <c r="J316" s="35">
        <v>3.3607</v>
      </c>
      <c r="K316" s="35">
        <v>5.6158999999999999</v>
      </c>
      <c r="L316" s="35">
        <v>2.2553000000000001</v>
      </c>
      <c r="N316" s="143">
        <v>1.45261E-3</v>
      </c>
      <c r="O316" s="149">
        <v>1.8029E-2</v>
      </c>
      <c r="P316" s="146">
        <v>311</v>
      </c>
    </row>
    <row r="317" spans="1:16" ht="13.8" x14ac:dyDescent="0.25">
      <c r="A317" s="7">
        <v>312</v>
      </c>
      <c r="B317" s="34">
        <v>10.137</v>
      </c>
      <c r="C317" s="31">
        <v>1.45743E-3</v>
      </c>
      <c r="D317" s="26">
        <v>1.7728000000000001E-2</v>
      </c>
      <c r="E317" s="13">
        <v>1399.2</v>
      </c>
      <c r="F317" s="13">
        <v>2543.3000000000002</v>
      </c>
      <c r="G317" s="13">
        <v>1414</v>
      </c>
      <c r="H317" s="13">
        <v>2723</v>
      </c>
      <c r="I317" s="13">
        <v>1309</v>
      </c>
      <c r="J317" s="35">
        <v>3.3704000000000001</v>
      </c>
      <c r="K317" s="35">
        <v>5.6074000000000002</v>
      </c>
      <c r="L317" s="35">
        <v>2.2370000000000001</v>
      </c>
      <c r="N317" s="143">
        <v>1.45743E-3</v>
      </c>
      <c r="O317" s="149">
        <v>1.7728000000000001E-2</v>
      </c>
      <c r="P317" s="146">
        <v>312</v>
      </c>
    </row>
    <row r="318" spans="1:16" ht="13.8" x14ac:dyDescent="0.25">
      <c r="A318" s="7">
        <v>313</v>
      </c>
      <c r="B318" s="34">
        <v>10.275</v>
      </c>
      <c r="C318" s="31">
        <v>1.46232E-3</v>
      </c>
      <c r="D318" s="26">
        <v>1.7430999999999999E-2</v>
      </c>
      <c r="E318" s="13">
        <v>1404.9</v>
      </c>
      <c r="F318" s="13">
        <v>2541.3000000000002</v>
      </c>
      <c r="G318" s="13">
        <v>1419.9</v>
      </c>
      <c r="H318" s="13">
        <v>2720.4</v>
      </c>
      <c r="I318" s="13">
        <v>1300.5</v>
      </c>
      <c r="J318" s="35">
        <v>3.3801999999999999</v>
      </c>
      <c r="K318" s="35">
        <v>5.5989000000000004</v>
      </c>
      <c r="L318" s="35">
        <v>2.2187000000000001</v>
      </c>
      <c r="N318" s="143">
        <v>1.46232E-3</v>
      </c>
      <c r="O318" s="149">
        <v>1.7430999999999999E-2</v>
      </c>
      <c r="P318" s="146">
        <v>313</v>
      </c>
    </row>
    <row r="319" spans="1:16" ht="13.8" x14ac:dyDescent="0.25">
      <c r="A319" s="7">
        <v>314</v>
      </c>
      <c r="B319" s="34">
        <v>10.414999999999999</v>
      </c>
      <c r="C319" s="31">
        <v>1.4672999999999999E-3</v>
      </c>
      <c r="D319" s="26">
        <v>1.7139000000000001E-2</v>
      </c>
      <c r="E319" s="13">
        <v>1410.5</v>
      </c>
      <c r="F319" s="13">
        <v>2539.3000000000002</v>
      </c>
      <c r="G319" s="13">
        <v>1425.8</v>
      </c>
      <c r="H319" s="13">
        <v>2717.8</v>
      </c>
      <c r="I319" s="13">
        <v>1291.9000000000001</v>
      </c>
      <c r="J319" s="35">
        <v>3.39</v>
      </c>
      <c r="K319" s="35">
        <v>5.5903</v>
      </c>
      <c r="L319" s="35">
        <v>2.2002999999999999</v>
      </c>
      <c r="N319" s="143">
        <v>1.4672999999999999E-3</v>
      </c>
      <c r="O319" s="149">
        <v>1.7139000000000001E-2</v>
      </c>
      <c r="P319" s="146">
        <v>314</v>
      </c>
    </row>
    <row r="320" spans="1:16" ht="13.8" x14ac:dyDescent="0.25">
      <c r="A320" s="7">
        <v>315</v>
      </c>
      <c r="B320" s="34">
        <v>10.555999999999999</v>
      </c>
      <c r="C320" s="31">
        <v>1.47236E-3</v>
      </c>
      <c r="D320" s="26">
        <v>1.6851000000000001E-2</v>
      </c>
      <c r="E320" s="13">
        <v>1416.3</v>
      </c>
      <c r="F320" s="13">
        <v>2537.1999999999998</v>
      </c>
      <c r="G320" s="13">
        <v>1431.8</v>
      </c>
      <c r="H320" s="13">
        <v>2715.1</v>
      </c>
      <c r="I320" s="13">
        <v>1283.2</v>
      </c>
      <c r="J320" s="35">
        <v>3.3997999999999999</v>
      </c>
      <c r="K320" s="35">
        <v>5.5815999999999999</v>
      </c>
      <c r="L320" s="35">
        <v>2.1818</v>
      </c>
      <c r="N320" s="143">
        <v>1.47236E-3</v>
      </c>
      <c r="O320" s="149">
        <v>1.6851000000000001E-2</v>
      </c>
      <c r="P320" s="146">
        <v>315</v>
      </c>
    </row>
    <row r="321" spans="1:16" ht="13.8" x14ac:dyDescent="0.25">
      <c r="A321" s="7">
        <v>316</v>
      </c>
      <c r="B321" s="34">
        <v>10.699</v>
      </c>
      <c r="C321" s="31">
        <v>1.47751E-3</v>
      </c>
      <c r="D321" s="26">
        <v>1.6566999999999998E-2</v>
      </c>
      <c r="E321" s="13">
        <v>1422</v>
      </c>
      <c r="F321" s="13">
        <v>2535</v>
      </c>
      <c r="G321" s="13">
        <v>1437.8</v>
      </c>
      <c r="H321" s="13">
        <v>2712.3</v>
      </c>
      <c r="I321" s="13">
        <v>1274.5</v>
      </c>
      <c r="J321" s="35">
        <v>3.4097</v>
      </c>
      <c r="K321" s="35">
        <v>5.5728999999999997</v>
      </c>
      <c r="L321" s="35">
        <v>2.1631999999999998</v>
      </c>
      <c r="N321" s="143">
        <v>1.47751E-3</v>
      </c>
      <c r="O321" s="149">
        <v>1.6566999999999998E-2</v>
      </c>
      <c r="P321" s="146">
        <v>316</v>
      </c>
    </row>
    <row r="322" spans="1:16" ht="13.8" x14ac:dyDescent="0.25">
      <c r="A322" s="7">
        <v>317</v>
      </c>
      <c r="B322" s="34">
        <v>10.843</v>
      </c>
      <c r="C322" s="31">
        <v>1.4827499999999999E-3</v>
      </c>
      <c r="D322" s="26">
        <v>1.6286999999999999E-2</v>
      </c>
      <c r="E322" s="13">
        <v>1427.8</v>
      </c>
      <c r="F322" s="13">
        <v>2532.9</v>
      </c>
      <c r="G322" s="13">
        <v>1443.9</v>
      </c>
      <c r="H322" s="13">
        <v>2709.5</v>
      </c>
      <c r="I322" s="13">
        <v>1265.5999999999999</v>
      </c>
      <c r="J322" s="35">
        <v>3.4195000000000002</v>
      </c>
      <c r="K322" s="35">
        <v>5.5640999999999998</v>
      </c>
      <c r="L322" s="35">
        <v>2.1444999999999999</v>
      </c>
      <c r="N322" s="143">
        <v>1.4827499999999999E-3</v>
      </c>
      <c r="O322" s="149">
        <v>1.6286999999999999E-2</v>
      </c>
      <c r="P322" s="146">
        <v>317</v>
      </c>
    </row>
    <row r="323" spans="1:16" ht="13.8" x14ac:dyDescent="0.25">
      <c r="A323" s="7">
        <v>318</v>
      </c>
      <c r="B323" s="34">
        <v>10.989000000000001</v>
      </c>
      <c r="C323" s="31">
        <v>1.4880900000000001E-3</v>
      </c>
      <c r="D323" s="26">
        <v>1.6011000000000001E-2</v>
      </c>
      <c r="E323" s="13">
        <v>1433.6</v>
      </c>
      <c r="F323" s="13">
        <v>2530.6999999999998</v>
      </c>
      <c r="G323" s="13">
        <v>1450</v>
      </c>
      <c r="H323" s="13">
        <v>2706.6</v>
      </c>
      <c r="I323" s="13">
        <v>1256.5999999999999</v>
      </c>
      <c r="J323" s="35">
        <v>3.4295</v>
      </c>
      <c r="K323" s="35">
        <v>5.5552000000000001</v>
      </c>
      <c r="L323" s="35">
        <v>2.1257000000000001</v>
      </c>
      <c r="N323" s="143">
        <v>1.4880900000000001E-3</v>
      </c>
      <c r="O323" s="149">
        <v>1.6011000000000001E-2</v>
      </c>
      <c r="P323" s="146">
        <v>318</v>
      </c>
    </row>
    <row r="324" spans="1:16" ht="13.8" x14ac:dyDescent="0.25">
      <c r="A324" s="7">
        <v>319</v>
      </c>
      <c r="B324" s="34">
        <v>11.135999999999999</v>
      </c>
      <c r="C324" s="31">
        <v>1.49351E-3</v>
      </c>
      <c r="D324" s="26">
        <v>1.5739E-2</v>
      </c>
      <c r="E324" s="13">
        <v>1439.5</v>
      </c>
      <c r="F324" s="13">
        <v>2528.3000000000002</v>
      </c>
      <c r="G324" s="13">
        <v>1456.1</v>
      </c>
      <c r="H324" s="13">
        <v>2703.6</v>
      </c>
      <c r="I324" s="13">
        <v>1247.5</v>
      </c>
      <c r="J324" s="35">
        <v>3.4394</v>
      </c>
      <c r="K324" s="35">
        <v>5.5461999999999998</v>
      </c>
      <c r="L324" s="35">
        <v>2.1067999999999998</v>
      </c>
      <c r="N324" s="143">
        <v>1.49351E-3</v>
      </c>
      <c r="O324" s="149">
        <v>1.5739E-2</v>
      </c>
      <c r="P324" s="146">
        <v>319</v>
      </c>
    </row>
    <row r="325" spans="1:16" ht="13.8" x14ac:dyDescent="0.25">
      <c r="A325" s="7">
        <v>320</v>
      </c>
      <c r="B325" s="34">
        <v>11.284000000000001</v>
      </c>
      <c r="C325" s="31">
        <v>1.4990400000000001E-3</v>
      </c>
      <c r="D325" s="26">
        <v>1.5471E-2</v>
      </c>
      <c r="E325" s="13">
        <v>1445.3</v>
      </c>
      <c r="F325" s="13">
        <v>2526</v>
      </c>
      <c r="G325" s="13">
        <v>1462.2</v>
      </c>
      <c r="H325" s="13">
        <v>2700.6</v>
      </c>
      <c r="I325" s="13">
        <v>1238.4000000000001</v>
      </c>
      <c r="J325" s="35">
        <v>3.4493999999999998</v>
      </c>
      <c r="K325" s="35">
        <v>5.5372000000000003</v>
      </c>
      <c r="L325" s="35">
        <v>2.0878000000000001</v>
      </c>
      <c r="N325" s="143">
        <v>1.4990400000000001E-3</v>
      </c>
      <c r="O325" s="149">
        <v>1.5471E-2</v>
      </c>
      <c r="P325" s="146">
        <v>320</v>
      </c>
    </row>
    <row r="326" spans="1:16" ht="13.8" x14ac:dyDescent="0.25">
      <c r="A326" s="7">
        <v>321</v>
      </c>
      <c r="B326" s="34">
        <v>11.433999999999999</v>
      </c>
      <c r="C326" s="31">
        <v>1.5046700000000001E-3</v>
      </c>
      <c r="D326" s="26">
        <v>1.5206000000000001E-2</v>
      </c>
      <c r="E326" s="13">
        <v>1451.2</v>
      </c>
      <c r="F326" s="13">
        <v>2523.6</v>
      </c>
      <c r="G326" s="13">
        <v>1468.4</v>
      </c>
      <c r="H326" s="13">
        <v>2697.5</v>
      </c>
      <c r="I326" s="13">
        <v>1229.0999999999999</v>
      </c>
      <c r="J326" s="35">
        <v>3.4594999999999998</v>
      </c>
      <c r="K326" s="35">
        <v>5.5281000000000002</v>
      </c>
      <c r="L326" s="35">
        <v>2.0686</v>
      </c>
      <c r="N326" s="143">
        <v>1.5046700000000001E-3</v>
      </c>
      <c r="O326" s="149">
        <v>1.5206000000000001E-2</v>
      </c>
      <c r="P326" s="146">
        <v>321</v>
      </c>
    </row>
    <row r="327" spans="1:16" ht="13.8" x14ac:dyDescent="0.25">
      <c r="A327" s="7">
        <v>322</v>
      </c>
      <c r="B327" s="34">
        <v>11.586</v>
      </c>
      <c r="C327" s="31">
        <v>1.5104000000000001E-3</v>
      </c>
      <c r="D327" s="26">
        <v>1.4945E-2</v>
      </c>
      <c r="E327" s="13">
        <v>1457.1</v>
      </c>
      <c r="F327" s="13">
        <v>2521.1</v>
      </c>
      <c r="G327" s="13">
        <v>1474.6</v>
      </c>
      <c r="H327" s="13">
        <v>2694.3</v>
      </c>
      <c r="I327" s="13">
        <v>1219.7</v>
      </c>
      <c r="J327" s="35">
        <v>3.4695</v>
      </c>
      <c r="K327" s="35">
        <v>5.5189000000000004</v>
      </c>
      <c r="L327" s="35">
        <v>2.0493999999999999</v>
      </c>
      <c r="N327" s="143">
        <v>1.5104000000000001E-3</v>
      </c>
      <c r="O327" s="149">
        <v>1.4945E-2</v>
      </c>
      <c r="P327" s="146">
        <v>322</v>
      </c>
    </row>
    <row r="328" spans="1:16" ht="13.8" x14ac:dyDescent="0.25">
      <c r="A328" s="7">
        <v>323</v>
      </c>
      <c r="B328" s="34">
        <v>11.74</v>
      </c>
      <c r="C328" s="31">
        <v>1.51625E-3</v>
      </c>
      <c r="D328" s="26">
        <v>1.4688E-2</v>
      </c>
      <c r="E328" s="13">
        <v>1463.1</v>
      </c>
      <c r="F328" s="13">
        <v>2518.6999999999998</v>
      </c>
      <c r="G328" s="13">
        <v>1480.9</v>
      </c>
      <c r="H328" s="13">
        <v>2691.1</v>
      </c>
      <c r="I328" s="13">
        <v>1210.2</v>
      </c>
      <c r="J328" s="35">
        <v>3.4796999999999998</v>
      </c>
      <c r="K328" s="35">
        <v>5.5095999999999998</v>
      </c>
      <c r="L328" s="35">
        <v>2.0299999999999998</v>
      </c>
      <c r="N328" s="143">
        <v>1.51625E-3</v>
      </c>
      <c r="O328" s="149">
        <v>1.4688E-2</v>
      </c>
      <c r="P328" s="146">
        <v>323</v>
      </c>
    </row>
    <row r="329" spans="1:16" ht="13.8" x14ac:dyDescent="0.25">
      <c r="A329" s="7">
        <v>324</v>
      </c>
      <c r="B329" s="34">
        <v>11.895</v>
      </c>
      <c r="C329" s="31">
        <v>1.52221E-3</v>
      </c>
      <c r="D329" s="26">
        <v>1.4434000000000001E-2</v>
      </c>
      <c r="E329" s="13">
        <v>1469.1</v>
      </c>
      <c r="F329" s="13">
        <v>2516</v>
      </c>
      <c r="G329" s="13">
        <v>1487.2</v>
      </c>
      <c r="H329" s="13">
        <v>2687.7</v>
      </c>
      <c r="I329" s="13">
        <v>1200.5999999999999</v>
      </c>
      <c r="J329" s="35">
        <v>3.4897999999999998</v>
      </c>
      <c r="K329" s="35">
        <v>5.5003000000000002</v>
      </c>
      <c r="L329" s="35">
        <v>2.0105</v>
      </c>
      <c r="N329" s="143">
        <v>1.52221E-3</v>
      </c>
      <c r="O329" s="149">
        <v>1.4434000000000001E-2</v>
      </c>
      <c r="P329" s="146">
        <v>324</v>
      </c>
    </row>
    <row r="330" spans="1:16" ht="13.8" x14ac:dyDescent="0.25">
      <c r="A330" s="7">
        <v>325</v>
      </c>
      <c r="B330" s="34">
        <v>12.051</v>
      </c>
      <c r="C330" s="31">
        <v>1.5282900000000001E-3</v>
      </c>
      <c r="D330" s="26">
        <v>1.4182999999999999E-2</v>
      </c>
      <c r="E330" s="13">
        <v>1475.1</v>
      </c>
      <c r="F330" s="13">
        <v>2513.4</v>
      </c>
      <c r="G330" s="13">
        <v>1493.5</v>
      </c>
      <c r="H330" s="13">
        <v>2684.3</v>
      </c>
      <c r="I330" s="13">
        <v>1190.8</v>
      </c>
      <c r="J330" s="35">
        <v>3.5</v>
      </c>
      <c r="K330" s="35">
        <v>5.4908000000000001</v>
      </c>
      <c r="L330" s="35">
        <v>1.9907999999999999</v>
      </c>
      <c r="N330" s="143">
        <v>1.5282900000000001E-3</v>
      </c>
      <c r="O330" s="149">
        <v>1.4182999999999999E-2</v>
      </c>
      <c r="P330" s="146">
        <v>325</v>
      </c>
    </row>
    <row r="331" spans="1:16" ht="13.8" x14ac:dyDescent="0.25">
      <c r="A331" s="7">
        <v>326</v>
      </c>
      <c r="B331" s="34">
        <v>12.209</v>
      </c>
      <c r="C331" s="31">
        <v>1.5344899999999999E-3</v>
      </c>
      <c r="D331" s="26">
        <v>1.3936E-2</v>
      </c>
      <c r="E331" s="13">
        <v>1481.2</v>
      </c>
      <c r="F331" s="13">
        <v>2510.6999999999998</v>
      </c>
      <c r="G331" s="13">
        <v>1499.9</v>
      </c>
      <c r="H331" s="13">
        <v>2680.8</v>
      </c>
      <c r="I331" s="13">
        <v>1180.9000000000001</v>
      </c>
      <c r="J331" s="35">
        <v>3.5103</v>
      </c>
      <c r="K331" s="35">
        <v>5.4813000000000001</v>
      </c>
      <c r="L331" s="35">
        <v>1.9710000000000001</v>
      </c>
      <c r="N331" s="143">
        <v>1.5344899999999999E-3</v>
      </c>
      <c r="O331" s="149">
        <v>1.3936E-2</v>
      </c>
      <c r="P331" s="146">
        <v>326</v>
      </c>
    </row>
    <row r="332" spans="1:16" ht="13.8" x14ac:dyDescent="0.25">
      <c r="A332" s="7">
        <v>327</v>
      </c>
      <c r="B332" s="34">
        <v>12.369</v>
      </c>
      <c r="C332" s="31">
        <v>1.5408100000000001E-3</v>
      </c>
      <c r="D332" s="26">
        <v>1.3691999999999999E-2</v>
      </c>
      <c r="E332" s="13">
        <v>1487.2</v>
      </c>
      <c r="F332" s="13">
        <v>2507.9</v>
      </c>
      <c r="G332" s="13">
        <v>1506.3</v>
      </c>
      <c r="H332" s="13">
        <v>2677.3</v>
      </c>
      <c r="I332" s="13">
        <v>1170.9000000000001</v>
      </c>
      <c r="J332" s="35">
        <v>3.5206</v>
      </c>
      <c r="K332" s="35">
        <v>5.4717000000000002</v>
      </c>
      <c r="L332" s="35">
        <v>1.9511000000000001</v>
      </c>
      <c r="N332" s="143">
        <v>1.5408100000000001E-3</v>
      </c>
      <c r="O332" s="149">
        <v>1.3691999999999999E-2</v>
      </c>
      <c r="P332" s="146">
        <v>327</v>
      </c>
    </row>
    <row r="333" spans="1:16" ht="13.8" x14ac:dyDescent="0.25">
      <c r="A333" s="7">
        <v>328</v>
      </c>
      <c r="B333" s="34">
        <v>12.53</v>
      </c>
      <c r="C333" s="31">
        <v>1.5472699999999999E-3</v>
      </c>
      <c r="D333" s="26">
        <v>1.3450999999999999E-2</v>
      </c>
      <c r="E333" s="13">
        <v>1493.4</v>
      </c>
      <c r="F333" s="13">
        <v>2505.1</v>
      </c>
      <c r="G333" s="13">
        <v>1512.8</v>
      </c>
      <c r="H333" s="13">
        <v>2673.6</v>
      </c>
      <c r="I333" s="13">
        <v>1160.8</v>
      </c>
      <c r="J333" s="35">
        <v>3.5308999999999999</v>
      </c>
      <c r="K333" s="35">
        <v>5.4619</v>
      </c>
      <c r="L333" s="35">
        <v>1.931</v>
      </c>
      <c r="N333" s="143">
        <v>1.5472699999999999E-3</v>
      </c>
      <c r="O333" s="149">
        <v>1.3450999999999999E-2</v>
      </c>
      <c r="P333" s="146">
        <v>328</v>
      </c>
    </row>
    <row r="334" spans="1:16" ht="13.8" x14ac:dyDescent="0.25">
      <c r="A334" s="7">
        <v>329</v>
      </c>
      <c r="B334" s="34">
        <v>12.693</v>
      </c>
      <c r="C334" s="31">
        <v>1.5538699999999999E-3</v>
      </c>
      <c r="D334" s="26">
        <v>1.3213000000000001E-2</v>
      </c>
      <c r="E334" s="13">
        <v>1499.6</v>
      </c>
      <c r="F334" s="13">
        <v>2502.1999999999998</v>
      </c>
      <c r="G334" s="13">
        <v>1519.3</v>
      </c>
      <c r="H334" s="13">
        <v>2669.9</v>
      </c>
      <c r="I334" s="13">
        <v>1150.5999999999999</v>
      </c>
      <c r="J334" s="35">
        <v>3.5413000000000001</v>
      </c>
      <c r="K334" s="35">
        <v>5.4520999999999997</v>
      </c>
      <c r="L334" s="35">
        <v>1.9108000000000001</v>
      </c>
      <c r="N334" s="143">
        <v>1.5538699999999999E-3</v>
      </c>
      <c r="O334" s="149">
        <v>1.3213000000000001E-2</v>
      </c>
      <c r="P334" s="146">
        <v>329</v>
      </c>
    </row>
    <row r="335" spans="1:16" ht="13.8" x14ac:dyDescent="0.25">
      <c r="A335" s="7">
        <v>330</v>
      </c>
      <c r="B335" s="34">
        <v>12.858000000000001</v>
      </c>
      <c r="C335" s="31">
        <v>1.56061E-3</v>
      </c>
      <c r="D335" s="26">
        <v>1.2978999999999999E-2</v>
      </c>
      <c r="E335" s="13">
        <v>1505.8</v>
      </c>
      <c r="F335" s="13">
        <v>2499.1</v>
      </c>
      <c r="G335" s="13">
        <v>1525.9</v>
      </c>
      <c r="H335" s="13">
        <v>2666</v>
      </c>
      <c r="I335" s="13">
        <v>1140.2</v>
      </c>
      <c r="J335" s="35">
        <v>3.5518000000000001</v>
      </c>
      <c r="K335" s="35">
        <v>5.4421999999999997</v>
      </c>
      <c r="L335" s="35">
        <v>1.8903000000000001</v>
      </c>
      <c r="N335" s="143">
        <v>1.56061E-3</v>
      </c>
      <c r="O335" s="149">
        <v>1.2978999999999999E-2</v>
      </c>
      <c r="P335" s="146">
        <v>330</v>
      </c>
    </row>
    <row r="336" spans="1:16" ht="13.8" x14ac:dyDescent="0.25">
      <c r="A336" s="7">
        <v>331</v>
      </c>
      <c r="B336" s="34">
        <v>13.023999999999999</v>
      </c>
      <c r="C336" s="31">
        <v>1.56751E-3</v>
      </c>
      <c r="D336" s="26">
        <v>1.2747E-2</v>
      </c>
      <c r="E336" s="13">
        <v>1512.1</v>
      </c>
      <c r="F336" s="13">
        <v>2496.1</v>
      </c>
      <c r="G336" s="13">
        <v>1532.5</v>
      </c>
      <c r="H336" s="13">
        <v>2662.1</v>
      </c>
      <c r="I336" s="13">
        <v>1129.5999999999999</v>
      </c>
      <c r="J336" s="35">
        <v>3.5623</v>
      </c>
      <c r="K336" s="35">
        <v>5.4321000000000002</v>
      </c>
      <c r="L336" s="35">
        <v>1.8697999999999999</v>
      </c>
      <c r="N336" s="143">
        <v>1.56751E-3</v>
      </c>
      <c r="O336" s="149">
        <v>1.2747E-2</v>
      </c>
      <c r="P336" s="146">
        <v>331</v>
      </c>
    </row>
    <row r="337" spans="1:16" ht="13.8" x14ac:dyDescent="0.25">
      <c r="A337" s="7">
        <v>332</v>
      </c>
      <c r="B337" s="34">
        <v>13.193</v>
      </c>
      <c r="C337" s="31">
        <v>1.57456E-3</v>
      </c>
      <c r="D337" s="26">
        <v>1.2518E-2</v>
      </c>
      <c r="E337" s="13">
        <v>1518.3</v>
      </c>
      <c r="F337" s="13">
        <v>2493</v>
      </c>
      <c r="G337" s="13">
        <v>1539.1</v>
      </c>
      <c r="H337" s="13">
        <v>2658.1</v>
      </c>
      <c r="I337" s="13">
        <v>1118.9000000000001</v>
      </c>
      <c r="J337" s="35">
        <v>3.5729000000000002</v>
      </c>
      <c r="K337" s="35">
        <v>5.4218999999999999</v>
      </c>
      <c r="L337" s="35">
        <v>1.849</v>
      </c>
      <c r="N337" s="143">
        <v>1.57456E-3</v>
      </c>
      <c r="O337" s="149">
        <v>1.2518E-2</v>
      </c>
      <c r="P337" s="146">
        <v>332</v>
      </c>
    </row>
    <row r="338" spans="1:16" ht="13.8" x14ac:dyDescent="0.25">
      <c r="A338" s="7">
        <v>333</v>
      </c>
      <c r="B338" s="34">
        <v>13.362</v>
      </c>
      <c r="C338" s="31">
        <v>1.5817699999999999E-3</v>
      </c>
      <c r="D338" s="26">
        <v>1.2292000000000001E-2</v>
      </c>
      <c r="E338" s="13">
        <v>1524.8</v>
      </c>
      <c r="F338" s="13">
        <v>2489.6999999999998</v>
      </c>
      <c r="G338" s="13">
        <v>1545.9</v>
      </c>
      <c r="H338" s="13">
        <v>2653.9</v>
      </c>
      <c r="I338" s="13">
        <v>1108.0999999999999</v>
      </c>
      <c r="J338" s="35">
        <v>3.5834999999999999</v>
      </c>
      <c r="K338" s="35">
        <v>5.4116</v>
      </c>
      <c r="L338" s="35">
        <v>1.8281000000000001</v>
      </c>
      <c r="N338" s="143">
        <v>1.5817699999999999E-3</v>
      </c>
      <c r="O338" s="149">
        <v>1.2292000000000001E-2</v>
      </c>
      <c r="P338" s="146">
        <v>333</v>
      </c>
    </row>
    <row r="339" spans="1:16" ht="13.8" x14ac:dyDescent="0.25">
      <c r="A339" s="7">
        <v>334</v>
      </c>
      <c r="B339" s="34">
        <v>13.534000000000001</v>
      </c>
      <c r="C339" s="31">
        <v>1.5891499999999999E-3</v>
      </c>
      <c r="D339" s="26">
        <v>1.2068000000000001E-2</v>
      </c>
      <c r="E339" s="13">
        <v>1531.1</v>
      </c>
      <c r="F339" s="13">
        <v>2486.4</v>
      </c>
      <c r="G339" s="13">
        <v>1552.6</v>
      </c>
      <c r="H339" s="13">
        <v>2649.7</v>
      </c>
      <c r="I339" s="13">
        <v>1097.0999999999999</v>
      </c>
      <c r="J339" s="35">
        <v>3.5943000000000001</v>
      </c>
      <c r="K339" s="35">
        <v>5.4012000000000002</v>
      </c>
      <c r="L339" s="35">
        <v>1.8069</v>
      </c>
      <c r="N339" s="143">
        <v>1.5891499999999999E-3</v>
      </c>
      <c r="O339" s="149">
        <v>1.2068000000000001E-2</v>
      </c>
      <c r="P339" s="146">
        <v>334</v>
      </c>
    </row>
    <row r="340" spans="1:16" ht="13.8" x14ac:dyDescent="0.25">
      <c r="A340" s="7">
        <v>335</v>
      </c>
      <c r="B340" s="34">
        <v>13.707000000000001</v>
      </c>
      <c r="C340" s="31">
        <v>1.5967100000000001E-3</v>
      </c>
      <c r="D340" s="26">
        <v>1.1847E-2</v>
      </c>
      <c r="E340" s="13">
        <v>1537.6</v>
      </c>
      <c r="F340" s="13">
        <v>2483</v>
      </c>
      <c r="G340" s="13">
        <v>1559.5</v>
      </c>
      <c r="H340" s="13">
        <v>2645.4</v>
      </c>
      <c r="I340" s="13">
        <v>1085.9000000000001</v>
      </c>
      <c r="J340" s="35">
        <v>3.605</v>
      </c>
      <c r="K340" s="35">
        <v>5.3906000000000001</v>
      </c>
      <c r="L340" s="35">
        <v>1.7856000000000001</v>
      </c>
      <c r="N340" s="143">
        <v>1.5967100000000001E-3</v>
      </c>
      <c r="O340" s="149">
        <v>1.1847E-2</v>
      </c>
      <c r="P340" s="146">
        <v>335</v>
      </c>
    </row>
    <row r="341" spans="1:16" ht="13.8" x14ac:dyDescent="0.25">
      <c r="A341" s="7">
        <v>336</v>
      </c>
      <c r="B341" s="34">
        <v>13.882</v>
      </c>
      <c r="C341" s="31">
        <v>1.60447E-3</v>
      </c>
      <c r="D341" s="26">
        <v>1.1629E-2</v>
      </c>
      <c r="E341" s="13">
        <v>1544</v>
      </c>
      <c r="F341" s="13">
        <v>2479.5</v>
      </c>
      <c r="G341" s="13">
        <v>1566.3</v>
      </c>
      <c r="H341" s="13">
        <v>2640.9</v>
      </c>
      <c r="I341" s="13">
        <v>1074.5999999999999</v>
      </c>
      <c r="J341" s="35">
        <v>3.6158999999999999</v>
      </c>
      <c r="K341" s="35">
        <v>5.3799000000000001</v>
      </c>
      <c r="L341" s="35">
        <v>1.764</v>
      </c>
      <c r="N341" s="143">
        <v>1.60447E-3</v>
      </c>
      <c r="O341" s="149">
        <v>1.1629E-2</v>
      </c>
      <c r="P341" s="146">
        <v>336</v>
      </c>
    </row>
    <row r="342" spans="1:16" ht="13.8" x14ac:dyDescent="0.25">
      <c r="A342" s="7">
        <v>337</v>
      </c>
      <c r="B342" s="34">
        <v>14.058999999999999</v>
      </c>
      <c r="C342" s="31">
        <v>1.6124100000000001E-3</v>
      </c>
      <c r="D342" s="26">
        <v>1.1413E-2</v>
      </c>
      <c r="E342" s="13">
        <v>1550.6</v>
      </c>
      <c r="F342" s="13">
        <v>2475.8000000000002</v>
      </c>
      <c r="G342" s="13">
        <v>1573.3</v>
      </c>
      <c r="H342" s="13">
        <v>2636.3</v>
      </c>
      <c r="I342" s="13">
        <v>1063</v>
      </c>
      <c r="J342" s="35">
        <v>3.6267999999999998</v>
      </c>
      <c r="K342" s="35">
        <v>5.3691000000000004</v>
      </c>
      <c r="L342" s="35">
        <v>1.7422</v>
      </c>
      <c r="N342" s="143">
        <v>1.6124100000000001E-3</v>
      </c>
      <c r="O342" s="149">
        <v>1.1413E-2</v>
      </c>
      <c r="P342" s="146">
        <v>337</v>
      </c>
    </row>
    <row r="343" spans="1:16" ht="13.8" x14ac:dyDescent="0.25">
      <c r="A343" s="7">
        <v>338</v>
      </c>
      <c r="B343" s="34">
        <v>14.238</v>
      </c>
      <c r="C343" s="31">
        <v>1.62057E-3</v>
      </c>
      <c r="D343" s="26">
        <v>1.12E-2</v>
      </c>
      <c r="E343" s="13">
        <v>1557.2</v>
      </c>
      <c r="F343" s="13">
        <v>2472.1</v>
      </c>
      <c r="G343" s="13">
        <v>1580.3</v>
      </c>
      <c r="H343" s="13">
        <v>2631.6</v>
      </c>
      <c r="I343" s="13">
        <v>1051.3</v>
      </c>
      <c r="J343" s="35">
        <v>3.6377999999999999</v>
      </c>
      <c r="K343" s="35">
        <v>5.3581000000000003</v>
      </c>
      <c r="L343" s="35">
        <v>1.7202</v>
      </c>
      <c r="N343" s="143">
        <v>1.62057E-3</v>
      </c>
      <c r="O343" s="149">
        <v>1.12E-2</v>
      </c>
      <c r="P343" s="146">
        <v>338</v>
      </c>
    </row>
    <row r="344" spans="1:16" ht="13.8" x14ac:dyDescent="0.25">
      <c r="A344" s="7">
        <v>339</v>
      </c>
      <c r="B344" s="34">
        <v>14.417999999999999</v>
      </c>
      <c r="C344" s="31">
        <v>1.6289500000000001E-3</v>
      </c>
      <c r="D344" s="26">
        <v>1.0989000000000001E-2</v>
      </c>
      <c r="E344" s="13">
        <v>1563.9</v>
      </c>
      <c r="F344" s="13">
        <v>2468.4</v>
      </c>
      <c r="G344" s="13">
        <v>1587.4</v>
      </c>
      <c r="H344" s="13">
        <v>2626.8</v>
      </c>
      <c r="I344" s="13">
        <v>1039.4000000000001</v>
      </c>
      <c r="J344" s="35">
        <v>3.6488999999999998</v>
      </c>
      <c r="K344" s="35">
        <v>5.3468999999999998</v>
      </c>
      <c r="L344" s="35">
        <v>1.698</v>
      </c>
      <c r="N344" s="143">
        <v>1.6289500000000001E-3</v>
      </c>
      <c r="O344" s="149">
        <v>1.0989000000000001E-2</v>
      </c>
      <c r="P344" s="146">
        <v>339</v>
      </c>
    </row>
    <row r="345" spans="1:16" ht="13.8" x14ac:dyDescent="0.25">
      <c r="A345" s="7">
        <v>340</v>
      </c>
      <c r="B345" s="34">
        <v>14.601000000000001</v>
      </c>
      <c r="C345" s="31">
        <v>1.63755E-3</v>
      </c>
      <c r="D345" s="26">
        <v>1.0781000000000001E-2</v>
      </c>
      <c r="E345" s="13">
        <v>1570.6</v>
      </c>
      <c r="F345" s="13">
        <v>2464.4</v>
      </c>
      <c r="G345" s="13">
        <v>1594.5</v>
      </c>
      <c r="H345" s="13">
        <v>2621.8</v>
      </c>
      <c r="I345" s="13">
        <v>1027.3</v>
      </c>
      <c r="J345" s="35">
        <v>3.6600999999999999</v>
      </c>
      <c r="K345" s="35">
        <v>5.3356000000000003</v>
      </c>
      <c r="L345" s="35">
        <v>1.6755</v>
      </c>
      <c r="N345" s="143">
        <v>1.63755E-3</v>
      </c>
      <c r="O345" s="149">
        <v>1.0781000000000001E-2</v>
      </c>
      <c r="P345" s="146">
        <v>340</v>
      </c>
    </row>
    <row r="346" spans="1:16" ht="13.8" x14ac:dyDescent="0.25">
      <c r="A346" s="7">
        <v>341</v>
      </c>
      <c r="B346" s="34">
        <v>14.785</v>
      </c>
      <c r="C346" s="31">
        <v>1.6463999999999999E-3</v>
      </c>
      <c r="D346" s="26">
        <v>1.0574E-2</v>
      </c>
      <c r="E346" s="13">
        <v>1577.5</v>
      </c>
      <c r="F346" s="13">
        <v>2460.5</v>
      </c>
      <c r="G346" s="13">
        <v>1601.8</v>
      </c>
      <c r="H346" s="13">
        <v>2616.8000000000002</v>
      </c>
      <c r="I346" s="13">
        <v>1015</v>
      </c>
      <c r="J346" s="35">
        <v>3.6714000000000002</v>
      </c>
      <c r="K346" s="35">
        <v>5.3240999999999996</v>
      </c>
      <c r="L346" s="35">
        <v>1.6527000000000001</v>
      </c>
      <c r="N346" s="143">
        <v>1.6463999999999999E-3</v>
      </c>
      <c r="O346" s="149">
        <v>1.0574E-2</v>
      </c>
      <c r="P346" s="146">
        <v>341</v>
      </c>
    </row>
    <row r="347" spans="1:16" ht="13.8" x14ac:dyDescent="0.25">
      <c r="A347" s="7">
        <v>342</v>
      </c>
      <c r="B347" s="34">
        <v>14.971</v>
      </c>
      <c r="C347" s="31">
        <v>1.65551E-3</v>
      </c>
      <c r="D347" s="26">
        <v>1.0370000000000001E-2</v>
      </c>
      <c r="E347" s="13">
        <v>1584.3</v>
      </c>
      <c r="F347" s="13">
        <v>2456.3000000000002</v>
      </c>
      <c r="G347" s="13">
        <v>1609.1</v>
      </c>
      <c r="H347" s="13">
        <v>2611.5</v>
      </c>
      <c r="I347" s="13">
        <v>1002.5</v>
      </c>
      <c r="J347" s="35">
        <v>3.6827999999999999</v>
      </c>
      <c r="K347" s="35">
        <v>5.3124000000000002</v>
      </c>
      <c r="L347" s="35">
        <v>1.6295999999999999</v>
      </c>
      <c r="N347" s="143">
        <v>1.65551E-3</v>
      </c>
      <c r="O347" s="149">
        <v>1.0370000000000001E-2</v>
      </c>
      <c r="P347" s="146">
        <v>342</v>
      </c>
    </row>
    <row r="348" spans="1:16" ht="13.8" x14ac:dyDescent="0.25">
      <c r="A348" s="7">
        <v>343</v>
      </c>
      <c r="B348" s="34">
        <v>15.159000000000001</v>
      </c>
      <c r="C348" s="31">
        <v>1.6649E-3</v>
      </c>
      <c r="D348" s="26">
        <v>1.0168E-2</v>
      </c>
      <c r="E348" s="13">
        <v>1591.2</v>
      </c>
      <c r="F348" s="13">
        <v>2452</v>
      </c>
      <c r="G348" s="13">
        <v>1616.4</v>
      </c>
      <c r="H348" s="13">
        <v>2606.1</v>
      </c>
      <c r="I348" s="13">
        <v>989.7</v>
      </c>
      <c r="J348" s="35">
        <v>3.6943000000000001</v>
      </c>
      <c r="K348" s="35">
        <v>5.3005000000000004</v>
      </c>
      <c r="L348" s="35">
        <v>1.6063000000000001</v>
      </c>
      <c r="N348" s="143">
        <v>1.6649E-3</v>
      </c>
      <c r="O348" s="149">
        <v>1.0168E-2</v>
      </c>
      <c r="P348" s="146">
        <v>343</v>
      </c>
    </row>
    <row r="349" spans="1:16" ht="13.8" x14ac:dyDescent="0.25">
      <c r="A349" s="7">
        <v>344</v>
      </c>
      <c r="B349" s="34">
        <v>15.349</v>
      </c>
      <c r="C349" s="31">
        <v>1.67457E-3</v>
      </c>
      <c r="D349" s="12">
        <v>9.9673999999999995E-3</v>
      </c>
      <c r="E349" s="13">
        <v>1598.2</v>
      </c>
      <c r="F349" s="13">
        <v>2447.6</v>
      </c>
      <c r="G349" s="13">
        <v>1623.9</v>
      </c>
      <c r="H349" s="13">
        <v>2600.6</v>
      </c>
      <c r="I349" s="13">
        <v>976.7</v>
      </c>
      <c r="J349" s="35">
        <v>3.7059000000000002</v>
      </c>
      <c r="K349" s="35">
        <v>5.2885</v>
      </c>
      <c r="L349" s="35">
        <v>1.5826</v>
      </c>
      <c r="N349" s="143">
        <v>1.67457E-3</v>
      </c>
      <c r="O349" s="150">
        <v>9.9673999999999995E-3</v>
      </c>
      <c r="P349" s="146">
        <v>344</v>
      </c>
    </row>
    <row r="350" spans="1:16" ht="13.8" x14ac:dyDescent="0.25">
      <c r="A350" s="7">
        <v>345</v>
      </c>
      <c r="B350" s="34">
        <v>15.541</v>
      </c>
      <c r="C350" s="31">
        <v>1.6845600000000001E-3</v>
      </c>
      <c r="D350" s="12">
        <v>9.7689999999999999E-3</v>
      </c>
      <c r="E350" s="13">
        <v>1605.3</v>
      </c>
      <c r="F350" s="13">
        <v>2443.1</v>
      </c>
      <c r="G350" s="13">
        <v>1631.5</v>
      </c>
      <c r="H350" s="13">
        <v>2594.9</v>
      </c>
      <c r="I350" s="13">
        <v>963.4</v>
      </c>
      <c r="J350" s="35">
        <v>3.7176</v>
      </c>
      <c r="K350" s="35">
        <v>5.2762000000000002</v>
      </c>
      <c r="L350" s="35">
        <v>1.5586</v>
      </c>
      <c r="N350" s="143">
        <v>1.6845600000000001E-3</v>
      </c>
      <c r="O350" s="150">
        <v>9.7689999999999999E-3</v>
      </c>
      <c r="P350" s="146">
        <v>345</v>
      </c>
    </row>
    <row r="351" spans="1:16" ht="13.8" x14ac:dyDescent="0.25">
      <c r="A351" s="7">
        <v>346</v>
      </c>
      <c r="B351" s="34">
        <v>15.734</v>
      </c>
      <c r="C351" s="31">
        <v>1.69488E-3</v>
      </c>
      <c r="D351" s="12">
        <v>9.5724E-3</v>
      </c>
      <c r="E351" s="13">
        <v>1612.4</v>
      </c>
      <c r="F351" s="13">
        <v>2438.4</v>
      </c>
      <c r="G351" s="13">
        <v>1639.1</v>
      </c>
      <c r="H351" s="13">
        <v>2589</v>
      </c>
      <c r="I351" s="13">
        <v>949.9</v>
      </c>
      <c r="J351" s="35">
        <v>3.7294999999999998</v>
      </c>
      <c r="K351" s="35">
        <v>5.2636000000000003</v>
      </c>
      <c r="L351" s="35">
        <v>1.5342</v>
      </c>
      <c r="N351" s="143">
        <v>1.69488E-3</v>
      </c>
      <c r="O351" s="150">
        <v>9.5724E-3</v>
      </c>
      <c r="P351" s="146">
        <v>346</v>
      </c>
    </row>
    <row r="352" spans="1:16" ht="13.8" x14ac:dyDescent="0.25">
      <c r="A352" s="7">
        <v>347</v>
      </c>
      <c r="B352" s="34">
        <v>15.93</v>
      </c>
      <c r="C352" s="31">
        <v>1.7055600000000001E-3</v>
      </c>
      <c r="D352" s="12">
        <v>9.3775999999999998E-3</v>
      </c>
      <c r="E352" s="13">
        <v>1619.7</v>
      </c>
      <c r="F352" s="13">
        <v>2433.6</v>
      </c>
      <c r="G352" s="13">
        <v>1646.9</v>
      </c>
      <c r="H352" s="13">
        <v>2583</v>
      </c>
      <c r="I352" s="13">
        <v>936.1</v>
      </c>
      <c r="J352" s="35">
        <v>3.7414000000000001</v>
      </c>
      <c r="K352" s="35">
        <v>5.2508999999999997</v>
      </c>
      <c r="L352" s="35">
        <v>1.5094000000000001</v>
      </c>
      <c r="N352" s="143">
        <v>1.7055600000000001E-3</v>
      </c>
      <c r="O352" s="150">
        <v>9.3775999999999998E-3</v>
      </c>
      <c r="P352" s="146">
        <v>347</v>
      </c>
    </row>
    <row r="353" spans="1:16" ht="13.8" x14ac:dyDescent="0.25">
      <c r="A353" s="7">
        <v>348</v>
      </c>
      <c r="B353" s="34">
        <v>16.128</v>
      </c>
      <c r="C353" s="31">
        <v>1.7166200000000001E-3</v>
      </c>
      <c r="D353" s="12">
        <v>9.1844000000000005E-3</v>
      </c>
      <c r="E353" s="13">
        <v>1627.1</v>
      </c>
      <c r="F353" s="13">
        <v>2428.6</v>
      </c>
      <c r="G353" s="13">
        <v>1654.8</v>
      </c>
      <c r="H353" s="13">
        <v>2576.6999999999998</v>
      </c>
      <c r="I353" s="13">
        <v>922</v>
      </c>
      <c r="J353" s="35">
        <v>3.7536</v>
      </c>
      <c r="K353" s="35">
        <v>5.2378999999999998</v>
      </c>
      <c r="L353" s="35">
        <v>1.4843</v>
      </c>
      <c r="N353" s="143">
        <v>1.7166200000000001E-3</v>
      </c>
      <c r="O353" s="150">
        <v>9.1844000000000005E-3</v>
      </c>
      <c r="P353" s="146">
        <v>348</v>
      </c>
    </row>
    <row r="354" spans="1:16" ht="13.8" x14ac:dyDescent="0.25">
      <c r="A354" s="7">
        <v>349</v>
      </c>
      <c r="B354" s="34">
        <v>16.327999999999999</v>
      </c>
      <c r="C354" s="31">
        <v>1.7281E-3</v>
      </c>
      <c r="D354" s="12">
        <v>8.9926999999999993E-3</v>
      </c>
      <c r="E354" s="13">
        <v>1634.6</v>
      </c>
      <c r="F354" s="13">
        <v>2423.5</v>
      </c>
      <c r="G354" s="13">
        <v>1662.8</v>
      </c>
      <c r="H354" s="13">
        <v>2570.3000000000002</v>
      </c>
      <c r="I354" s="13">
        <v>907.5</v>
      </c>
      <c r="J354" s="35">
        <v>3.7658999999999998</v>
      </c>
      <c r="K354" s="35">
        <v>5.2245999999999997</v>
      </c>
      <c r="L354" s="35">
        <v>1.4587000000000001</v>
      </c>
      <c r="N354" s="143">
        <v>1.7281E-3</v>
      </c>
      <c r="O354" s="150">
        <v>8.9926999999999993E-3</v>
      </c>
      <c r="P354" s="146">
        <v>349</v>
      </c>
    </row>
    <row r="355" spans="1:16" ht="13.8" x14ac:dyDescent="0.25">
      <c r="A355" s="7">
        <v>350</v>
      </c>
      <c r="B355" s="34">
        <v>16.529</v>
      </c>
      <c r="C355" s="31">
        <v>1.7400200000000001E-3</v>
      </c>
      <c r="D355" s="12">
        <v>8.8024000000000002E-3</v>
      </c>
      <c r="E355" s="13">
        <v>1642.1</v>
      </c>
      <c r="F355" s="13">
        <v>2418.1</v>
      </c>
      <c r="G355" s="13">
        <v>1670.9</v>
      </c>
      <c r="H355" s="13">
        <v>2563.6</v>
      </c>
      <c r="I355" s="13">
        <v>892.7</v>
      </c>
      <c r="J355" s="35">
        <v>3.7784</v>
      </c>
      <c r="K355" s="35">
        <v>5.2110000000000003</v>
      </c>
      <c r="L355" s="35">
        <v>1.4326000000000001</v>
      </c>
      <c r="N355" s="143">
        <v>1.7400200000000001E-3</v>
      </c>
      <c r="O355" s="150">
        <v>8.8024000000000002E-3</v>
      </c>
      <c r="P355" s="146">
        <v>350</v>
      </c>
    </row>
    <row r="356" spans="1:16" ht="13.8" x14ac:dyDescent="0.25">
      <c r="A356" s="7">
        <v>351</v>
      </c>
      <c r="B356" s="34">
        <v>16.733000000000001</v>
      </c>
      <c r="C356" s="31">
        <v>1.7524299999999999E-3</v>
      </c>
      <c r="D356" s="12">
        <v>8.6134000000000002E-3</v>
      </c>
      <c r="E356" s="13">
        <v>1649.8</v>
      </c>
      <c r="F356" s="13">
        <v>2412.6999999999998</v>
      </c>
      <c r="G356" s="13">
        <v>1679.1</v>
      </c>
      <c r="H356" s="13">
        <v>2556.8000000000002</v>
      </c>
      <c r="I356" s="13">
        <v>877.6</v>
      </c>
      <c r="J356" s="35">
        <v>3.7909999999999999</v>
      </c>
      <c r="K356" s="35">
        <v>5.1970999999999998</v>
      </c>
      <c r="L356" s="35">
        <v>1.4060999999999999</v>
      </c>
      <c r="N356" s="143">
        <v>1.7524299999999999E-3</v>
      </c>
      <c r="O356" s="150">
        <v>8.6134000000000002E-3</v>
      </c>
      <c r="P356" s="146">
        <v>351</v>
      </c>
    </row>
    <row r="357" spans="1:16" ht="13.8" x14ac:dyDescent="0.25">
      <c r="A357" s="7">
        <v>352</v>
      </c>
      <c r="B357" s="34">
        <v>16.939</v>
      </c>
      <c r="C357" s="31">
        <v>1.7653600000000001E-3</v>
      </c>
      <c r="D357" s="12">
        <v>8.4256999999999995E-3</v>
      </c>
      <c r="E357" s="13">
        <v>1657.6</v>
      </c>
      <c r="F357" s="13">
        <v>2406.9</v>
      </c>
      <c r="G357" s="13">
        <v>1687.5</v>
      </c>
      <c r="H357" s="13">
        <v>2549.6</v>
      </c>
      <c r="I357" s="13">
        <v>862.1</v>
      </c>
      <c r="J357" s="35">
        <v>3.8039000000000001</v>
      </c>
      <c r="K357" s="35">
        <v>5.1829000000000001</v>
      </c>
      <c r="L357" s="35">
        <v>1.379</v>
      </c>
      <c r="N357" s="143">
        <v>1.7653600000000001E-3</v>
      </c>
      <c r="O357" s="150">
        <v>8.4256999999999995E-3</v>
      </c>
      <c r="P357" s="146">
        <v>352</v>
      </c>
    </row>
    <row r="358" spans="1:16" ht="13.8" x14ac:dyDescent="0.25">
      <c r="A358" s="7">
        <v>353</v>
      </c>
      <c r="B358" s="34">
        <v>17.146999999999998</v>
      </c>
      <c r="C358" s="31">
        <v>1.77888E-3</v>
      </c>
      <c r="D358" s="12">
        <v>8.2389999999999998E-3</v>
      </c>
      <c r="E358" s="13">
        <v>1665.6</v>
      </c>
      <c r="F358" s="13">
        <v>2401</v>
      </c>
      <c r="G358" s="13">
        <v>1696.1</v>
      </c>
      <c r="H358" s="13">
        <v>2542.3000000000002</v>
      </c>
      <c r="I358" s="13">
        <v>846.2</v>
      </c>
      <c r="J358" s="35">
        <v>3.8170000000000002</v>
      </c>
      <c r="K358" s="35">
        <v>5.1683000000000003</v>
      </c>
      <c r="L358" s="35">
        <v>1.3513999999999999</v>
      </c>
      <c r="N358" s="143">
        <v>1.77888E-3</v>
      </c>
      <c r="O358" s="150">
        <v>8.2389999999999998E-3</v>
      </c>
      <c r="P358" s="146">
        <v>353</v>
      </c>
    </row>
    <row r="359" spans="1:16" ht="13.8" x14ac:dyDescent="0.25">
      <c r="A359" s="7">
        <v>354</v>
      </c>
      <c r="B359" s="34">
        <v>17.358000000000001</v>
      </c>
      <c r="C359" s="31">
        <v>1.79302E-3</v>
      </c>
      <c r="D359" s="12">
        <v>8.0532999999999993E-3</v>
      </c>
      <c r="E359" s="13">
        <v>1673.7</v>
      </c>
      <c r="F359" s="13">
        <v>2394.8000000000002</v>
      </c>
      <c r="G359" s="13">
        <v>1704.8</v>
      </c>
      <c r="H359" s="13">
        <v>2534.6</v>
      </c>
      <c r="I359" s="13">
        <v>829.8</v>
      </c>
      <c r="J359" s="35">
        <v>3.8302999999999998</v>
      </c>
      <c r="K359" s="35">
        <v>5.1534000000000004</v>
      </c>
      <c r="L359" s="35">
        <v>1.3230999999999999</v>
      </c>
      <c r="N359" s="143">
        <v>1.79302E-3</v>
      </c>
      <c r="O359" s="150">
        <v>8.0532999999999993E-3</v>
      </c>
      <c r="P359" s="146">
        <v>354</v>
      </c>
    </row>
    <row r="360" spans="1:16" ht="13.8" x14ac:dyDescent="0.25">
      <c r="A360" s="7">
        <v>355</v>
      </c>
      <c r="B360" s="34">
        <v>17.57</v>
      </c>
      <c r="C360" s="31">
        <v>1.8078599999999999E-3</v>
      </c>
      <c r="D360" s="12">
        <v>7.8683999999999994E-3</v>
      </c>
      <c r="E360" s="13">
        <v>1681.9</v>
      </c>
      <c r="F360" s="13">
        <v>2388.4</v>
      </c>
      <c r="G360" s="13">
        <v>1713.7</v>
      </c>
      <c r="H360" s="13">
        <v>2526.6</v>
      </c>
      <c r="I360" s="13">
        <v>812.9</v>
      </c>
      <c r="J360" s="35">
        <v>3.8439000000000001</v>
      </c>
      <c r="K360" s="35">
        <v>5.1379999999999999</v>
      </c>
      <c r="L360" s="35">
        <v>1.2942</v>
      </c>
      <c r="N360" s="143">
        <v>1.8078599999999999E-3</v>
      </c>
      <c r="O360" s="150">
        <v>7.8683999999999994E-3</v>
      </c>
      <c r="P360" s="146">
        <v>355</v>
      </c>
    </row>
    <row r="361" spans="1:16" ht="13.8" x14ac:dyDescent="0.25">
      <c r="A361" s="7">
        <v>356</v>
      </c>
      <c r="B361" s="34">
        <v>17.785</v>
      </c>
      <c r="C361" s="31">
        <v>1.82347E-3</v>
      </c>
      <c r="D361" s="12">
        <v>7.6841000000000001E-3</v>
      </c>
      <c r="E361" s="13">
        <v>1690.4</v>
      </c>
      <c r="F361" s="13">
        <v>2381.6999999999998</v>
      </c>
      <c r="G361" s="13">
        <v>1722.8</v>
      </c>
      <c r="H361" s="13">
        <v>2518.4</v>
      </c>
      <c r="I361" s="13">
        <v>795.5</v>
      </c>
      <c r="J361" s="35">
        <v>3.8576999999999999</v>
      </c>
      <c r="K361" s="35">
        <v>5.1222000000000003</v>
      </c>
      <c r="L361" s="35">
        <v>1.2645</v>
      </c>
      <c r="N361" s="143">
        <v>1.82347E-3</v>
      </c>
      <c r="O361" s="150">
        <v>7.6841000000000001E-3</v>
      </c>
      <c r="P361" s="146">
        <v>356</v>
      </c>
    </row>
    <row r="362" spans="1:16" ht="13.8" x14ac:dyDescent="0.25">
      <c r="A362" s="7">
        <v>357</v>
      </c>
      <c r="B362" s="34">
        <v>18.001999999999999</v>
      </c>
      <c r="C362" s="31">
        <v>1.83993E-3</v>
      </c>
      <c r="D362" s="12">
        <v>7.5002999999999997E-3</v>
      </c>
      <c r="E362" s="13">
        <v>1699.1</v>
      </c>
      <c r="F362" s="13">
        <v>2374.8000000000002</v>
      </c>
      <c r="G362" s="13">
        <v>1732.2</v>
      </c>
      <c r="H362" s="13">
        <v>2509.8000000000002</v>
      </c>
      <c r="I362" s="13">
        <v>777.6</v>
      </c>
      <c r="J362" s="35">
        <v>3.8719000000000001</v>
      </c>
      <c r="K362" s="35">
        <v>5.1059000000000001</v>
      </c>
      <c r="L362" s="35">
        <v>1.234</v>
      </c>
      <c r="N362" s="143">
        <v>1.83993E-3</v>
      </c>
      <c r="O362" s="150">
        <v>7.5002999999999997E-3</v>
      </c>
      <c r="P362" s="146">
        <v>357</v>
      </c>
    </row>
    <row r="363" spans="1:16" ht="13.8" x14ac:dyDescent="0.25">
      <c r="A363" s="7">
        <v>358</v>
      </c>
      <c r="B363" s="34">
        <v>18.221</v>
      </c>
      <c r="C363" s="31">
        <v>1.8573299999999999E-3</v>
      </c>
      <c r="D363" s="12">
        <v>7.3168E-3</v>
      </c>
      <c r="E363" s="13">
        <v>1707.9</v>
      </c>
      <c r="F363" s="13">
        <v>2367.5</v>
      </c>
      <c r="G363" s="13">
        <v>1741.7</v>
      </c>
      <c r="H363" s="13">
        <v>2500.8000000000002</v>
      </c>
      <c r="I363" s="13">
        <v>759</v>
      </c>
      <c r="J363" s="35">
        <v>3.8864000000000001</v>
      </c>
      <c r="K363" s="35">
        <v>5.0891000000000002</v>
      </c>
      <c r="L363" s="35">
        <v>1.2025999999999999</v>
      </c>
      <c r="N363" s="143">
        <v>1.8573299999999999E-3</v>
      </c>
      <c r="O363" s="150">
        <v>7.3168E-3</v>
      </c>
      <c r="P363" s="146">
        <v>358</v>
      </c>
    </row>
    <row r="364" spans="1:16" ht="13.8" x14ac:dyDescent="0.25">
      <c r="A364" s="7">
        <v>359</v>
      </c>
      <c r="B364" s="34">
        <v>18.442</v>
      </c>
      <c r="C364" s="31">
        <v>1.8757800000000001E-3</v>
      </c>
      <c r="D364" s="12">
        <v>7.1332000000000001E-3</v>
      </c>
      <c r="E364" s="13">
        <v>1716.9</v>
      </c>
      <c r="F364" s="13">
        <v>2359.8000000000002</v>
      </c>
      <c r="G364" s="13">
        <v>1751.5</v>
      </c>
      <c r="H364" s="13">
        <v>2491.4</v>
      </c>
      <c r="I364" s="13">
        <v>739.8</v>
      </c>
      <c r="J364" s="35">
        <v>3.9014000000000002</v>
      </c>
      <c r="K364" s="35">
        <v>5.0716999999999999</v>
      </c>
      <c r="L364" s="35">
        <v>1.1702999999999999</v>
      </c>
      <c r="N364" s="143">
        <v>1.8757800000000001E-3</v>
      </c>
      <c r="O364" s="150">
        <v>7.1332000000000001E-3</v>
      </c>
      <c r="P364" s="146">
        <v>359</v>
      </c>
    </row>
    <row r="365" spans="1:16" ht="13.8" x14ac:dyDescent="0.25">
      <c r="A365" s="7">
        <v>360</v>
      </c>
      <c r="B365" s="34">
        <v>18.666</v>
      </c>
      <c r="C365" s="31">
        <v>1.8954099999999999E-3</v>
      </c>
      <c r="D365" s="12">
        <v>6.9493000000000003E-3</v>
      </c>
      <c r="E365" s="13">
        <v>1726.3</v>
      </c>
      <c r="F365" s="13">
        <v>2351.8000000000002</v>
      </c>
      <c r="G365" s="13">
        <v>1761.7</v>
      </c>
      <c r="H365" s="13">
        <v>2481.5</v>
      </c>
      <c r="I365" s="13">
        <v>719.8</v>
      </c>
      <c r="J365" s="35">
        <v>3.9167000000000001</v>
      </c>
      <c r="K365" s="35">
        <v>5.0536000000000003</v>
      </c>
      <c r="L365" s="35">
        <v>1.1369</v>
      </c>
      <c r="N365" s="143">
        <v>1.8954099999999999E-3</v>
      </c>
      <c r="O365" s="150">
        <v>6.9493000000000003E-3</v>
      </c>
      <c r="P365" s="146">
        <v>360</v>
      </c>
    </row>
    <row r="366" spans="1:16" ht="15" x14ac:dyDescent="0.25">
      <c r="A366" s="7">
        <v>361</v>
      </c>
      <c r="B366" s="34">
        <v>18.891999999999999</v>
      </c>
      <c r="C366" s="31">
        <v>1.91635E-3</v>
      </c>
      <c r="D366" s="12">
        <v>6.7648999999999999E-3</v>
      </c>
      <c r="E366" s="13">
        <v>1735.9</v>
      </c>
      <c r="F366" s="13">
        <v>2343.3000000000002</v>
      </c>
      <c r="G366" s="13">
        <v>1772.1</v>
      </c>
      <c r="H366" s="70">
        <v>2471.1</v>
      </c>
      <c r="I366" s="70">
        <v>699</v>
      </c>
      <c r="J366" s="70">
        <v>3.9325000000000001</v>
      </c>
      <c r="K366" s="70">
        <v>5.0347</v>
      </c>
      <c r="L366" s="70">
        <v>1.1023000000000001</v>
      </c>
      <c r="N366" s="143">
        <v>1.91635E-3</v>
      </c>
      <c r="O366" s="150">
        <v>6.7648999999999999E-3</v>
      </c>
      <c r="P366" s="146">
        <v>361</v>
      </c>
    </row>
    <row r="367" spans="1:16" ht="15" x14ac:dyDescent="0.25">
      <c r="A367" s="7">
        <v>362</v>
      </c>
      <c r="B367" s="34">
        <v>19.120999999999999</v>
      </c>
      <c r="C367" s="31">
        <v>1.9387899999999999E-3</v>
      </c>
      <c r="D367" s="12">
        <v>6.5795000000000003E-3</v>
      </c>
      <c r="E367" s="13">
        <v>1745.8</v>
      </c>
      <c r="F367" s="13">
        <v>2334.4</v>
      </c>
      <c r="G367" s="13">
        <v>1782.9</v>
      </c>
      <c r="H367" s="70">
        <v>2460.1999999999998</v>
      </c>
      <c r="I367" s="70">
        <v>677.3</v>
      </c>
      <c r="J367" s="70">
        <v>3.9487999999999999</v>
      </c>
      <c r="K367" s="70">
        <v>5.0151000000000003</v>
      </c>
      <c r="L367" s="70">
        <v>1.0663</v>
      </c>
      <c r="N367" s="143">
        <v>1.9387899999999999E-3</v>
      </c>
      <c r="O367" s="150">
        <v>6.5795000000000003E-3</v>
      </c>
      <c r="P367" s="146">
        <v>362</v>
      </c>
    </row>
    <row r="368" spans="1:16" ht="15" x14ac:dyDescent="0.25">
      <c r="A368" s="7">
        <v>363</v>
      </c>
      <c r="B368" s="34">
        <v>19.352</v>
      </c>
      <c r="C368" s="31">
        <v>1.9629000000000001E-3</v>
      </c>
      <c r="D368" s="12">
        <v>6.3924999999999997E-3</v>
      </c>
      <c r="E368" s="13">
        <v>1756.1</v>
      </c>
      <c r="F368" s="13">
        <v>2324.9</v>
      </c>
      <c r="G368" s="13">
        <v>1794.1</v>
      </c>
      <c r="H368" s="70">
        <v>2448.6</v>
      </c>
      <c r="I368" s="70">
        <v>654.5</v>
      </c>
      <c r="J368" s="70">
        <v>3.9655999999999998</v>
      </c>
      <c r="K368" s="70">
        <v>4.9945000000000004</v>
      </c>
      <c r="L368" s="70">
        <v>1.0287999999999999</v>
      </c>
      <c r="N368" s="143">
        <v>1.9629000000000001E-3</v>
      </c>
      <c r="O368" s="150">
        <v>6.3924999999999997E-3</v>
      </c>
      <c r="P368" s="146">
        <v>363</v>
      </c>
    </row>
    <row r="369" spans="1:16" ht="15" x14ac:dyDescent="0.25">
      <c r="A369" s="7">
        <v>364</v>
      </c>
      <c r="B369" s="34">
        <v>19.585000000000001</v>
      </c>
      <c r="C369" s="31">
        <v>1.9889399999999998E-3</v>
      </c>
      <c r="D369" s="12">
        <v>6.2034999999999998E-3</v>
      </c>
      <c r="E369" s="13">
        <v>1766.7</v>
      </c>
      <c r="F369" s="13">
        <v>2314.6999999999998</v>
      </c>
      <c r="G369" s="13">
        <v>1805.7</v>
      </c>
      <c r="H369" s="70">
        <v>2436.1999999999998</v>
      </c>
      <c r="I369" s="70">
        <v>630.5</v>
      </c>
      <c r="J369" s="70">
        <v>3.9830999999999999</v>
      </c>
      <c r="K369" s="70">
        <v>4.9726999999999997</v>
      </c>
      <c r="L369" s="70">
        <v>0.98960000000000004</v>
      </c>
      <c r="N369" s="143">
        <v>1.9889399999999998E-3</v>
      </c>
      <c r="O369" s="150">
        <v>6.2034999999999998E-3</v>
      </c>
      <c r="P369" s="146">
        <v>364</v>
      </c>
    </row>
    <row r="370" spans="1:16" ht="15" x14ac:dyDescent="0.25">
      <c r="A370" s="7">
        <v>365</v>
      </c>
      <c r="B370" s="34">
        <v>19.821000000000002</v>
      </c>
      <c r="C370" s="12">
        <v>2.0171999999999998E-3</v>
      </c>
      <c r="D370" s="12">
        <v>6.0115000000000004E-3</v>
      </c>
      <c r="E370" s="13">
        <v>1777.8</v>
      </c>
      <c r="F370" s="13">
        <v>2303.6999999999998</v>
      </c>
      <c r="G370" s="13">
        <v>1817.8</v>
      </c>
      <c r="H370" s="70">
        <v>2422.9</v>
      </c>
      <c r="I370" s="70">
        <v>605.20000000000005</v>
      </c>
      <c r="J370" s="70">
        <v>4.0014000000000003</v>
      </c>
      <c r="K370" s="70">
        <v>4.9497</v>
      </c>
      <c r="L370" s="70">
        <v>0.94830000000000003</v>
      </c>
      <c r="N370" s="150">
        <v>2.0171999999999998E-3</v>
      </c>
      <c r="O370" s="150">
        <v>6.0115000000000004E-3</v>
      </c>
      <c r="P370" s="146">
        <v>365</v>
      </c>
    </row>
    <row r="371" spans="1:16" ht="15" x14ac:dyDescent="0.25">
      <c r="A371" s="7">
        <v>366</v>
      </c>
      <c r="B371" s="34">
        <v>20.059999999999999</v>
      </c>
      <c r="C371" s="12">
        <v>2.0479999999999999E-3</v>
      </c>
      <c r="D371" s="12">
        <v>5.8157E-3</v>
      </c>
      <c r="E371" s="13">
        <v>1789.4</v>
      </c>
      <c r="F371" s="13">
        <v>2292</v>
      </c>
      <c r="G371" s="13">
        <v>1830.5</v>
      </c>
      <c r="H371" s="70">
        <v>2408.6999999999998</v>
      </c>
      <c r="I371" s="70">
        <v>578.20000000000005</v>
      </c>
      <c r="J371" s="70">
        <v>4.0205000000000002</v>
      </c>
      <c r="K371" s="70">
        <v>4.9250999999999996</v>
      </c>
      <c r="L371" s="70">
        <v>0.90459999999999996</v>
      </c>
      <c r="N371" s="150">
        <v>2.0479999999999999E-3</v>
      </c>
      <c r="O371" s="150">
        <v>5.8157E-3</v>
      </c>
      <c r="P371" s="146">
        <v>366</v>
      </c>
    </row>
    <row r="372" spans="1:16" ht="15" x14ac:dyDescent="0.25">
      <c r="A372" s="7">
        <v>367</v>
      </c>
      <c r="B372" s="34">
        <v>20.302</v>
      </c>
      <c r="C372" s="12">
        <v>2.0820999999999999E-3</v>
      </c>
      <c r="D372" s="12">
        <v>5.6144999999999997E-3</v>
      </c>
      <c r="E372" s="13">
        <v>1801.5</v>
      </c>
      <c r="F372" s="13">
        <v>2279.1</v>
      </c>
      <c r="G372" s="13">
        <v>1843.8</v>
      </c>
      <c r="H372" s="70">
        <v>2393.1</v>
      </c>
      <c r="I372" s="70">
        <v>549.20000000000005</v>
      </c>
      <c r="J372" s="70">
        <v>4.0406000000000004</v>
      </c>
      <c r="K372" s="70">
        <v>4.8986000000000001</v>
      </c>
      <c r="L372" s="70">
        <v>0.85799999999999998</v>
      </c>
      <c r="N372" s="150">
        <v>2.0820999999999999E-3</v>
      </c>
      <c r="O372" s="150">
        <v>5.6144999999999997E-3</v>
      </c>
      <c r="P372" s="146">
        <v>367</v>
      </c>
    </row>
    <row r="373" spans="1:16" ht="15" x14ac:dyDescent="0.25">
      <c r="A373" s="7">
        <v>368</v>
      </c>
      <c r="B373" s="34">
        <v>20.545999999999999</v>
      </c>
      <c r="C373" s="12">
        <v>2.1201000000000002E-3</v>
      </c>
      <c r="D373" s="12">
        <v>5.4060999999999996E-3</v>
      </c>
      <c r="E373" s="13">
        <v>1814.5</v>
      </c>
      <c r="F373" s="13">
        <v>2264.8000000000002</v>
      </c>
      <c r="G373" s="13">
        <v>1858.1</v>
      </c>
      <c r="H373" s="70">
        <v>2375.9</v>
      </c>
      <c r="I373" s="70">
        <v>517.79999999999995</v>
      </c>
      <c r="J373" s="70">
        <v>4.0621</v>
      </c>
      <c r="K373" s="70">
        <v>4.8696999999999999</v>
      </c>
      <c r="L373" s="70">
        <v>0.80759999999999998</v>
      </c>
      <c r="N373" s="150">
        <v>2.1201000000000002E-3</v>
      </c>
      <c r="O373" s="150">
        <v>5.4060999999999996E-3</v>
      </c>
      <c r="P373" s="146">
        <v>368</v>
      </c>
    </row>
    <row r="374" spans="1:16" ht="15" x14ac:dyDescent="0.25">
      <c r="A374" s="7">
        <v>369</v>
      </c>
      <c r="B374" s="34">
        <v>20.792999999999999</v>
      </c>
      <c r="C374" s="12">
        <v>2.1635999999999999E-3</v>
      </c>
      <c r="D374" s="12">
        <v>5.1875000000000003E-3</v>
      </c>
      <c r="E374" s="13">
        <v>1828.5</v>
      </c>
      <c r="F374" s="13">
        <v>2248.6999999999998</v>
      </c>
      <c r="G374" s="13">
        <v>1873.5</v>
      </c>
      <c r="H374" s="70">
        <v>2356.6</v>
      </c>
      <c r="I374" s="70">
        <v>483.1</v>
      </c>
      <c r="J374" s="70">
        <v>4.0853000000000002</v>
      </c>
      <c r="K374" s="70">
        <v>4.8376000000000001</v>
      </c>
      <c r="L374" s="70">
        <v>0.75229999999999997</v>
      </c>
      <c r="N374" s="150">
        <v>2.1635999999999999E-3</v>
      </c>
      <c r="O374" s="150">
        <v>5.1875000000000003E-3</v>
      </c>
      <c r="P374" s="146">
        <v>369</v>
      </c>
    </row>
    <row r="375" spans="1:16" ht="15" x14ac:dyDescent="0.25">
      <c r="A375" s="7">
        <v>370</v>
      </c>
      <c r="B375" s="34">
        <v>21.044</v>
      </c>
      <c r="C375" s="12">
        <v>2.2152000000000001E-3</v>
      </c>
      <c r="D375" s="12">
        <v>4.9544000000000003E-3</v>
      </c>
      <c r="E375" s="13">
        <v>1844.1</v>
      </c>
      <c r="F375" s="13">
        <v>2230.1999999999998</v>
      </c>
      <c r="G375" s="13">
        <v>1890.7</v>
      </c>
      <c r="H375" s="70">
        <v>2334.5</v>
      </c>
      <c r="I375" s="70">
        <v>443.8</v>
      </c>
      <c r="J375" s="70">
        <v>4.1112000000000002</v>
      </c>
      <c r="K375" s="70">
        <v>4.8011999999999997</v>
      </c>
      <c r="L375" s="70">
        <v>0.69010000000000005</v>
      </c>
      <c r="N375" s="150">
        <v>2.2152000000000001E-3</v>
      </c>
      <c r="O375" s="150">
        <v>4.9544000000000003E-3</v>
      </c>
      <c r="P375" s="146">
        <v>370</v>
      </c>
    </row>
    <row r="376" spans="1:16" ht="15" x14ac:dyDescent="0.25">
      <c r="A376" s="7">
        <v>371</v>
      </c>
      <c r="B376" s="34">
        <v>21.297000000000001</v>
      </c>
      <c r="C376" s="12">
        <v>2.2797999999999998E-3</v>
      </c>
      <c r="D376" s="12">
        <v>4.6994999999999997E-3</v>
      </c>
      <c r="E376" s="13">
        <v>1862</v>
      </c>
      <c r="F376" s="13">
        <v>2208.1999999999998</v>
      </c>
      <c r="G376" s="13">
        <v>1910.6</v>
      </c>
      <c r="H376" s="70">
        <v>2308.3000000000002</v>
      </c>
      <c r="I376" s="70">
        <v>397.7</v>
      </c>
      <c r="J376" s="70">
        <v>4.1412000000000004</v>
      </c>
      <c r="K376" s="70">
        <v>4.7586000000000004</v>
      </c>
      <c r="L376" s="70">
        <v>0.61750000000000005</v>
      </c>
      <c r="N376" s="150">
        <v>2.2797999999999998E-3</v>
      </c>
      <c r="O376" s="150">
        <v>4.6994999999999997E-3</v>
      </c>
      <c r="P376" s="146">
        <v>371</v>
      </c>
    </row>
    <row r="377" spans="1:16" ht="15" x14ac:dyDescent="0.25">
      <c r="A377" s="7">
        <v>372</v>
      </c>
      <c r="B377" s="34">
        <v>21.553999999999998</v>
      </c>
      <c r="C377" s="12">
        <v>2.3682E-3</v>
      </c>
      <c r="D377" s="12">
        <v>4.4083999999999998E-3</v>
      </c>
      <c r="E377" s="13">
        <v>1884.3</v>
      </c>
      <c r="F377" s="13">
        <v>2180.5</v>
      </c>
      <c r="G377" s="13">
        <v>1935.3</v>
      </c>
      <c r="H377" s="70">
        <v>2275.5</v>
      </c>
      <c r="I377" s="70">
        <v>340.3</v>
      </c>
      <c r="J377" s="70">
        <v>4.1784999999999997</v>
      </c>
      <c r="K377" s="70">
        <v>4.7058999999999997</v>
      </c>
      <c r="L377" s="70">
        <v>0.52739999999999998</v>
      </c>
      <c r="N377" s="150">
        <v>2.3682E-3</v>
      </c>
      <c r="O377" s="150">
        <v>4.4083999999999998E-3</v>
      </c>
      <c r="P377" s="146">
        <v>372</v>
      </c>
    </row>
    <row r="378" spans="1:16" ht="15" x14ac:dyDescent="0.25">
      <c r="A378" s="7">
        <v>373</v>
      </c>
      <c r="B378" s="34">
        <v>21.814</v>
      </c>
      <c r="C378" s="12">
        <v>2.5083000000000002E-3</v>
      </c>
      <c r="D378" s="12">
        <v>4.045E-3</v>
      </c>
      <c r="E378" s="13">
        <v>1915</v>
      </c>
      <c r="F378" s="13">
        <v>2141.6</v>
      </c>
      <c r="G378" s="13">
        <v>1969.7</v>
      </c>
      <c r="H378" s="70">
        <v>2229.8000000000002</v>
      </c>
      <c r="I378" s="70">
        <v>260.10000000000002</v>
      </c>
      <c r="J378" s="70">
        <v>4.2308000000000003</v>
      </c>
      <c r="K378" s="70">
        <v>4.6334</v>
      </c>
      <c r="L378" s="70">
        <v>0.40260000000000001</v>
      </c>
      <c r="N378" s="150">
        <v>2.5083000000000002E-3</v>
      </c>
      <c r="O378" s="150">
        <v>4.045E-3</v>
      </c>
      <c r="P378" s="146">
        <v>373</v>
      </c>
    </row>
    <row r="379" spans="1:16" ht="15" x14ac:dyDescent="0.25">
      <c r="A379" s="48">
        <v>373.94600000000003</v>
      </c>
      <c r="B379" s="34">
        <v>22.064</v>
      </c>
      <c r="C379" s="49">
        <v>3.1056E-3</v>
      </c>
      <c r="D379" s="49">
        <v>3.1056E-3</v>
      </c>
      <c r="E379" s="194">
        <v>2015.8</v>
      </c>
      <c r="F379" s="194"/>
      <c r="G379" s="13">
        <v>2084.3000000000002</v>
      </c>
      <c r="H379" s="70">
        <v>2084.3000000000002</v>
      </c>
      <c r="I379" s="70">
        <v>0</v>
      </c>
      <c r="J379" s="70">
        <v>4.407</v>
      </c>
      <c r="K379" s="70">
        <v>4.407</v>
      </c>
      <c r="L379" s="70">
        <v>0</v>
      </c>
      <c r="N379" s="151">
        <v>3.1056E-3</v>
      </c>
      <c r="O379" s="151">
        <v>3.1056E-3</v>
      </c>
      <c r="P379" s="152">
        <v>373.94600000000003</v>
      </c>
    </row>
    <row r="380" spans="1:16" ht="53.4" customHeight="1" x14ac:dyDescent="0.25">
      <c r="A380" s="69" t="s">
        <v>20</v>
      </c>
      <c r="B380" s="42"/>
      <c r="C380" s="42"/>
      <c r="D380" s="42"/>
      <c r="E380" s="42"/>
      <c r="F380" s="42"/>
      <c r="G380" s="42"/>
      <c r="O380" s="153"/>
    </row>
  </sheetData>
  <mergeCells count="9">
    <mergeCell ref="A1:L1"/>
    <mergeCell ref="E379:F379"/>
    <mergeCell ref="A2:M2"/>
    <mergeCell ref="A3:A4"/>
    <mergeCell ref="B3:B4"/>
    <mergeCell ref="C3:D3"/>
    <mergeCell ref="E3:F3"/>
    <mergeCell ref="G3:I3"/>
    <mergeCell ref="J3:L3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77"/>
  <sheetViews>
    <sheetView workbookViewId="0">
      <selection activeCell="J5" sqref="J5"/>
    </sheetView>
  </sheetViews>
  <sheetFormatPr defaultRowHeight="13.2" x14ac:dyDescent="0.25"/>
  <cols>
    <col min="1" max="1" width="12.21875" customWidth="1"/>
    <col min="2" max="2" width="8.21875" customWidth="1"/>
    <col min="3" max="3" width="13.33203125" customWidth="1"/>
    <col min="4" max="4" width="10.88671875" customWidth="1"/>
    <col min="5" max="5" width="8.21875" customWidth="1"/>
    <col min="6" max="6" width="8.6640625" customWidth="1"/>
    <col min="7" max="7" width="8.21875" customWidth="1"/>
    <col min="8" max="8" width="8.88671875" customWidth="1"/>
    <col min="9" max="9" width="8.44140625" customWidth="1"/>
    <col min="10" max="10" width="9" customWidth="1"/>
    <col min="11" max="11" width="8.21875" customWidth="1"/>
    <col min="12" max="12" width="7.5546875" customWidth="1"/>
    <col min="13" max="13" width="5.109375" customWidth="1"/>
    <col min="14" max="14" width="8.21875" customWidth="1"/>
    <col min="15" max="15" width="20.44140625" customWidth="1"/>
  </cols>
  <sheetData>
    <row r="1" spans="1:15" ht="50.4" customHeight="1" x14ac:dyDescent="0.25">
      <c r="A1" s="161" t="s">
        <v>21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</row>
    <row r="2" spans="1:15" ht="34.799999999999997" customHeight="1" x14ac:dyDescent="0.25">
      <c r="A2" s="203" t="s">
        <v>22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</row>
    <row r="3" spans="1:15" ht="15.75" customHeight="1" x14ac:dyDescent="0.25">
      <c r="A3" s="193" t="s">
        <v>23</v>
      </c>
      <c r="B3" s="193" t="s">
        <v>24</v>
      </c>
      <c r="C3" s="198" t="s">
        <v>4</v>
      </c>
      <c r="D3" s="198"/>
      <c r="E3" s="199" t="s">
        <v>5</v>
      </c>
      <c r="F3" s="199"/>
      <c r="G3" s="200" t="s">
        <v>6</v>
      </c>
      <c r="H3" s="200"/>
      <c r="I3" s="200"/>
      <c r="J3" s="201" t="s">
        <v>7</v>
      </c>
      <c r="K3" s="201"/>
      <c r="L3" s="201"/>
    </row>
    <row r="4" spans="1:15" ht="18.75" customHeight="1" x14ac:dyDescent="0.25">
      <c r="A4" s="193"/>
      <c r="B4" s="193"/>
      <c r="C4" s="6" t="s">
        <v>8</v>
      </c>
      <c r="D4" s="6" t="s">
        <v>9</v>
      </c>
      <c r="E4" s="14" t="s">
        <v>10</v>
      </c>
      <c r="F4" s="6" t="s">
        <v>11</v>
      </c>
      <c r="G4" s="6" t="s">
        <v>12</v>
      </c>
      <c r="H4" s="6" t="s">
        <v>13</v>
      </c>
      <c r="I4" s="15" t="s">
        <v>14</v>
      </c>
      <c r="J4" s="6" t="s">
        <v>15</v>
      </c>
      <c r="K4" s="6" t="s">
        <v>16</v>
      </c>
      <c r="L4" s="15" t="s">
        <v>17</v>
      </c>
    </row>
    <row r="5" spans="1:15" ht="18.75" customHeight="1" x14ac:dyDescent="0.25">
      <c r="A5" s="15">
        <v>6.1165700000000004E-4</v>
      </c>
      <c r="B5" s="16">
        <v>0.01</v>
      </c>
      <c r="C5" s="8">
        <v>1.0002100000000001E-3</v>
      </c>
      <c r="D5" s="17">
        <v>205.99100000000001</v>
      </c>
      <c r="E5" s="7">
        <v>0</v>
      </c>
      <c r="F5" s="10">
        <v>2374.9</v>
      </c>
      <c r="G5" s="18">
        <v>0</v>
      </c>
      <c r="H5" s="10">
        <v>2500.9</v>
      </c>
      <c r="I5" s="10">
        <v>2500.9</v>
      </c>
      <c r="J5" s="7">
        <v>0</v>
      </c>
      <c r="K5" s="19">
        <v>9.1555</v>
      </c>
      <c r="L5" s="19">
        <v>9.1555</v>
      </c>
    </row>
    <row r="6" spans="1:15" ht="18.75" customHeight="1" x14ac:dyDescent="0.25">
      <c r="A6" s="19">
        <v>6.9999999999999999E-4</v>
      </c>
      <c r="B6" s="17">
        <v>1.881</v>
      </c>
      <c r="C6" s="8">
        <v>1.00011E-3</v>
      </c>
      <c r="D6" s="17">
        <v>181.21700000000001</v>
      </c>
      <c r="E6" s="16">
        <v>7.89</v>
      </c>
      <c r="F6" s="10">
        <v>2377.4</v>
      </c>
      <c r="G6" s="18">
        <v>7.89</v>
      </c>
      <c r="H6" s="10">
        <v>2504.3000000000002</v>
      </c>
      <c r="I6" s="10">
        <v>2496.5</v>
      </c>
      <c r="J6" s="20">
        <v>2.878E-2</v>
      </c>
      <c r="K6" s="19">
        <v>9.1058000000000003</v>
      </c>
      <c r="L6" s="19">
        <v>9.077</v>
      </c>
    </row>
    <row r="7" spans="1:15" ht="18.75" customHeight="1" x14ac:dyDescent="0.25">
      <c r="A7" s="19">
        <v>8.0000000000000004E-4</v>
      </c>
      <c r="B7" s="17">
        <v>3.7610000000000001</v>
      </c>
      <c r="C7" s="8">
        <v>1.00008E-3</v>
      </c>
      <c r="D7" s="17">
        <v>159.63999999999999</v>
      </c>
      <c r="E7" s="21">
        <v>15.81</v>
      </c>
      <c r="F7" s="10">
        <v>2380.1</v>
      </c>
      <c r="G7" s="18">
        <v>15.81</v>
      </c>
      <c r="H7" s="10">
        <v>2507.8000000000002</v>
      </c>
      <c r="I7" s="10">
        <v>2492</v>
      </c>
      <c r="J7" s="20">
        <v>5.7480000000000003E-2</v>
      </c>
      <c r="K7" s="19">
        <v>9.0566999999999993</v>
      </c>
      <c r="L7" s="19">
        <v>8.9992000000000001</v>
      </c>
    </row>
    <row r="8" spans="1:15" ht="18.75" customHeight="1" x14ac:dyDescent="0.25">
      <c r="A8" s="19">
        <v>8.9999999999999998E-4</v>
      </c>
      <c r="B8" s="17">
        <v>5.444</v>
      </c>
      <c r="C8" s="8">
        <v>1.0000899999999999E-3</v>
      </c>
      <c r="D8" s="17">
        <v>142.75700000000001</v>
      </c>
      <c r="E8" s="21">
        <v>22.89</v>
      </c>
      <c r="F8" s="10">
        <v>2382.4</v>
      </c>
      <c r="G8" s="18">
        <v>22.89</v>
      </c>
      <c r="H8" s="10">
        <v>2510.9</v>
      </c>
      <c r="I8" s="10">
        <v>2488</v>
      </c>
      <c r="J8" s="20">
        <v>8.2970000000000002E-2</v>
      </c>
      <c r="K8" s="19">
        <v>9.0135000000000005</v>
      </c>
      <c r="L8" s="19">
        <v>8.9305000000000003</v>
      </c>
    </row>
    <row r="9" spans="1:15" ht="18.75" customHeight="1" x14ac:dyDescent="0.25">
      <c r="A9" s="19">
        <v>1E-3</v>
      </c>
      <c r="B9" s="17">
        <v>6.97</v>
      </c>
      <c r="C9" s="8">
        <v>1.0001400000000001E-3</v>
      </c>
      <c r="D9" s="17">
        <v>129.178</v>
      </c>
      <c r="E9" s="21">
        <v>29.3</v>
      </c>
      <c r="F9" s="10">
        <v>2384.5</v>
      </c>
      <c r="G9" s="18">
        <v>29.3</v>
      </c>
      <c r="H9" s="10">
        <v>2513.6999999999998</v>
      </c>
      <c r="I9" s="10">
        <v>2484.4</v>
      </c>
      <c r="J9" s="20">
        <v>0.10591</v>
      </c>
      <c r="K9" s="19">
        <v>8.9748999999999999</v>
      </c>
      <c r="L9" s="19">
        <v>8.8689999999999998</v>
      </c>
    </row>
    <row r="10" spans="1:15" ht="18.75" customHeight="1" x14ac:dyDescent="0.25">
      <c r="A10" s="19">
        <v>1.1999999999999999E-3</v>
      </c>
      <c r="B10" s="17">
        <v>9.6539999999999999</v>
      </c>
      <c r="C10" s="8">
        <v>1.0003200000000001E-3</v>
      </c>
      <c r="D10" s="17">
        <v>108.67</v>
      </c>
      <c r="E10" s="21">
        <v>40.57</v>
      </c>
      <c r="F10" s="10">
        <v>2388.1999999999998</v>
      </c>
      <c r="G10" s="18">
        <v>40.57</v>
      </c>
      <c r="H10" s="10">
        <v>2518.6</v>
      </c>
      <c r="I10" s="10">
        <v>2478</v>
      </c>
      <c r="J10" s="20">
        <v>0.14595</v>
      </c>
      <c r="K10" s="19">
        <v>8.9082000000000008</v>
      </c>
      <c r="L10" s="19">
        <v>8.7622999999999998</v>
      </c>
    </row>
    <row r="11" spans="1:15" ht="18.75" customHeight="1" x14ac:dyDescent="0.25">
      <c r="A11" s="19">
        <v>1.4E-3</v>
      </c>
      <c r="B11" s="17">
        <v>11.968999999999999</v>
      </c>
      <c r="C11" s="8">
        <v>1.0005400000000001E-3</v>
      </c>
      <c r="D11" s="17">
        <v>93.899000000000001</v>
      </c>
      <c r="E11" s="21">
        <v>50.28</v>
      </c>
      <c r="F11" s="10">
        <v>2391.3000000000002</v>
      </c>
      <c r="G11" s="18">
        <v>50.28</v>
      </c>
      <c r="H11" s="10">
        <v>2522.8000000000002</v>
      </c>
      <c r="I11" s="10">
        <v>2472.5</v>
      </c>
      <c r="J11" s="20">
        <v>0.18015</v>
      </c>
      <c r="K11" s="19">
        <v>8.8521000000000001</v>
      </c>
      <c r="L11" s="19">
        <v>8.6719000000000008</v>
      </c>
    </row>
    <row r="12" spans="1:15" ht="18.75" customHeight="1" x14ac:dyDescent="0.25">
      <c r="A12" s="19">
        <v>1.6000000000000001E-3</v>
      </c>
      <c r="B12" s="17">
        <v>14.01</v>
      </c>
      <c r="C12" s="8">
        <v>1.0008E-3</v>
      </c>
      <c r="D12" s="17">
        <v>82.742999999999995</v>
      </c>
      <c r="E12" s="21">
        <v>58.83</v>
      </c>
      <c r="F12" s="10">
        <v>2394.1</v>
      </c>
      <c r="G12" s="18">
        <v>58.83</v>
      </c>
      <c r="H12" s="10">
        <v>2526.5</v>
      </c>
      <c r="I12" s="10">
        <v>2467.6999999999998</v>
      </c>
      <c r="J12" s="20">
        <v>0.21004</v>
      </c>
      <c r="K12" s="19">
        <v>8.8034999999999997</v>
      </c>
      <c r="L12" s="19">
        <v>8.5935000000000006</v>
      </c>
    </row>
    <row r="13" spans="1:15" ht="18.75" customHeight="1" x14ac:dyDescent="0.25">
      <c r="A13" s="19">
        <v>1.8E-3</v>
      </c>
      <c r="B13" s="17">
        <v>15.837</v>
      </c>
      <c r="C13" s="8">
        <v>1.0010799999999999E-3</v>
      </c>
      <c r="D13" s="17">
        <v>74.010999999999996</v>
      </c>
      <c r="E13" s="21">
        <v>66.489999999999995</v>
      </c>
      <c r="F13" s="10">
        <v>2396.6999999999998</v>
      </c>
      <c r="G13" s="18">
        <v>66.489999999999995</v>
      </c>
      <c r="H13" s="10">
        <v>2529.9</v>
      </c>
      <c r="I13" s="10">
        <v>2463.4</v>
      </c>
      <c r="J13" s="20">
        <v>0.23662</v>
      </c>
      <c r="K13" s="19">
        <v>8.7607999999999997</v>
      </c>
      <c r="L13" s="19">
        <v>8.5241000000000007</v>
      </c>
    </row>
    <row r="14" spans="1:15" ht="20.25" customHeight="1" x14ac:dyDescent="0.25">
      <c r="A14" s="19">
        <v>2E-3</v>
      </c>
      <c r="B14" s="17">
        <v>17.495000000000001</v>
      </c>
      <c r="C14" s="8">
        <v>1.00136E-3</v>
      </c>
      <c r="D14" s="17">
        <v>66.986999999999995</v>
      </c>
      <c r="E14" s="21">
        <v>73.430000000000007</v>
      </c>
      <c r="F14" s="10">
        <v>2398.9</v>
      </c>
      <c r="G14" s="18">
        <v>73.430000000000007</v>
      </c>
      <c r="H14" s="10">
        <v>2532.9</v>
      </c>
      <c r="I14" s="10">
        <v>2459.4</v>
      </c>
      <c r="J14" s="20">
        <v>0.26056000000000001</v>
      </c>
      <c r="K14" s="19">
        <v>8.7225999999999999</v>
      </c>
      <c r="L14" s="19">
        <v>8.4619999999999997</v>
      </c>
    </row>
    <row r="15" spans="1:15" ht="20.25" customHeight="1" x14ac:dyDescent="0.25">
      <c r="A15" s="19">
        <v>2.3999999999999998E-3</v>
      </c>
      <c r="B15" s="17">
        <v>20.414000000000001</v>
      </c>
      <c r="C15" s="8">
        <v>1.0019300000000001E-3</v>
      </c>
      <c r="D15" s="17">
        <v>56.375</v>
      </c>
      <c r="E15" s="21">
        <v>85.65</v>
      </c>
      <c r="F15" s="10">
        <v>2402.9</v>
      </c>
      <c r="G15" s="18">
        <v>85.65</v>
      </c>
      <c r="H15" s="10">
        <v>2538.1999999999998</v>
      </c>
      <c r="I15" s="10">
        <v>2452.5</v>
      </c>
      <c r="J15" s="20">
        <v>0.30238999999999999</v>
      </c>
      <c r="K15" s="19">
        <v>8.6567000000000007</v>
      </c>
      <c r="L15" s="19">
        <v>8.3544</v>
      </c>
    </row>
    <row r="16" spans="1:15" ht="18.75" customHeight="1" x14ac:dyDescent="0.25">
      <c r="A16" s="19">
        <v>2.8E-3</v>
      </c>
      <c r="B16" s="17">
        <v>22.934999999999999</v>
      </c>
      <c r="C16" s="8">
        <v>1.00249E-3</v>
      </c>
      <c r="D16" s="17">
        <v>48.728999999999999</v>
      </c>
      <c r="E16" s="21">
        <v>96.19</v>
      </c>
      <c r="F16" s="10">
        <v>2406.4</v>
      </c>
      <c r="G16" s="18">
        <v>96.19</v>
      </c>
      <c r="H16" s="10">
        <v>2542.8000000000002</v>
      </c>
      <c r="I16" s="10">
        <v>2446.6</v>
      </c>
      <c r="J16" s="20">
        <v>0.33816000000000002</v>
      </c>
      <c r="K16" s="19">
        <v>8.6012000000000004</v>
      </c>
      <c r="L16" s="19">
        <v>8.2630999999999997</v>
      </c>
    </row>
    <row r="17" spans="1:12" ht="18.75" customHeight="1" x14ac:dyDescent="0.25">
      <c r="A17" s="19">
        <v>3.2000000000000002E-3</v>
      </c>
      <c r="B17" s="17">
        <v>25.158000000000001</v>
      </c>
      <c r="C17" s="8">
        <v>1.0030499999999999E-3</v>
      </c>
      <c r="D17" s="17">
        <v>42.951999999999998</v>
      </c>
      <c r="E17" s="21">
        <v>105.49</v>
      </c>
      <c r="F17" s="10">
        <v>2409.4</v>
      </c>
      <c r="G17" s="18">
        <v>105.49</v>
      </c>
      <c r="H17" s="10">
        <v>2546.8000000000002</v>
      </c>
      <c r="I17" s="10">
        <v>2441.3000000000002</v>
      </c>
      <c r="J17" s="20">
        <v>0.36945</v>
      </c>
      <c r="K17" s="19">
        <v>8.5533000000000001</v>
      </c>
      <c r="L17" s="19">
        <v>8.1837999999999997</v>
      </c>
    </row>
    <row r="18" spans="1:12" ht="18.75" customHeight="1" x14ac:dyDescent="0.25">
      <c r="A18" s="19">
        <v>3.5999999999999999E-3</v>
      </c>
      <c r="B18" s="17">
        <v>27.152000000000001</v>
      </c>
      <c r="C18" s="8">
        <v>1.00358E-3</v>
      </c>
      <c r="D18" s="17">
        <v>38.43</v>
      </c>
      <c r="E18" s="21">
        <v>113.83</v>
      </c>
      <c r="F18" s="10">
        <v>2412.1</v>
      </c>
      <c r="G18" s="18">
        <v>113.83</v>
      </c>
      <c r="H18" s="10">
        <v>2550.4</v>
      </c>
      <c r="I18" s="10">
        <v>2436.6</v>
      </c>
      <c r="J18" s="20">
        <v>0.39728999999999998</v>
      </c>
      <c r="K18" s="19">
        <v>8.5109999999999992</v>
      </c>
      <c r="L18" s="19">
        <v>8.1137999999999995</v>
      </c>
    </row>
    <row r="19" spans="1:12" ht="18.75" customHeight="1" x14ac:dyDescent="0.25">
      <c r="A19" s="19">
        <v>4.0000000000000001E-3</v>
      </c>
      <c r="B19" s="17">
        <v>28.96</v>
      </c>
      <c r="C19" s="8">
        <v>1.0041E-3</v>
      </c>
      <c r="D19" s="17">
        <v>34.790999999999997</v>
      </c>
      <c r="E19" s="21">
        <v>121.39</v>
      </c>
      <c r="F19" s="10">
        <v>2414.5</v>
      </c>
      <c r="G19" s="18">
        <v>121.39</v>
      </c>
      <c r="H19" s="10">
        <v>2553.6999999999998</v>
      </c>
      <c r="I19" s="10">
        <v>2432.3000000000002</v>
      </c>
      <c r="J19" s="20">
        <v>0.42238999999999999</v>
      </c>
      <c r="K19" s="19">
        <v>8.4733999999999998</v>
      </c>
      <c r="L19" s="19">
        <v>8.0510000000000002</v>
      </c>
    </row>
    <row r="20" spans="1:12" ht="18.600000000000001" customHeight="1" x14ac:dyDescent="0.25">
      <c r="A20" s="19">
        <v>4.4999999999999997E-3</v>
      </c>
      <c r="B20" s="17">
        <v>31.012</v>
      </c>
      <c r="C20" s="8">
        <v>1.0047299999999999E-3</v>
      </c>
      <c r="D20" s="17">
        <v>31.131</v>
      </c>
      <c r="E20" s="21">
        <v>129.96</v>
      </c>
      <c r="F20" s="10">
        <v>2417.3000000000002</v>
      </c>
      <c r="G20" s="18">
        <v>129.96</v>
      </c>
      <c r="H20" s="10">
        <v>2557.4</v>
      </c>
      <c r="I20" s="10">
        <v>2427.4</v>
      </c>
      <c r="J20" s="20">
        <v>0.45068999999999998</v>
      </c>
      <c r="K20" s="19">
        <v>8.4313000000000002</v>
      </c>
      <c r="L20" s="19">
        <v>7.9805999999999999</v>
      </c>
    </row>
    <row r="21" spans="1:12" ht="13.8" x14ac:dyDescent="0.25">
      <c r="A21" s="19">
        <v>5.0000000000000001E-3</v>
      </c>
      <c r="B21" s="17">
        <v>32.874000000000002</v>
      </c>
      <c r="C21" s="8">
        <v>1.00533E-3</v>
      </c>
      <c r="D21" s="17">
        <v>28.184999999999999</v>
      </c>
      <c r="E21" s="21">
        <v>137.74</v>
      </c>
      <c r="F21" s="10">
        <v>2419.8000000000002</v>
      </c>
      <c r="G21" s="18">
        <v>137.75</v>
      </c>
      <c r="H21" s="10">
        <v>2560.6999999999998</v>
      </c>
      <c r="I21" s="10">
        <v>2423</v>
      </c>
      <c r="J21" s="20">
        <v>0.47620000000000001</v>
      </c>
      <c r="K21" s="19">
        <v>8.3938000000000006</v>
      </c>
      <c r="L21" s="19">
        <v>7.9176000000000002</v>
      </c>
    </row>
    <row r="22" spans="1:12" ht="13.8" x14ac:dyDescent="0.25">
      <c r="A22" s="19">
        <v>5.4999999999999997E-3</v>
      </c>
      <c r="B22" s="17">
        <v>34.581000000000003</v>
      </c>
      <c r="C22" s="8">
        <v>1.0058999999999999E-3</v>
      </c>
      <c r="D22" s="17">
        <v>25.762</v>
      </c>
      <c r="E22" s="21">
        <v>144.87</v>
      </c>
      <c r="F22" s="10">
        <v>2422.1</v>
      </c>
      <c r="G22" s="18">
        <v>144.88</v>
      </c>
      <c r="H22" s="10">
        <v>2563.8000000000002</v>
      </c>
      <c r="I22" s="10">
        <v>2418.9</v>
      </c>
      <c r="J22" s="20">
        <v>0.49945000000000001</v>
      </c>
      <c r="K22" s="19">
        <v>8.3598999999999997</v>
      </c>
      <c r="L22" s="19">
        <v>7.8605</v>
      </c>
    </row>
    <row r="23" spans="1:12" ht="13.8" x14ac:dyDescent="0.25">
      <c r="A23" s="19">
        <v>6.0000000000000001E-3</v>
      </c>
      <c r="B23" s="17">
        <v>36.158999999999999</v>
      </c>
      <c r="C23" s="8">
        <v>1.0064500000000001E-3</v>
      </c>
      <c r="D23" s="17">
        <v>23.733000000000001</v>
      </c>
      <c r="E23" s="21">
        <v>151.47</v>
      </c>
      <c r="F23" s="10">
        <v>2424.1999999999998</v>
      </c>
      <c r="G23" s="18">
        <v>151.47999999999999</v>
      </c>
      <c r="H23" s="10">
        <v>2566.6</v>
      </c>
      <c r="I23" s="10">
        <v>2415.1999999999998</v>
      </c>
      <c r="J23" s="20">
        <v>0.52081999999999995</v>
      </c>
      <c r="K23" s="19">
        <v>8.3290000000000006</v>
      </c>
      <c r="L23" s="19">
        <v>7.8082000000000003</v>
      </c>
    </row>
    <row r="24" spans="1:12" ht="13.8" x14ac:dyDescent="0.25">
      <c r="A24" s="19">
        <v>6.4999999999999997E-3</v>
      </c>
      <c r="B24" s="17">
        <v>37.627000000000002</v>
      </c>
      <c r="C24" s="8">
        <v>1.0069899999999999E-3</v>
      </c>
      <c r="D24" s="17">
        <v>22.009</v>
      </c>
      <c r="E24" s="21">
        <v>157.6</v>
      </c>
      <c r="F24" s="10">
        <v>2426.1999999999998</v>
      </c>
      <c r="G24" s="18">
        <v>157.61000000000001</v>
      </c>
      <c r="H24" s="10">
        <v>2569.3000000000002</v>
      </c>
      <c r="I24" s="10">
        <v>2411.6</v>
      </c>
      <c r="J24" s="20">
        <v>0.54059999999999997</v>
      </c>
      <c r="K24" s="19">
        <v>8.3007000000000009</v>
      </c>
      <c r="L24" s="19">
        <v>7.7601000000000004</v>
      </c>
    </row>
    <row r="25" spans="1:12" ht="13.8" x14ac:dyDescent="0.25">
      <c r="A25" s="19">
        <v>7.0000000000000001E-3</v>
      </c>
      <c r="B25" s="17">
        <v>39</v>
      </c>
      <c r="C25" s="8">
        <v>1.0074999999999999E-3</v>
      </c>
      <c r="D25" s="17">
        <v>20.524000000000001</v>
      </c>
      <c r="E25" s="21">
        <v>163.34</v>
      </c>
      <c r="F25" s="10">
        <v>2428</v>
      </c>
      <c r="G25" s="18">
        <v>163.35</v>
      </c>
      <c r="H25" s="10">
        <v>2571.6999999999998</v>
      </c>
      <c r="I25" s="10">
        <v>2408.4</v>
      </c>
      <c r="J25" s="20">
        <v>0.55903000000000003</v>
      </c>
      <c r="K25" s="19">
        <v>8.2744999999999997</v>
      </c>
      <c r="L25" s="19">
        <v>7.7153999999999998</v>
      </c>
    </row>
    <row r="26" spans="1:12" ht="13.8" x14ac:dyDescent="0.25">
      <c r="A26" s="19">
        <v>7.4999999999999997E-3</v>
      </c>
      <c r="B26" s="17">
        <v>40.29</v>
      </c>
      <c r="C26" s="8">
        <v>1.008E-3</v>
      </c>
      <c r="D26" s="17">
        <v>19.233000000000001</v>
      </c>
      <c r="E26" s="21">
        <v>168.74</v>
      </c>
      <c r="F26" s="10">
        <v>2429.8000000000002</v>
      </c>
      <c r="G26" s="18">
        <v>168.75</v>
      </c>
      <c r="H26" s="10">
        <v>2574</v>
      </c>
      <c r="I26" s="10">
        <v>2405.3000000000002</v>
      </c>
      <c r="J26" s="20">
        <v>0.57626999999999995</v>
      </c>
      <c r="K26" s="19">
        <v>8.2500999999999998</v>
      </c>
      <c r="L26" s="19">
        <v>7.6738</v>
      </c>
    </row>
    <row r="27" spans="1:12" ht="13.8" x14ac:dyDescent="0.25">
      <c r="A27" s="19">
        <v>8.0000000000000002E-3</v>
      </c>
      <c r="B27" s="17">
        <v>41.509</v>
      </c>
      <c r="C27" s="8">
        <v>1.00848E-3</v>
      </c>
      <c r="D27" s="17">
        <v>18.099</v>
      </c>
      <c r="E27" s="21">
        <v>173.83</v>
      </c>
      <c r="F27" s="10">
        <v>2431.4</v>
      </c>
      <c r="G27" s="18">
        <v>173.84</v>
      </c>
      <c r="H27" s="10">
        <v>2576.1999999999998</v>
      </c>
      <c r="I27" s="10">
        <v>2402.4</v>
      </c>
      <c r="J27" s="20">
        <v>0.59248999999999996</v>
      </c>
      <c r="K27" s="19">
        <v>8.2272999999999996</v>
      </c>
      <c r="L27" s="19">
        <v>7.6348000000000003</v>
      </c>
    </row>
    <row r="28" spans="1:12" ht="13.8" x14ac:dyDescent="0.25">
      <c r="A28" s="19">
        <v>8.5000000000000006E-3</v>
      </c>
      <c r="B28" s="17">
        <v>42.662999999999997</v>
      </c>
      <c r="C28" s="8">
        <v>1.00895E-3</v>
      </c>
      <c r="D28" s="17">
        <v>17.094999999999999</v>
      </c>
      <c r="E28" s="21">
        <v>178.66</v>
      </c>
      <c r="F28" s="10">
        <v>2433</v>
      </c>
      <c r="G28" s="18">
        <v>178.67</v>
      </c>
      <c r="H28" s="10">
        <v>2578.3000000000002</v>
      </c>
      <c r="I28" s="10">
        <v>2399.6</v>
      </c>
      <c r="J28" s="20">
        <v>0.60780000000000001</v>
      </c>
      <c r="K28" s="19">
        <v>8.2059999999999995</v>
      </c>
      <c r="L28" s="19">
        <v>7.5982000000000003</v>
      </c>
    </row>
    <row r="29" spans="1:12" ht="13.8" x14ac:dyDescent="0.25">
      <c r="A29" s="19">
        <v>8.9999999999999993E-3</v>
      </c>
      <c r="B29" s="17">
        <v>43.761000000000003</v>
      </c>
      <c r="C29" s="8">
        <v>1.0093999999999999E-3</v>
      </c>
      <c r="D29" s="17">
        <v>16.199000000000002</v>
      </c>
      <c r="E29" s="21">
        <v>183.24</v>
      </c>
      <c r="F29" s="10">
        <v>2434.4</v>
      </c>
      <c r="G29" s="18">
        <v>183.25</v>
      </c>
      <c r="H29" s="10">
        <v>2580.1999999999998</v>
      </c>
      <c r="I29" s="10">
        <v>2397</v>
      </c>
      <c r="J29" s="20">
        <v>0.62229999999999996</v>
      </c>
      <c r="K29" s="19">
        <v>8.1858000000000004</v>
      </c>
      <c r="L29" s="19">
        <v>7.5635000000000003</v>
      </c>
    </row>
    <row r="30" spans="1:12" ht="13.8" x14ac:dyDescent="0.25">
      <c r="A30" s="19">
        <v>9.4999999999999998E-3</v>
      </c>
      <c r="B30" s="17">
        <v>44.807000000000002</v>
      </c>
      <c r="C30" s="8">
        <v>1.0098399999999999E-3</v>
      </c>
      <c r="D30" s="17">
        <v>15.396000000000001</v>
      </c>
      <c r="E30" s="21">
        <v>187.62</v>
      </c>
      <c r="F30" s="10">
        <v>2435.8000000000002</v>
      </c>
      <c r="G30" s="18">
        <v>187.63</v>
      </c>
      <c r="H30" s="10">
        <v>2582.1</v>
      </c>
      <c r="I30" s="10">
        <v>2394.5</v>
      </c>
      <c r="J30" s="20">
        <v>0.63607000000000002</v>
      </c>
      <c r="K30" s="19">
        <v>8.1668000000000003</v>
      </c>
      <c r="L30" s="19">
        <v>7.5308000000000002</v>
      </c>
    </row>
    <row r="31" spans="1:12" ht="13.8" x14ac:dyDescent="0.25">
      <c r="A31" s="9">
        <v>0.01</v>
      </c>
      <c r="B31" s="17">
        <v>45.805999999999997</v>
      </c>
      <c r="C31" s="8">
        <v>1.01027E-3</v>
      </c>
      <c r="D31" s="17">
        <v>14.67</v>
      </c>
      <c r="E31" s="21">
        <v>191.8</v>
      </c>
      <c r="F31" s="10">
        <v>2437.1999999999998</v>
      </c>
      <c r="G31" s="18">
        <v>191.81</v>
      </c>
      <c r="H31" s="10">
        <v>2583.9</v>
      </c>
      <c r="I31" s="10">
        <v>2392.1</v>
      </c>
      <c r="J31" s="20">
        <v>0.6492</v>
      </c>
      <c r="K31" s="19">
        <v>8.1487999999999996</v>
      </c>
      <c r="L31" s="19">
        <v>7.4996</v>
      </c>
    </row>
    <row r="32" spans="1:12" ht="13.8" x14ac:dyDescent="0.25">
      <c r="A32" s="9">
        <v>1.0999999999999999E-2</v>
      </c>
      <c r="B32" s="17">
        <v>47.683</v>
      </c>
      <c r="C32" s="8">
        <v>1.0111E-3</v>
      </c>
      <c r="D32" s="17">
        <v>13.412000000000001</v>
      </c>
      <c r="E32" s="21">
        <v>199.64</v>
      </c>
      <c r="F32" s="10">
        <v>2439.6999999999998</v>
      </c>
      <c r="G32" s="18">
        <v>199.65</v>
      </c>
      <c r="H32" s="10">
        <v>2587.1999999999998</v>
      </c>
      <c r="I32" s="10">
        <v>2387.5</v>
      </c>
      <c r="J32" s="20">
        <v>0.67371999999999999</v>
      </c>
      <c r="K32" s="19">
        <v>8.1153999999999993</v>
      </c>
      <c r="L32" s="19">
        <v>7.4417</v>
      </c>
    </row>
    <row r="33" spans="1:12" ht="13.8" x14ac:dyDescent="0.25">
      <c r="A33" s="9">
        <v>1.2E-2</v>
      </c>
      <c r="B33" s="17">
        <v>49.418999999999997</v>
      </c>
      <c r="C33" s="8">
        <v>1.0118799999999999E-3</v>
      </c>
      <c r="D33" s="17">
        <v>12.358000000000001</v>
      </c>
      <c r="E33" s="21">
        <v>206.9</v>
      </c>
      <c r="F33" s="10">
        <v>2442</v>
      </c>
      <c r="G33" s="18">
        <v>206.91</v>
      </c>
      <c r="H33" s="10">
        <v>2590.3000000000002</v>
      </c>
      <c r="I33" s="10">
        <v>2383.4</v>
      </c>
      <c r="J33" s="20">
        <v>0.69628000000000001</v>
      </c>
      <c r="K33" s="19">
        <v>8.0848999999999993</v>
      </c>
      <c r="L33" s="19">
        <v>7.3887</v>
      </c>
    </row>
    <row r="34" spans="1:12" ht="13.8" x14ac:dyDescent="0.25">
      <c r="A34" s="9">
        <v>1.2999999999999999E-2</v>
      </c>
      <c r="B34" s="17">
        <v>51.033999999999999</v>
      </c>
      <c r="C34" s="8">
        <v>1.01263E-3</v>
      </c>
      <c r="D34" s="17">
        <v>11.462</v>
      </c>
      <c r="E34" s="21">
        <v>213.66</v>
      </c>
      <c r="F34" s="10">
        <v>2444.1</v>
      </c>
      <c r="G34" s="18">
        <v>213.67</v>
      </c>
      <c r="H34" s="10">
        <v>2593.1</v>
      </c>
      <c r="I34" s="10">
        <v>2379.4</v>
      </c>
      <c r="J34" s="20">
        <v>0.71716999999999997</v>
      </c>
      <c r="K34" s="19">
        <v>8.0570000000000004</v>
      </c>
      <c r="L34" s="19">
        <v>7.3398000000000003</v>
      </c>
    </row>
    <row r="35" spans="1:12" ht="13.8" x14ac:dyDescent="0.25">
      <c r="A35" s="9">
        <v>1.4E-2</v>
      </c>
      <c r="B35" s="17">
        <v>52.546999999999997</v>
      </c>
      <c r="C35" s="8">
        <v>1.0133500000000001E-3</v>
      </c>
      <c r="D35" s="17">
        <v>10.691000000000001</v>
      </c>
      <c r="E35" s="21">
        <v>219.98</v>
      </c>
      <c r="F35" s="10">
        <v>2446.1</v>
      </c>
      <c r="G35" s="18">
        <v>219.99</v>
      </c>
      <c r="H35" s="10">
        <v>2595.8000000000002</v>
      </c>
      <c r="I35" s="10">
        <v>2375.8000000000002</v>
      </c>
      <c r="J35" s="20">
        <v>0.73663999999999996</v>
      </c>
      <c r="K35" s="19">
        <v>8.0311000000000003</v>
      </c>
      <c r="L35" s="19">
        <v>7.2945000000000002</v>
      </c>
    </row>
    <row r="36" spans="1:12" ht="13.8" x14ac:dyDescent="0.25">
      <c r="A36" s="9">
        <v>1.6E-2</v>
      </c>
      <c r="B36" s="17">
        <v>55.313000000000002</v>
      </c>
      <c r="C36" s="8">
        <v>1.01471E-3</v>
      </c>
      <c r="D36" s="22">
        <v>9.4306000000000001</v>
      </c>
      <c r="E36" s="21">
        <v>231.55</v>
      </c>
      <c r="F36" s="10">
        <v>2449.6999999999998</v>
      </c>
      <c r="G36" s="18">
        <v>231.57</v>
      </c>
      <c r="H36" s="10">
        <v>2600.6</v>
      </c>
      <c r="I36" s="10">
        <v>2369.1</v>
      </c>
      <c r="J36" s="20">
        <v>0.77200999999999997</v>
      </c>
      <c r="K36" s="19">
        <v>7.9846000000000004</v>
      </c>
      <c r="L36" s="19">
        <v>7.2126000000000001</v>
      </c>
    </row>
    <row r="37" spans="1:12" ht="13.8" x14ac:dyDescent="0.25">
      <c r="A37" s="9">
        <v>1.7999999999999999E-2</v>
      </c>
      <c r="B37" s="17">
        <v>57.798000000000002</v>
      </c>
      <c r="C37" s="8">
        <v>1.0159699999999999E-3</v>
      </c>
      <c r="D37" s="22">
        <v>8.4430999999999994</v>
      </c>
      <c r="E37" s="21">
        <v>241.94</v>
      </c>
      <c r="F37" s="10">
        <v>2453</v>
      </c>
      <c r="G37" s="18">
        <v>241.96</v>
      </c>
      <c r="H37" s="10">
        <v>2605</v>
      </c>
      <c r="I37" s="10">
        <v>2363</v>
      </c>
      <c r="J37" s="20">
        <v>0.80354999999999999</v>
      </c>
      <c r="K37" s="19">
        <v>7.9436999999999998</v>
      </c>
      <c r="L37" s="19">
        <v>7.1402000000000001</v>
      </c>
    </row>
    <row r="38" spans="1:12" ht="13.8" x14ac:dyDescent="0.25">
      <c r="A38" s="9">
        <v>0.02</v>
      </c>
      <c r="B38" s="17">
        <v>60.058</v>
      </c>
      <c r="C38" s="8">
        <v>1.01716E-3</v>
      </c>
      <c r="D38" s="22">
        <v>7.6479999999999997</v>
      </c>
      <c r="E38" s="21">
        <v>251.4</v>
      </c>
      <c r="F38" s="10">
        <v>2455.9</v>
      </c>
      <c r="G38" s="18">
        <v>251.42</v>
      </c>
      <c r="H38" s="10">
        <v>2608.9</v>
      </c>
      <c r="I38" s="10">
        <v>2357.5</v>
      </c>
      <c r="J38" s="20">
        <v>0.83201999999999998</v>
      </c>
      <c r="K38" s="19">
        <v>7.9071999999999996</v>
      </c>
      <c r="L38" s="19">
        <v>7.0751999999999997</v>
      </c>
    </row>
    <row r="39" spans="1:12" ht="13.8" x14ac:dyDescent="0.25">
      <c r="A39" s="9">
        <v>2.4E-2</v>
      </c>
      <c r="B39" s="17">
        <v>64.052999999999997</v>
      </c>
      <c r="C39" s="8">
        <v>1.0193400000000001E-3</v>
      </c>
      <c r="D39" s="22">
        <v>6.4452999999999996</v>
      </c>
      <c r="E39" s="21">
        <v>268.13</v>
      </c>
      <c r="F39" s="10">
        <v>2461.1999999999998</v>
      </c>
      <c r="G39" s="18">
        <v>268.14999999999998</v>
      </c>
      <c r="H39" s="10">
        <v>2615.9</v>
      </c>
      <c r="I39" s="10">
        <v>2347.6999999999998</v>
      </c>
      <c r="J39" s="20">
        <v>0.88190999999999997</v>
      </c>
      <c r="K39" s="19">
        <v>7.8441999999999998</v>
      </c>
      <c r="L39" s="19">
        <v>6.9622999999999999</v>
      </c>
    </row>
    <row r="40" spans="1:12" ht="13.8" x14ac:dyDescent="0.25">
      <c r="A40" s="9">
        <v>2.8000000000000001E-2</v>
      </c>
      <c r="B40" s="17">
        <v>67.518000000000001</v>
      </c>
      <c r="C40" s="8">
        <v>1.0213100000000001E-3</v>
      </c>
      <c r="D40" s="22">
        <v>5.5777999999999999</v>
      </c>
      <c r="E40" s="21">
        <v>282.63</v>
      </c>
      <c r="F40" s="10">
        <v>2465.6</v>
      </c>
      <c r="G40" s="18">
        <v>282.66000000000003</v>
      </c>
      <c r="H40" s="10">
        <v>2621.8</v>
      </c>
      <c r="I40" s="10">
        <v>2339.1999999999998</v>
      </c>
      <c r="J40" s="20">
        <v>0.92471999999999999</v>
      </c>
      <c r="K40" s="19">
        <v>7.7911999999999999</v>
      </c>
      <c r="L40" s="19">
        <v>6.8663999999999996</v>
      </c>
    </row>
    <row r="41" spans="1:12" ht="13.8" x14ac:dyDescent="0.25">
      <c r="A41" s="9">
        <v>3.2000000000000001E-2</v>
      </c>
      <c r="B41" s="17">
        <v>70.585999999999999</v>
      </c>
      <c r="C41" s="8">
        <v>1.02312E-3</v>
      </c>
      <c r="D41" s="22">
        <v>4.9215</v>
      </c>
      <c r="E41" s="21">
        <v>295.49</v>
      </c>
      <c r="F41" s="10">
        <v>2469.6</v>
      </c>
      <c r="G41" s="18">
        <v>295.52</v>
      </c>
      <c r="H41" s="10">
        <v>2627.1</v>
      </c>
      <c r="I41" s="10">
        <v>2331.6</v>
      </c>
      <c r="J41" s="20">
        <v>0.96228000000000002</v>
      </c>
      <c r="K41" s="19">
        <v>7.7453000000000003</v>
      </c>
      <c r="L41" s="19">
        <v>6.7830000000000004</v>
      </c>
    </row>
    <row r="42" spans="1:12" ht="13.8" x14ac:dyDescent="0.25">
      <c r="A42" s="9">
        <v>3.5999999999999997E-2</v>
      </c>
      <c r="B42" s="17">
        <v>73.344999999999999</v>
      </c>
      <c r="C42" s="8">
        <v>1.0248E-3</v>
      </c>
      <c r="D42" s="22">
        <v>4.4071999999999996</v>
      </c>
      <c r="E42" s="21">
        <v>307.05</v>
      </c>
      <c r="F42" s="10">
        <v>2473.1</v>
      </c>
      <c r="G42" s="18">
        <v>307.08999999999997</v>
      </c>
      <c r="H42" s="10">
        <v>2631.8</v>
      </c>
      <c r="I42" s="10">
        <v>2324.6999999999998</v>
      </c>
      <c r="J42" s="20">
        <v>0.99578999999999995</v>
      </c>
      <c r="K42" s="19">
        <v>7.7050000000000001</v>
      </c>
      <c r="L42" s="19">
        <v>6.7092000000000001</v>
      </c>
    </row>
    <row r="43" spans="1:12" ht="13.8" x14ac:dyDescent="0.25">
      <c r="A43" s="9">
        <v>0.04</v>
      </c>
      <c r="B43" s="17">
        <v>75.856999999999999</v>
      </c>
      <c r="C43" s="8">
        <v>1.0263799999999999E-3</v>
      </c>
      <c r="D43" s="22">
        <v>3.9929999999999999</v>
      </c>
      <c r="E43" s="21">
        <v>317.58</v>
      </c>
      <c r="F43" s="10">
        <v>2476.4</v>
      </c>
      <c r="G43" s="18">
        <v>317.62</v>
      </c>
      <c r="H43" s="10">
        <v>2636.1</v>
      </c>
      <c r="I43" s="10">
        <v>2318.4</v>
      </c>
      <c r="J43" s="22">
        <v>1.0261</v>
      </c>
      <c r="K43" s="19">
        <v>7.6689999999999996</v>
      </c>
      <c r="L43" s="19">
        <v>6.6429</v>
      </c>
    </row>
    <row r="44" spans="1:12" ht="13.8" x14ac:dyDescent="0.25">
      <c r="A44" s="9">
        <v>4.4999999999999998E-2</v>
      </c>
      <c r="B44" s="17">
        <v>78.715000000000003</v>
      </c>
      <c r="C44" s="8">
        <v>1.0282100000000001E-3</v>
      </c>
      <c r="D44" s="22">
        <v>3.5758999999999999</v>
      </c>
      <c r="E44" s="21">
        <v>329.57</v>
      </c>
      <c r="F44" s="10">
        <v>2480</v>
      </c>
      <c r="G44" s="18">
        <v>329.62</v>
      </c>
      <c r="H44" s="10">
        <v>2640.9</v>
      </c>
      <c r="I44" s="10">
        <v>2311.1999999999998</v>
      </c>
      <c r="J44" s="22">
        <v>1.0603</v>
      </c>
      <c r="K44" s="19">
        <v>7.6288</v>
      </c>
      <c r="L44" s="19">
        <v>6.5686</v>
      </c>
    </row>
    <row r="45" spans="1:12" ht="13.8" x14ac:dyDescent="0.25">
      <c r="A45" s="9">
        <v>0.05</v>
      </c>
      <c r="B45" s="17">
        <v>81.316999999999993</v>
      </c>
      <c r="C45" s="8">
        <v>1.0299300000000001E-3</v>
      </c>
      <c r="D45" s="22">
        <v>3.24</v>
      </c>
      <c r="E45" s="21">
        <v>340.49</v>
      </c>
      <c r="F45" s="10">
        <v>2483.1999999999998</v>
      </c>
      <c r="G45" s="18">
        <v>340.54</v>
      </c>
      <c r="H45" s="10">
        <v>2645.2</v>
      </c>
      <c r="I45" s="10">
        <v>2304.6999999999998</v>
      </c>
      <c r="J45" s="22">
        <v>1.0911999999999999</v>
      </c>
      <c r="K45" s="19">
        <v>7.593</v>
      </c>
      <c r="L45" s="19">
        <v>6.5018000000000002</v>
      </c>
    </row>
    <row r="46" spans="1:12" ht="13.8" x14ac:dyDescent="0.25">
      <c r="A46" s="9">
        <v>5.5E-2</v>
      </c>
      <c r="B46" s="17">
        <v>83.709000000000003</v>
      </c>
      <c r="C46" s="8">
        <v>1.0315400000000001E-3</v>
      </c>
      <c r="D46" s="22">
        <v>2.9634999999999998</v>
      </c>
      <c r="E46" s="18">
        <v>350.53</v>
      </c>
      <c r="F46" s="10">
        <v>2486.1999999999998</v>
      </c>
      <c r="G46" s="18">
        <v>350.59</v>
      </c>
      <c r="H46" s="10">
        <v>2649.2</v>
      </c>
      <c r="I46" s="10">
        <v>2298.6</v>
      </c>
      <c r="J46" s="19">
        <v>1.1194</v>
      </c>
      <c r="K46" s="19">
        <v>7.5606</v>
      </c>
      <c r="L46" s="19">
        <v>6.4412000000000003</v>
      </c>
    </row>
    <row r="47" spans="1:12" ht="13.8" x14ac:dyDescent="0.25">
      <c r="A47" s="9">
        <v>0.06</v>
      </c>
      <c r="B47" s="17">
        <v>85.926000000000002</v>
      </c>
      <c r="C47" s="8">
        <v>1.0330700000000001E-3</v>
      </c>
      <c r="D47" s="22">
        <v>2.7317</v>
      </c>
      <c r="E47" s="18">
        <v>359.85</v>
      </c>
      <c r="F47" s="10">
        <v>2489</v>
      </c>
      <c r="G47" s="18">
        <v>359.91</v>
      </c>
      <c r="H47" s="10">
        <v>2652.9</v>
      </c>
      <c r="I47" s="10">
        <v>2292.9</v>
      </c>
      <c r="J47" s="19">
        <v>1.1454</v>
      </c>
      <c r="K47" s="19">
        <v>7.5311000000000003</v>
      </c>
      <c r="L47" s="19">
        <v>6.3856999999999999</v>
      </c>
    </row>
    <row r="48" spans="1:12" ht="13.8" x14ac:dyDescent="0.25">
      <c r="A48" s="9">
        <v>6.5000000000000002E-2</v>
      </c>
      <c r="B48" s="17">
        <v>87.992999999999995</v>
      </c>
      <c r="C48" s="8">
        <v>1.0345199999999999E-3</v>
      </c>
      <c r="D48" s="22">
        <v>2.5346000000000002</v>
      </c>
      <c r="E48" s="18">
        <v>368.53</v>
      </c>
      <c r="F48" s="10">
        <v>2491.6</v>
      </c>
      <c r="G48" s="18">
        <v>368.6</v>
      </c>
      <c r="H48" s="10">
        <v>2656.3</v>
      </c>
      <c r="I48" s="10">
        <v>2287.6999999999998</v>
      </c>
      <c r="J48" s="19">
        <v>1.1696</v>
      </c>
      <c r="K48" s="19">
        <v>7.5039999999999996</v>
      </c>
      <c r="L48" s="19">
        <v>6.3345000000000002</v>
      </c>
    </row>
    <row r="49" spans="1:12" ht="13.8" x14ac:dyDescent="0.25">
      <c r="A49" s="9">
        <v>7.0000000000000007E-2</v>
      </c>
      <c r="B49" s="17">
        <v>89.932000000000002</v>
      </c>
      <c r="C49" s="8">
        <v>1.0359E-3</v>
      </c>
      <c r="D49" s="22">
        <v>2.3647999999999998</v>
      </c>
      <c r="E49" s="18">
        <v>376.68</v>
      </c>
      <c r="F49" s="10">
        <v>2493.9</v>
      </c>
      <c r="G49" s="18">
        <v>376.75</v>
      </c>
      <c r="H49" s="10">
        <v>2659.4</v>
      </c>
      <c r="I49" s="10">
        <v>2282.6999999999998</v>
      </c>
      <c r="J49" s="19">
        <v>1.1920999999999999</v>
      </c>
      <c r="K49" s="19">
        <v>7.4790000000000001</v>
      </c>
      <c r="L49" s="19">
        <v>6.2869000000000002</v>
      </c>
    </row>
    <row r="50" spans="1:12" ht="13.8" x14ac:dyDescent="0.25">
      <c r="A50" s="9">
        <v>7.4999999999999997E-2</v>
      </c>
      <c r="B50" s="17">
        <v>91.757999999999996</v>
      </c>
      <c r="C50" s="8">
        <v>1.0372300000000001E-3</v>
      </c>
      <c r="D50" s="22">
        <v>2.2170000000000001</v>
      </c>
      <c r="E50" s="18">
        <v>384.36</v>
      </c>
      <c r="F50" s="10">
        <v>2496.1</v>
      </c>
      <c r="G50" s="18">
        <v>384.44</v>
      </c>
      <c r="H50" s="10">
        <v>2662.4</v>
      </c>
      <c r="I50" s="10">
        <v>2277.9</v>
      </c>
      <c r="J50" s="19">
        <v>1.2132000000000001</v>
      </c>
      <c r="K50" s="19">
        <v>7.4557000000000002</v>
      </c>
      <c r="L50" s="19">
        <v>6.2424999999999997</v>
      </c>
    </row>
    <row r="51" spans="1:12" ht="13.8" x14ac:dyDescent="0.25">
      <c r="A51" s="9">
        <v>0.08</v>
      </c>
      <c r="B51" s="17">
        <v>93.486000000000004</v>
      </c>
      <c r="C51" s="8">
        <v>1.0384999999999999E-3</v>
      </c>
      <c r="D51" s="22">
        <v>2.0871</v>
      </c>
      <c r="E51" s="18">
        <v>391.63</v>
      </c>
      <c r="F51" s="10">
        <v>2498.1999999999998</v>
      </c>
      <c r="G51" s="18">
        <v>391.71</v>
      </c>
      <c r="H51" s="10">
        <v>2665.2</v>
      </c>
      <c r="I51" s="10">
        <v>2273.5</v>
      </c>
      <c r="J51" s="19">
        <v>1.2330000000000001</v>
      </c>
      <c r="K51" s="19">
        <v>7.4339000000000004</v>
      </c>
      <c r="L51" s="19">
        <v>6.2008999999999999</v>
      </c>
    </row>
    <row r="52" spans="1:12" ht="13.8" x14ac:dyDescent="0.25">
      <c r="A52" s="9">
        <v>8.5000000000000006E-2</v>
      </c>
      <c r="B52" s="17">
        <v>95.125</v>
      </c>
      <c r="C52" s="8">
        <v>1.0397200000000001E-3</v>
      </c>
      <c r="D52" s="22">
        <v>1.972</v>
      </c>
      <c r="E52" s="18">
        <v>398.53</v>
      </c>
      <c r="F52" s="10">
        <v>2500.1999999999998</v>
      </c>
      <c r="G52" s="18">
        <v>398.62</v>
      </c>
      <c r="H52" s="10">
        <v>2667.8</v>
      </c>
      <c r="I52" s="10">
        <v>2269.1999999999998</v>
      </c>
      <c r="J52" s="19">
        <v>1.2518</v>
      </c>
      <c r="K52" s="19">
        <v>7.4135</v>
      </c>
      <c r="L52" s="19">
        <v>6.1616999999999997</v>
      </c>
    </row>
    <row r="53" spans="1:12" ht="13.8" x14ac:dyDescent="0.25">
      <c r="A53" s="9">
        <v>0.09</v>
      </c>
      <c r="B53" s="17">
        <v>96.686999999999998</v>
      </c>
      <c r="C53" s="8">
        <v>1.0409099999999999E-3</v>
      </c>
      <c r="D53" s="22">
        <v>1.8694</v>
      </c>
      <c r="E53" s="18">
        <v>405.11</v>
      </c>
      <c r="F53" s="10">
        <v>2502.1</v>
      </c>
      <c r="G53" s="18">
        <v>405.2</v>
      </c>
      <c r="H53" s="10">
        <v>2670.3</v>
      </c>
      <c r="I53" s="10">
        <v>2265.1</v>
      </c>
      <c r="J53" s="19">
        <v>1.2696000000000001</v>
      </c>
      <c r="K53" s="19">
        <v>7.3943000000000003</v>
      </c>
      <c r="L53" s="19">
        <v>6.1246</v>
      </c>
    </row>
    <row r="54" spans="1:12" ht="13.8" x14ac:dyDescent="0.25">
      <c r="A54" s="9">
        <v>9.5000000000000001E-2</v>
      </c>
      <c r="B54" s="17">
        <v>98.177999999999997</v>
      </c>
      <c r="C54" s="8">
        <v>1.0420500000000001E-3</v>
      </c>
      <c r="D54" s="22">
        <v>1.7771999999999999</v>
      </c>
      <c r="E54" s="18">
        <v>411.38</v>
      </c>
      <c r="F54" s="10">
        <v>2503.9</v>
      </c>
      <c r="G54" s="18">
        <v>411.48</v>
      </c>
      <c r="H54" s="10">
        <v>2672.7</v>
      </c>
      <c r="I54" s="10">
        <v>2261.1999999999998</v>
      </c>
      <c r="J54" s="19">
        <v>1.2866</v>
      </c>
      <c r="K54" s="19">
        <v>7.3761000000000001</v>
      </c>
      <c r="L54" s="19">
        <v>6.0895000000000001</v>
      </c>
    </row>
    <row r="55" spans="1:12" ht="13.8" x14ac:dyDescent="0.25">
      <c r="A55" s="18">
        <v>0.1</v>
      </c>
      <c r="B55" s="17">
        <v>99.605999999999995</v>
      </c>
      <c r="C55" s="8">
        <v>1.0431500000000001E-3</v>
      </c>
      <c r="D55" s="22">
        <v>1.6939</v>
      </c>
      <c r="E55" s="18">
        <v>417.4</v>
      </c>
      <c r="F55" s="10">
        <v>2505.5</v>
      </c>
      <c r="G55" s="18">
        <v>417.5</v>
      </c>
      <c r="H55" s="10">
        <v>2674.9</v>
      </c>
      <c r="I55" s="10">
        <v>2257.4</v>
      </c>
      <c r="J55" s="19">
        <v>1.3028</v>
      </c>
      <c r="K55" s="19">
        <v>7.3587999999999996</v>
      </c>
      <c r="L55" s="19">
        <v>6.0560999999999998</v>
      </c>
    </row>
    <row r="56" spans="1:12" ht="13.8" x14ac:dyDescent="0.25">
      <c r="A56" s="18">
        <v>0.11</v>
      </c>
      <c r="B56" s="17">
        <v>102.292</v>
      </c>
      <c r="C56" s="8">
        <v>1.0452700000000001E-3</v>
      </c>
      <c r="D56" s="22">
        <v>1.5495000000000001</v>
      </c>
      <c r="E56" s="18">
        <v>428.73</v>
      </c>
      <c r="F56" s="10">
        <v>2508.8000000000002</v>
      </c>
      <c r="G56" s="18">
        <v>428.84</v>
      </c>
      <c r="H56" s="10">
        <v>2679.2</v>
      </c>
      <c r="I56" s="10">
        <v>2250.3000000000002</v>
      </c>
      <c r="J56" s="19">
        <v>1.333</v>
      </c>
      <c r="K56" s="19">
        <v>7.3269000000000002</v>
      </c>
      <c r="L56" s="19">
        <v>5.9938000000000002</v>
      </c>
    </row>
    <row r="57" spans="1:12" ht="13.8" x14ac:dyDescent="0.25">
      <c r="A57" s="18">
        <v>0.12</v>
      </c>
      <c r="B57" s="17">
        <v>104.78400000000001</v>
      </c>
      <c r="C57" s="8">
        <v>1.0472700000000001E-3</v>
      </c>
      <c r="D57" s="22">
        <v>1.4283999999999999</v>
      </c>
      <c r="E57" s="18">
        <v>439.23</v>
      </c>
      <c r="F57" s="10">
        <v>2511.6999999999998</v>
      </c>
      <c r="G57" s="18">
        <v>439.36</v>
      </c>
      <c r="H57" s="10">
        <v>2683.1</v>
      </c>
      <c r="I57" s="10">
        <v>2243.6999999999998</v>
      </c>
      <c r="J57" s="19">
        <v>1.3609</v>
      </c>
      <c r="K57" s="19">
        <v>7.2976999999999999</v>
      </c>
      <c r="L57" s="19">
        <v>5.9367000000000001</v>
      </c>
    </row>
    <row r="58" spans="1:12" ht="13.8" x14ac:dyDescent="0.25">
      <c r="A58" s="18">
        <v>0.13</v>
      </c>
      <c r="B58" s="17">
        <v>107.10899999999999</v>
      </c>
      <c r="C58" s="8">
        <v>1.0491700000000001E-3</v>
      </c>
      <c r="D58" s="22">
        <v>1.3252999999999999</v>
      </c>
      <c r="E58" s="18">
        <v>449.05</v>
      </c>
      <c r="F58" s="10">
        <v>2514.3000000000002</v>
      </c>
      <c r="G58" s="18">
        <v>449.19</v>
      </c>
      <c r="H58" s="10">
        <v>2686.6</v>
      </c>
      <c r="I58" s="10">
        <v>2237.5</v>
      </c>
      <c r="J58" s="19">
        <v>1.3868</v>
      </c>
      <c r="K58" s="19">
        <v>7.2709000000000001</v>
      </c>
      <c r="L58" s="19">
        <v>5.8840000000000003</v>
      </c>
    </row>
    <row r="59" spans="1:12" ht="13.8" x14ac:dyDescent="0.25">
      <c r="A59" s="18">
        <v>0.14000000000000001</v>
      </c>
      <c r="B59" s="17">
        <v>109.292</v>
      </c>
      <c r="C59" s="8">
        <v>1.0509899999999999E-3</v>
      </c>
      <c r="D59" s="22">
        <v>1.2365999999999999</v>
      </c>
      <c r="E59" s="18">
        <v>458.27</v>
      </c>
      <c r="F59" s="10">
        <v>2516.9</v>
      </c>
      <c r="G59" s="18">
        <v>458.42</v>
      </c>
      <c r="H59" s="10">
        <v>2690</v>
      </c>
      <c r="I59" s="10">
        <v>2231.6</v>
      </c>
      <c r="J59" s="19">
        <v>1.411</v>
      </c>
      <c r="K59" s="19">
        <v>7.2461000000000002</v>
      </c>
      <c r="L59" s="19">
        <v>5.8350999999999997</v>
      </c>
    </row>
    <row r="60" spans="1:12" ht="13.8" x14ac:dyDescent="0.25">
      <c r="A60" s="18">
        <v>0.15</v>
      </c>
      <c r="B60" s="17">
        <v>111.349</v>
      </c>
      <c r="C60" s="8">
        <v>1.05273E-3</v>
      </c>
      <c r="D60" s="22">
        <v>1.1593</v>
      </c>
      <c r="E60" s="18">
        <v>466.97</v>
      </c>
      <c r="F60" s="10">
        <v>2519.1999999999998</v>
      </c>
      <c r="G60" s="18">
        <v>467.13</v>
      </c>
      <c r="H60" s="10">
        <v>2693.1</v>
      </c>
      <c r="I60" s="10">
        <v>2226</v>
      </c>
      <c r="J60" s="19">
        <v>1.4337</v>
      </c>
      <c r="K60" s="19">
        <v>7.2229999999999999</v>
      </c>
      <c r="L60" s="19">
        <v>5.7892999999999999</v>
      </c>
    </row>
    <row r="61" spans="1:12" ht="13.8" x14ac:dyDescent="0.25">
      <c r="A61" s="18">
        <v>0.16</v>
      </c>
      <c r="B61" s="17">
        <v>113.297</v>
      </c>
      <c r="C61" s="8">
        <v>1.0544E-3</v>
      </c>
      <c r="D61" s="22">
        <v>1.0913999999999999</v>
      </c>
      <c r="E61" s="18">
        <v>475.21</v>
      </c>
      <c r="F61" s="10">
        <v>2521.4</v>
      </c>
      <c r="G61" s="18">
        <v>475.38</v>
      </c>
      <c r="H61" s="10">
        <v>2696</v>
      </c>
      <c r="I61" s="10">
        <v>2220.6999999999998</v>
      </c>
      <c r="J61" s="19">
        <v>1.4551000000000001</v>
      </c>
      <c r="K61" s="19">
        <v>7.2013999999999996</v>
      </c>
      <c r="L61" s="19">
        <v>5.7462999999999997</v>
      </c>
    </row>
    <row r="62" spans="1:12" ht="13.8" x14ac:dyDescent="0.25">
      <c r="A62" s="18">
        <v>0.17</v>
      </c>
      <c r="B62" s="17">
        <v>115.148</v>
      </c>
      <c r="C62" s="8">
        <v>1.0560000000000001E-3</v>
      </c>
      <c r="D62" s="22">
        <v>1.0311999999999999</v>
      </c>
      <c r="E62" s="18">
        <v>483.04</v>
      </c>
      <c r="F62" s="10">
        <v>2523.5</v>
      </c>
      <c r="G62" s="18">
        <v>483.22</v>
      </c>
      <c r="H62" s="10">
        <v>2698.8</v>
      </c>
      <c r="I62" s="10">
        <v>2215.6</v>
      </c>
      <c r="J62" s="19">
        <v>1.4753000000000001</v>
      </c>
      <c r="K62" s="19">
        <v>7.1811999999999996</v>
      </c>
      <c r="L62" s="19">
        <v>5.7058999999999997</v>
      </c>
    </row>
    <row r="63" spans="1:12" ht="13.8" x14ac:dyDescent="0.25">
      <c r="A63" s="18">
        <v>0.18</v>
      </c>
      <c r="B63" s="17">
        <v>116.911</v>
      </c>
      <c r="C63" s="8">
        <v>1.0575599999999999E-3</v>
      </c>
      <c r="D63" s="20">
        <v>0.97746999999999995</v>
      </c>
      <c r="E63" s="18">
        <v>490.51</v>
      </c>
      <c r="F63" s="10">
        <v>2525.5</v>
      </c>
      <c r="G63" s="18">
        <v>490.7</v>
      </c>
      <c r="H63" s="10">
        <v>2701.4</v>
      </c>
      <c r="I63" s="10">
        <v>2210.6999999999998</v>
      </c>
      <c r="J63" s="19">
        <v>1.4944999999999999</v>
      </c>
      <c r="K63" s="19">
        <v>7.1620999999999997</v>
      </c>
      <c r="L63" s="19">
        <v>5.6676000000000002</v>
      </c>
    </row>
    <row r="64" spans="1:12" ht="13.8" x14ac:dyDescent="0.25">
      <c r="A64" s="18">
        <v>0.19</v>
      </c>
      <c r="B64" s="17">
        <v>118.596</v>
      </c>
      <c r="C64" s="8">
        <v>1.0590599999999999E-3</v>
      </c>
      <c r="D64" s="20">
        <v>0.92923999999999995</v>
      </c>
      <c r="E64" s="18">
        <v>497.65</v>
      </c>
      <c r="F64" s="10">
        <v>2527.3000000000002</v>
      </c>
      <c r="G64" s="18">
        <v>497.85</v>
      </c>
      <c r="H64" s="10">
        <v>2703.9</v>
      </c>
      <c r="I64" s="10">
        <v>2206</v>
      </c>
      <c r="J64" s="19">
        <v>1.5126999999999999</v>
      </c>
      <c r="K64" s="19">
        <v>7.1440000000000001</v>
      </c>
      <c r="L64" s="19">
        <v>5.6313000000000004</v>
      </c>
    </row>
    <row r="65" spans="1:12" ht="13.8" x14ac:dyDescent="0.25">
      <c r="A65" s="18">
        <v>0.2</v>
      </c>
      <c r="B65" s="17">
        <v>120.21</v>
      </c>
      <c r="C65" s="8">
        <v>1.0605199999999999E-3</v>
      </c>
      <c r="D65" s="20">
        <v>0.88568000000000002</v>
      </c>
      <c r="E65" s="18">
        <v>504.49</v>
      </c>
      <c r="F65" s="10">
        <v>2529.1</v>
      </c>
      <c r="G65" s="18">
        <v>504.7</v>
      </c>
      <c r="H65" s="10">
        <v>2706.2</v>
      </c>
      <c r="I65" s="10">
        <v>2201.5</v>
      </c>
      <c r="J65" s="19">
        <v>1.5302</v>
      </c>
      <c r="K65" s="19">
        <v>7.1269</v>
      </c>
      <c r="L65" s="19">
        <v>5.5967000000000002</v>
      </c>
    </row>
    <row r="66" spans="1:12" ht="13.8" x14ac:dyDescent="0.25">
      <c r="A66" s="18">
        <v>0.21</v>
      </c>
      <c r="B66" s="17">
        <v>121.759</v>
      </c>
      <c r="C66" s="8">
        <v>1.06193E-3</v>
      </c>
      <c r="D66" s="20">
        <v>0.84614</v>
      </c>
      <c r="E66" s="18">
        <v>511.07</v>
      </c>
      <c r="F66" s="10">
        <v>2530.8000000000002</v>
      </c>
      <c r="G66" s="18">
        <v>511.29</v>
      </c>
      <c r="H66" s="10">
        <v>2708.5</v>
      </c>
      <c r="I66" s="10">
        <v>2197.1999999999998</v>
      </c>
      <c r="J66" s="19">
        <v>1.5468999999999999</v>
      </c>
      <c r="K66" s="19">
        <v>7.1105999999999998</v>
      </c>
      <c r="L66" s="19">
        <v>5.5637999999999996</v>
      </c>
    </row>
    <row r="67" spans="1:12" ht="13.8" x14ac:dyDescent="0.25">
      <c r="A67" s="18">
        <v>0.22</v>
      </c>
      <c r="B67" s="17">
        <v>123.25</v>
      </c>
      <c r="C67" s="8">
        <v>1.0633000000000001E-3</v>
      </c>
      <c r="D67" s="20">
        <v>0.81006999999999996</v>
      </c>
      <c r="E67" s="18">
        <v>517.4</v>
      </c>
      <c r="F67" s="10">
        <v>2532.4</v>
      </c>
      <c r="G67" s="18">
        <v>517.63</v>
      </c>
      <c r="H67" s="10">
        <v>2710.6</v>
      </c>
      <c r="I67" s="10">
        <v>2193</v>
      </c>
      <c r="J67" s="19">
        <v>1.5628</v>
      </c>
      <c r="K67" s="19">
        <v>7.0951000000000004</v>
      </c>
      <c r="L67" s="19">
        <v>5.5323000000000002</v>
      </c>
    </row>
    <row r="68" spans="1:12" ht="13.8" x14ac:dyDescent="0.25">
      <c r="A68" s="18">
        <v>0.23</v>
      </c>
      <c r="B68" s="17">
        <v>124.68600000000001</v>
      </c>
      <c r="C68" s="8">
        <v>1.0646399999999999E-3</v>
      </c>
      <c r="D68" s="20">
        <v>0.77703999999999995</v>
      </c>
      <c r="E68" s="18">
        <v>523.5</v>
      </c>
      <c r="F68" s="10">
        <v>2534</v>
      </c>
      <c r="G68" s="18">
        <v>523.74</v>
      </c>
      <c r="H68" s="10">
        <v>2712.7</v>
      </c>
      <c r="I68" s="10">
        <v>2188.9</v>
      </c>
      <c r="J68" s="19">
        <v>1.5782</v>
      </c>
      <c r="K68" s="19">
        <v>7.0803000000000003</v>
      </c>
      <c r="L68" s="19">
        <v>5.5021000000000004</v>
      </c>
    </row>
    <row r="69" spans="1:12" ht="13.8" x14ac:dyDescent="0.25">
      <c r="A69" s="18">
        <v>0.24</v>
      </c>
      <c r="B69" s="17">
        <v>126.072</v>
      </c>
      <c r="C69" s="8">
        <v>1.06594E-3</v>
      </c>
      <c r="D69" s="20">
        <v>0.74668000000000001</v>
      </c>
      <c r="E69" s="18">
        <v>529.38</v>
      </c>
      <c r="F69" s="10">
        <v>2535.4</v>
      </c>
      <c r="G69" s="18">
        <v>529.64</v>
      </c>
      <c r="H69" s="10">
        <v>2714.6</v>
      </c>
      <c r="I69" s="10">
        <v>2185</v>
      </c>
      <c r="J69" s="19">
        <v>1.593</v>
      </c>
      <c r="K69" s="19">
        <v>7.0660999999999996</v>
      </c>
      <c r="L69" s="19">
        <v>5.4730999999999996</v>
      </c>
    </row>
    <row r="70" spans="1:12" ht="13.8" x14ac:dyDescent="0.25">
      <c r="A70" s="18">
        <v>0.25</v>
      </c>
      <c r="B70" s="17">
        <v>127.411</v>
      </c>
      <c r="C70" s="8">
        <v>1.06722E-3</v>
      </c>
      <c r="D70" s="20">
        <v>0.71865999999999997</v>
      </c>
      <c r="E70" s="18">
        <v>535.07000000000005</v>
      </c>
      <c r="F70" s="10">
        <v>2536.8000000000002</v>
      </c>
      <c r="G70" s="18">
        <v>535.34</v>
      </c>
      <c r="H70" s="10">
        <v>2716.5</v>
      </c>
      <c r="I70" s="10">
        <v>2181.1</v>
      </c>
      <c r="J70" s="19">
        <v>1.6072</v>
      </c>
      <c r="K70" s="19">
        <v>7.0523999999999996</v>
      </c>
      <c r="L70" s="19">
        <v>5.4451999999999998</v>
      </c>
    </row>
    <row r="71" spans="1:12" ht="13.8" x14ac:dyDescent="0.25">
      <c r="A71" s="18">
        <v>0.26</v>
      </c>
      <c r="B71" s="17">
        <v>128.708</v>
      </c>
      <c r="C71" s="8">
        <v>1.06846E-3</v>
      </c>
      <c r="D71" s="20">
        <v>0.69272999999999996</v>
      </c>
      <c r="E71" s="18">
        <v>540.59</v>
      </c>
      <c r="F71" s="10">
        <v>2538.1999999999998</v>
      </c>
      <c r="G71" s="18">
        <v>540.87</v>
      </c>
      <c r="H71" s="10">
        <v>2718.3</v>
      </c>
      <c r="I71" s="10">
        <v>2177.4</v>
      </c>
      <c r="J71" s="19">
        <v>1.621</v>
      </c>
      <c r="K71" s="19">
        <v>7.0393999999999997</v>
      </c>
      <c r="L71" s="19">
        <v>5.4184000000000001</v>
      </c>
    </row>
    <row r="72" spans="1:12" ht="13.8" x14ac:dyDescent="0.25">
      <c r="A72" s="18">
        <v>0.27</v>
      </c>
      <c r="B72" s="17">
        <v>129.965</v>
      </c>
      <c r="C72" s="8">
        <v>1.0696799999999999E-3</v>
      </c>
      <c r="D72" s="20">
        <v>0.66864999999999997</v>
      </c>
      <c r="E72" s="18">
        <v>545.95000000000005</v>
      </c>
      <c r="F72" s="10">
        <v>2539.5</v>
      </c>
      <c r="G72" s="18">
        <v>546.24</v>
      </c>
      <c r="H72" s="10">
        <v>2720</v>
      </c>
      <c r="I72" s="10">
        <v>2173.8000000000002</v>
      </c>
      <c r="J72" s="19">
        <v>1.6343000000000001</v>
      </c>
      <c r="K72" s="19">
        <v>7.0267999999999997</v>
      </c>
      <c r="L72" s="19">
        <v>5.3925000000000001</v>
      </c>
    </row>
    <row r="73" spans="1:12" ht="13.8" x14ac:dyDescent="0.25">
      <c r="A73" s="18">
        <v>0.28000000000000003</v>
      </c>
      <c r="B73" s="17">
        <v>131.185</v>
      </c>
      <c r="C73" s="8">
        <v>1.0708600000000001E-3</v>
      </c>
      <c r="D73" s="20">
        <v>0.64624000000000004</v>
      </c>
      <c r="E73" s="18">
        <v>551.14</v>
      </c>
      <c r="F73" s="10">
        <v>2540.8000000000002</v>
      </c>
      <c r="G73" s="18">
        <v>551.44000000000005</v>
      </c>
      <c r="H73" s="10">
        <v>2721.7</v>
      </c>
      <c r="I73" s="10">
        <v>2170.3000000000002</v>
      </c>
      <c r="J73" s="19">
        <v>1.6471</v>
      </c>
      <c r="K73" s="19">
        <v>7.0145999999999997</v>
      </c>
      <c r="L73" s="19">
        <v>5.3674999999999997</v>
      </c>
    </row>
    <row r="74" spans="1:12" ht="13.8" x14ac:dyDescent="0.25">
      <c r="A74" s="18">
        <v>0.28999999999999998</v>
      </c>
      <c r="B74" s="17">
        <v>132.37</v>
      </c>
      <c r="C74" s="8">
        <v>1.0720300000000001E-3</v>
      </c>
      <c r="D74" s="20">
        <v>0.62533000000000005</v>
      </c>
      <c r="E74" s="18">
        <v>556.19000000000005</v>
      </c>
      <c r="F74" s="10">
        <v>2542</v>
      </c>
      <c r="G74" s="18">
        <v>556.5</v>
      </c>
      <c r="H74" s="10">
        <v>2723.3</v>
      </c>
      <c r="I74" s="10">
        <v>2166.8000000000002</v>
      </c>
      <c r="J74" s="19">
        <v>1.6596</v>
      </c>
      <c r="K74" s="19">
        <v>7.0029000000000003</v>
      </c>
      <c r="L74" s="19">
        <v>5.3433000000000002</v>
      </c>
    </row>
    <row r="75" spans="1:12" ht="13.8" x14ac:dyDescent="0.25">
      <c r="A75" s="18">
        <v>0.3</v>
      </c>
      <c r="B75" s="17">
        <v>133.52199999999999</v>
      </c>
      <c r="C75" s="8">
        <v>1.07317E-3</v>
      </c>
      <c r="D75" s="20">
        <v>0.60575999999999997</v>
      </c>
      <c r="E75" s="18">
        <v>561.11</v>
      </c>
      <c r="F75" s="10">
        <v>2543.1999999999998</v>
      </c>
      <c r="G75" s="18">
        <v>561.42999999999995</v>
      </c>
      <c r="H75" s="10">
        <v>2724.9</v>
      </c>
      <c r="I75" s="10">
        <v>2163.5</v>
      </c>
      <c r="J75" s="19">
        <v>1.6717</v>
      </c>
      <c r="K75" s="19">
        <v>6.9916</v>
      </c>
      <c r="L75" s="19">
        <v>5.3198999999999996</v>
      </c>
    </row>
    <row r="76" spans="1:12" ht="13.8" x14ac:dyDescent="0.25">
      <c r="A76" s="18">
        <v>0.31</v>
      </c>
      <c r="B76" s="17">
        <v>134.64400000000001</v>
      </c>
      <c r="C76" s="8">
        <v>1.0742900000000001E-3</v>
      </c>
      <c r="D76" s="20">
        <v>0.58740999999999999</v>
      </c>
      <c r="E76" s="18">
        <v>565.89</v>
      </c>
      <c r="F76" s="10">
        <v>2544.3000000000002</v>
      </c>
      <c r="G76" s="18">
        <v>566.22</v>
      </c>
      <c r="H76" s="10">
        <v>2726.4</v>
      </c>
      <c r="I76" s="10">
        <v>2160.1999999999998</v>
      </c>
      <c r="J76" s="19">
        <v>1.6835</v>
      </c>
      <c r="K76" s="19">
        <v>6.9806999999999997</v>
      </c>
      <c r="L76" s="19">
        <v>5.2972000000000001</v>
      </c>
    </row>
    <row r="77" spans="1:12" ht="13.8" x14ac:dyDescent="0.25">
      <c r="A77" s="18">
        <v>0.32</v>
      </c>
      <c r="B77" s="17">
        <v>135.73699999999999</v>
      </c>
      <c r="C77" s="8">
        <v>1.0753900000000001E-3</v>
      </c>
      <c r="D77" s="20">
        <v>0.57016999999999995</v>
      </c>
      <c r="E77" s="18">
        <v>570.55999999999995</v>
      </c>
      <c r="F77" s="10">
        <v>2545.3000000000002</v>
      </c>
      <c r="G77" s="18">
        <v>570.9</v>
      </c>
      <c r="H77" s="10">
        <v>2727.8</v>
      </c>
      <c r="I77" s="10">
        <v>2157</v>
      </c>
      <c r="J77" s="19">
        <v>1.6949000000000001</v>
      </c>
      <c r="K77" s="19">
        <v>6.9701000000000004</v>
      </c>
      <c r="L77" s="19">
        <v>5.2751999999999999</v>
      </c>
    </row>
    <row r="78" spans="1:12" ht="13.8" x14ac:dyDescent="0.25">
      <c r="A78" s="18">
        <v>0.33</v>
      </c>
      <c r="B78" s="17">
        <v>136.80199999999999</v>
      </c>
      <c r="C78" s="8">
        <v>1.0764699999999999E-3</v>
      </c>
      <c r="D78" s="20">
        <v>0.55395000000000005</v>
      </c>
      <c r="E78" s="18">
        <v>575.1</v>
      </c>
      <c r="F78" s="10">
        <v>2546.5</v>
      </c>
      <c r="G78" s="18">
        <v>575.46</v>
      </c>
      <c r="H78" s="10">
        <v>2729.3</v>
      </c>
      <c r="I78" s="10">
        <v>2153.8000000000002</v>
      </c>
      <c r="J78" s="19">
        <v>1.706</v>
      </c>
      <c r="K78" s="19">
        <v>6.9598000000000004</v>
      </c>
      <c r="L78" s="19">
        <v>5.2538</v>
      </c>
    </row>
    <row r="79" spans="1:12" ht="13.8" x14ac:dyDescent="0.25">
      <c r="A79" s="18">
        <v>0.34</v>
      </c>
      <c r="B79" s="17">
        <v>137.84200000000001</v>
      </c>
      <c r="C79" s="8">
        <v>1.0775299999999999E-3</v>
      </c>
      <c r="D79" s="20">
        <v>0.53864000000000001</v>
      </c>
      <c r="E79" s="18">
        <v>579.54</v>
      </c>
      <c r="F79" s="10">
        <v>2547.5</v>
      </c>
      <c r="G79" s="18">
        <v>579.91</v>
      </c>
      <c r="H79" s="10">
        <v>2730.6</v>
      </c>
      <c r="I79" s="10">
        <v>2150.6999999999998</v>
      </c>
      <c r="J79" s="19">
        <v>1.7168000000000001</v>
      </c>
      <c r="K79" s="19">
        <v>6.9497999999999998</v>
      </c>
      <c r="L79" s="19">
        <v>5.2329999999999997</v>
      </c>
    </row>
    <row r="80" spans="1:12" ht="13.8" x14ac:dyDescent="0.25">
      <c r="A80" s="18">
        <v>0.35</v>
      </c>
      <c r="B80" s="17">
        <v>138.857</v>
      </c>
      <c r="C80" s="8">
        <v>1.07857E-3</v>
      </c>
      <c r="D80" s="20">
        <v>0.52417999999999998</v>
      </c>
      <c r="E80" s="18">
        <v>583.88</v>
      </c>
      <c r="F80" s="10">
        <v>2548.5</v>
      </c>
      <c r="G80" s="18">
        <v>584.26</v>
      </c>
      <c r="H80" s="10">
        <v>2732</v>
      </c>
      <c r="I80" s="10">
        <v>2147.6999999999998</v>
      </c>
      <c r="J80" s="19">
        <v>1.7274</v>
      </c>
      <c r="K80" s="19">
        <v>6.9401000000000002</v>
      </c>
      <c r="L80" s="19">
        <v>5.2127999999999997</v>
      </c>
    </row>
    <row r="81" spans="1:12" ht="13.8" x14ac:dyDescent="0.25">
      <c r="A81" s="18">
        <v>0.36</v>
      </c>
      <c r="B81" s="17">
        <v>139.84899999999999</v>
      </c>
      <c r="C81" s="8">
        <v>1.0796E-3</v>
      </c>
      <c r="D81" s="20">
        <v>0.51049999999999995</v>
      </c>
      <c r="E81" s="18">
        <v>588.13</v>
      </c>
      <c r="F81" s="10">
        <v>2549.4</v>
      </c>
      <c r="G81" s="18">
        <v>588.52</v>
      </c>
      <c r="H81" s="10">
        <v>2733.2</v>
      </c>
      <c r="I81" s="10">
        <v>2144.6999999999998</v>
      </c>
      <c r="J81" s="19">
        <v>1.7377</v>
      </c>
      <c r="K81" s="19">
        <v>6.9306999999999999</v>
      </c>
      <c r="L81" s="19">
        <v>5.1931000000000003</v>
      </c>
    </row>
    <row r="82" spans="1:12" ht="13.8" x14ac:dyDescent="0.25">
      <c r="A82" s="18">
        <v>0.37</v>
      </c>
      <c r="B82" s="17">
        <v>140.81899999999999</v>
      </c>
      <c r="C82" s="8">
        <v>1.0806100000000001E-3</v>
      </c>
      <c r="D82" s="20">
        <v>0.49752999999999997</v>
      </c>
      <c r="E82" s="18">
        <v>592.28</v>
      </c>
      <c r="F82" s="10">
        <v>2550.4</v>
      </c>
      <c r="G82" s="18">
        <v>592.67999999999995</v>
      </c>
      <c r="H82" s="10">
        <v>2734.5</v>
      </c>
      <c r="I82" s="10">
        <v>2141.8000000000002</v>
      </c>
      <c r="J82" s="19">
        <v>1.7477</v>
      </c>
      <c r="K82" s="19">
        <v>6.9215999999999998</v>
      </c>
      <c r="L82" s="19">
        <v>5.1738999999999997</v>
      </c>
    </row>
    <row r="83" spans="1:12" ht="13.8" x14ac:dyDescent="0.25">
      <c r="A83" s="18">
        <v>0.38</v>
      </c>
      <c r="B83" s="17">
        <v>141.76900000000001</v>
      </c>
      <c r="C83" s="8">
        <v>1.08161E-3</v>
      </c>
      <c r="D83" s="20">
        <v>0.48521999999999998</v>
      </c>
      <c r="E83" s="18">
        <v>596.34</v>
      </c>
      <c r="F83" s="10">
        <v>2551.3000000000002</v>
      </c>
      <c r="G83" s="18">
        <v>596.75</v>
      </c>
      <c r="H83" s="10">
        <v>2735.7</v>
      </c>
      <c r="I83" s="10">
        <v>2139</v>
      </c>
      <c r="J83" s="19">
        <v>1.7575000000000001</v>
      </c>
      <c r="K83" s="19">
        <v>6.9126000000000003</v>
      </c>
      <c r="L83" s="19">
        <v>5.1551</v>
      </c>
    </row>
    <row r="84" spans="1:12" ht="13.8" x14ac:dyDescent="0.25">
      <c r="A84" s="18">
        <v>0.39</v>
      </c>
      <c r="B84" s="17">
        <v>142.69800000000001</v>
      </c>
      <c r="C84" s="8">
        <v>1.08259E-3</v>
      </c>
      <c r="D84" s="20">
        <v>0.47352</v>
      </c>
      <c r="E84" s="18">
        <v>600.32000000000005</v>
      </c>
      <c r="F84" s="10">
        <v>2552.1999999999998</v>
      </c>
      <c r="G84" s="18">
        <v>600.74</v>
      </c>
      <c r="H84" s="10">
        <v>2736.9</v>
      </c>
      <c r="I84" s="10">
        <v>2136.1999999999998</v>
      </c>
      <c r="J84" s="19">
        <v>1.7670999999999999</v>
      </c>
      <c r="K84" s="19">
        <v>6.9039999999999999</v>
      </c>
      <c r="L84" s="19">
        <v>5.1368999999999998</v>
      </c>
    </row>
    <row r="85" spans="1:12" ht="13.8" x14ac:dyDescent="0.25">
      <c r="A85" s="18">
        <v>0.4</v>
      </c>
      <c r="B85" s="17">
        <v>143.608</v>
      </c>
      <c r="C85" s="8">
        <v>1.08355E-3</v>
      </c>
      <c r="D85" s="20">
        <v>0.46238000000000001</v>
      </c>
      <c r="E85" s="18">
        <v>604.22</v>
      </c>
      <c r="F85" s="10">
        <v>2553.1</v>
      </c>
      <c r="G85" s="18">
        <v>604.65</v>
      </c>
      <c r="H85" s="10">
        <v>2738.1</v>
      </c>
      <c r="I85" s="10">
        <v>2133.4</v>
      </c>
      <c r="J85" s="19">
        <v>1.7765</v>
      </c>
      <c r="K85" s="19">
        <v>6.8955000000000002</v>
      </c>
      <c r="L85" s="19">
        <v>5.1189999999999998</v>
      </c>
    </row>
    <row r="86" spans="1:12" ht="13.8" x14ac:dyDescent="0.25">
      <c r="A86" s="18">
        <v>0.42</v>
      </c>
      <c r="B86" s="23">
        <v>145.375</v>
      </c>
      <c r="C86" s="8">
        <v>1.08544E-3</v>
      </c>
      <c r="D86" s="24">
        <v>0.44164999999999999</v>
      </c>
      <c r="E86" s="18">
        <v>611.79</v>
      </c>
      <c r="F86" s="10">
        <v>2554.8000000000002</v>
      </c>
      <c r="G86" s="18">
        <v>612.25</v>
      </c>
      <c r="H86" s="10">
        <v>2740.3</v>
      </c>
      <c r="I86" s="10">
        <v>2128</v>
      </c>
      <c r="J86" s="19">
        <v>1.7946</v>
      </c>
      <c r="K86" s="19">
        <v>6.8791000000000002</v>
      </c>
      <c r="L86" s="19">
        <v>5.0846</v>
      </c>
    </row>
    <row r="87" spans="1:12" ht="13.8" x14ac:dyDescent="0.25">
      <c r="A87" s="18">
        <v>0.44</v>
      </c>
      <c r="B87" s="23">
        <v>147.07599999999999</v>
      </c>
      <c r="C87" s="8">
        <v>1.0872900000000001E-3</v>
      </c>
      <c r="D87" s="24">
        <v>0.42274</v>
      </c>
      <c r="E87" s="18">
        <v>619.1</v>
      </c>
      <c r="F87" s="10">
        <v>2556.4</v>
      </c>
      <c r="G87" s="18">
        <v>619.58000000000004</v>
      </c>
      <c r="H87" s="10">
        <v>2742.4</v>
      </c>
      <c r="I87" s="10">
        <v>2122.8000000000002</v>
      </c>
      <c r="J87" s="19">
        <v>1.8120000000000001</v>
      </c>
      <c r="K87" s="19">
        <v>6.8635999999999999</v>
      </c>
      <c r="L87" s="19">
        <v>5.0515999999999996</v>
      </c>
    </row>
    <row r="88" spans="1:12" ht="13.8" x14ac:dyDescent="0.25">
      <c r="A88" s="18">
        <v>0.46</v>
      </c>
      <c r="B88" s="23">
        <v>148.71600000000001</v>
      </c>
      <c r="C88" s="8">
        <v>1.0890800000000001E-3</v>
      </c>
      <c r="D88" s="24">
        <v>0.40542</v>
      </c>
      <c r="E88" s="18">
        <v>626.14</v>
      </c>
      <c r="F88" s="10">
        <v>2557.9</v>
      </c>
      <c r="G88" s="18">
        <v>626.64</v>
      </c>
      <c r="H88" s="10">
        <v>2744.4</v>
      </c>
      <c r="I88" s="10">
        <v>2117.6999999999998</v>
      </c>
      <c r="J88" s="19">
        <v>1.8287</v>
      </c>
      <c r="K88" s="19">
        <v>6.8487</v>
      </c>
      <c r="L88" s="19">
        <v>5.0198999999999998</v>
      </c>
    </row>
    <row r="89" spans="1:12" ht="13.8" x14ac:dyDescent="0.25">
      <c r="A89" s="18">
        <v>0.48</v>
      </c>
      <c r="B89" s="23">
        <v>150.30000000000001</v>
      </c>
      <c r="C89" s="8">
        <v>1.09084E-3</v>
      </c>
      <c r="D89" s="24">
        <v>0.38950000000000001</v>
      </c>
      <c r="E89" s="18">
        <v>632.95000000000005</v>
      </c>
      <c r="F89" s="10">
        <v>2559.3000000000002</v>
      </c>
      <c r="G89" s="18">
        <v>633.47</v>
      </c>
      <c r="H89" s="10">
        <v>2746.3</v>
      </c>
      <c r="I89" s="10">
        <v>2112.8000000000002</v>
      </c>
      <c r="J89" s="19">
        <v>1.8448</v>
      </c>
      <c r="K89" s="19">
        <v>6.8343999999999996</v>
      </c>
      <c r="L89" s="19">
        <v>4.9894999999999996</v>
      </c>
    </row>
    <row r="90" spans="1:12" ht="13.8" x14ac:dyDescent="0.25">
      <c r="A90" s="18">
        <v>0.5</v>
      </c>
      <c r="B90" s="23">
        <v>151.83099999999999</v>
      </c>
      <c r="C90" s="8">
        <v>1.0925500000000001E-3</v>
      </c>
      <c r="D90" s="24">
        <v>0.37480999999999998</v>
      </c>
      <c r="E90" s="18">
        <v>639.54</v>
      </c>
      <c r="F90" s="10">
        <v>2560.6999999999998</v>
      </c>
      <c r="G90" s="18">
        <v>640.09</v>
      </c>
      <c r="H90" s="10">
        <v>2748.1</v>
      </c>
      <c r="I90" s="10">
        <v>2108</v>
      </c>
      <c r="J90" s="19">
        <v>1.8604000000000001</v>
      </c>
      <c r="K90" s="19">
        <v>6.8207000000000004</v>
      </c>
      <c r="L90" s="19">
        <v>4.9603000000000002</v>
      </c>
    </row>
    <row r="91" spans="1:12" ht="13.8" x14ac:dyDescent="0.25">
      <c r="A91" s="18">
        <v>0.52</v>
      </c>
      <c r="B91" s="23">
        <v>153.31399999999999</v>
      </c>
      <c r="C91" s="8">
        <v>1.0942300000000001E-3</v>
      </c>
      <c r="D91" s="24">
        <v>0.36120000000000002</v>
      </c>
      <c r="E91" s="18">
        <v>645.92999999999995</v>
      </c>
      <c r="F91" s="10">
        <v>2562.1</v>
      </c>
      <c r="G91" s="18">
        <v>646.5</v>
      </c>
      <c r="H91" s="10">
        <v>2749.9</v>
      </c>
      <c r="I91" s="10">
        <v>2103.4</v>
      </c>
      <c r="J91" s="19">
        <v>1.8754</v>
      </c>
      <c r="K91" s="19">
        <v>6.8075000000000001</v>
      </c>
      <c r="L91" s="19">
        <v>4.9321000000000002</v>
      </c>
    </row>
    <row r="92" spans="1:12" ht="13.8" x14ac:dyDescent="0.25">
      <c r="A92" s="18">
        <v>0.54</v>
      </c>
      <c r="B92" s="23">
        <v>154.75299999999999</v>
      </c>
      <c r="C92" s="8">
        <v>1.0958700000000001E-3</v>
      </c>
      <c r="D92" s="24">
        <v>0.34858</v>
      </c>
      <c r="E92" s="18">
        <v>652.13</v>
      </c>
      <c r="F92" s="10">
        <v>2563.3000000000002</v>
      </c>
      <c r="G92" s="18">
        <v>652.72</v>
      </c>
      <c r="H92" s="10">
        <v>2751.5</v>
      </c>
      <c r="I92" s="10">
        <v>2098.8000000000002</v>
      </c>
      <c r="J92" s="19">
        <v>1.8898999999999999</v>
      </c>
      <c r="K92" s="19">
        <v>6.7948000000000004</v>
      </c>
      <c r="L92" s="19">
        <v>4.9048999999999996</v>
      </c>
    </row>
    <row r="93" spans="1:12" ht="13.8" x14ac:dyDescent="0.25">
      <c r="A93" s="18">
        <v>0.56000000000000005</v>
      </c>
      <c r="B93" s="23">
        <v>156.149</v>
      </c>
      <c r="C93" s="8">
        <v>1.0974800000000001E-3</v>
      </c>
      <c r="D93" s="24">
        <v>0.33682000000000001</v>
      </c>
      <c r="E93" s="18">
        <v>658.16</v>
      </c>
      <c r="F93" s="10">
        <v>2564.5</v>
      </c>
      <c r="G93" s="18">
        <v>658.77</v>
      </c>
      <c r="H93" s="10">
        <v>2753.1</v>
      </c>
      <c r="I93" s="10">
        <v>2094.4</v>
      </c>
      <c r="J93" s="19">
        <v>1.9039999999999999</v>
      </c>
      <c r="K93" s="19">
        <v>6.7824999999999998</v>
      </c>
      <c r="L93" s="19">
        <v>4.8785999999999996</v>
      </c>
    </row>
    <row r="94" spans="1:12" ht="13.8" x14ac:dyDescent="0.25">
      <c r="A94" s="18">
        <v>0.57999999999999996</v>
      </c>
      <c r="B94" s="23">
        <v>157.506</v>
      </c>
      <c r="C94" s="8">
        <v>1.0990500000000001E-3</v>
      </c>
      <c r="D94" s="24">
        <v>0.32584999999999997</v>
      </c>
      <c r="E94" s="18">
        <v>664.01</v>
      </c>
      <c r="F94" s="10">
        <v>2565.6999999999998</v>
      </c>
      <c r="G94" s="18">
        <v>664.65</v>
      </c>
      <c r="H94" s="10">
        <v>2754.7</v>
      </c>
      <c r="I94" s="10">
        <v>2090</v>
      </c>
      <c r="J94" s="19">
        <v>1.9176</v>
      </c>
      <c r="K94" s="19">
        <v>6.7706999999999997</v>
      </c>
      <c r="L94" s="19">
        <v>4.8531000000000004</v>
      </c>
    </row>
    <row r="95" spans="1:12" ht="13.8" x14ac:dyDescent="0.25">
      <c r="A95" s="18">
        <v>0.6</v>
      </c>
      <c r="B95" s="23">
        <v>158.82599999999999</v>
      </c>
      <c r="C95" s="8">
        <v>1.1006E-3</v>
      </c>
      <c r="D95" s="24">
        <v>0.31558000000000003</v>
      </c>
      <c r="E95" s="18">
        <v>669.72</v>
      </c>
      <c r="F95" s="10">
        <v>2566.8000000000002</v>
      </c>
      <c r="G95" s="18">
        <v>670.38</v>
      </c>
      <c r="H95" s="10">
        <v>2756.1</v>
      </c>
      <c r="I95" s="10">
        <v>2085.8000000000002</v>
      </c>
      <c r="J95" s="19">
        <v>1.9308000000000001</v>
      </c>
      <c r="K95" s="19">
        <v>6.7591999999999999</v>
      </c>
      <c r="L95" s="19">
        <v>4.8284000000000002</v>
      </c>
    </row>
    <row r="96" spans="1:12" ht="13.8" x14ac:dyDescent="0.25">
      <c r="A96" s="18">
        <v>0.62</v>
      </c>
      <c r="B96" s="23">
        <v>160.11199999999999</v>
      </c>
      <c r="C96" s="8">
        <v>1.1021200000000001E-3</v>
      </c>
      <c r="D96" s="24">
        <v>0.30596000000000001</v>
      </c>
      <c r="E96" s="18">
        <v>675.28</v>
      </c>
      <c r="F96" s="10">
        <v>2567.9</v>
      </c>
      <c r="G96" s="18">
        <v>675.96</v>
      </c>
      <c r="H96" s="10">
        <v>2757.6</v>
      </c>
      <c r="I96" s="10">
        <v>2081.6</v>
      </c>
      <c r="J96" s="19">
        <v>1.9437</v>
      </c>
      <c r="K96" s="19">
        <v>6.7481999999999998</v>
      </c>
      <c r="L96" s="19">
        <v>4.8045</v>
      </c>
    </row>
    <row r="97" spans="1:12" ht="13.8" x14ac:dyDescent="0.25">
      <c r="A97" s="18">
        <v>0.64</v>
      </c>
      <c r="B97" s="23">
        <v>161.36500000000001</v>
      </c>
      <c r="C97" s="8">
        <v>1.10362E-3</v>
      </c>
      <c r="D97" s="24">
        <v>0.29691000000000001</v>
      </c>
      <c r="E97" s="18">
        <v>680.7</v>
      </c>
      <c r="F97" s="10">
        <v>2568.9</v>
      </c>
      <c r="G97" s="18">
        <v>681.41</v>
      </c>
      <c r="H97" s="10">
        <v>2758.9</v>
      </c>
      <c r="I97" s="10">
        <v>2077.5</v>
      </c>
      <c r="J97" s="19">
        <v>1.9561999999999999</v>
      </c>
      <c r="K97" s="19">
        <v>6.7374000000000001</v>
      </c>
      <c r="L97" s="19">
        <v>4.7812999999999999</v>
      </c>
    </row>
    <row r="98" spans="1:12" ht="13.8" x14ac:dyDescent="0.25">
      <c r="A98" s="18">
        <v>0.66</v>
      </c>
      <c r="B98" s="23">
        <v>162.58699999999999</v>
      </c>
      <c r="C98" s="8">
        <v>1.10509E-3</v>
      </c>
      <c r="D98" s="24">
        <v>0.28839999999999999</v>
      </c>
      <c r="E98" s="18">
        <v>686</v>
      </c>
      <c r="F98" s="10">
        <v>2570</v>
      </c>
      <c r="G98" s="18">
        <v>686.73</v>
      </c>
      <c r="H98" s="10">
        <v>2760.3</v>
      </c>
      <c r="I98" s="10">
        <v>2073.5</v>
      </c>
      <c r="J98" s="19">
        <v>1.9683999999999999</v>
      </c>
      <c r="K98" s="19">
        <v>6.7270000000000003</v>
      </c>
      <c r="L98" s="19">
        <v>4.7587000000000002</v>
      </c>
    </row>
    <row r="99" spans="1:12" ht="13.8" x14ac:dyDescent="0.25">
      <c r="A99" s="18">
        <v>0.68</v>
      </c>
      <c r="B99" s="23">
        <v>163.78100000000001</v>
      </c>
      <c r="C99" s="8">
        <v>1.10654E-3</v>
      </c>
      <c r="D99" s="24">
        <v>0.28036</v>
      </c>
      <c r="E99" s="18">
        <v>691.17</v>
      </c>
      <c r="F99" s="10">
        <v>2570.9</v>
      </c>
      <c r="G99" s="18">
        <v>691.92</v>
      </c>
      <c r="H99" s="10">
        <v>2761.5</v>
      </c>
      <c r="I99" s="10">
        <v>2069.6</v>
      </c>
      <c r="J99" s="19">
        <v>1.9802</v>
      </c>
      <c r="K99" s="19">
        <v>6.7168999999999999</v>
      </c>
      <c r="L99" s="19">
        <v>4.7366999999999999</v>
      </c>
    </row>
    <row r="100" spans="1:12" ht="13.8" x14ac:dyDescent="0.25">
      <c r="A100" s="18">
        <v>0.7</v>
      </c>
      <c r="B100" s="23">
        <v>164.946</v>
      </c>
      <c r="C100" s="8">
        <v>1.1079600000000001E-3</v>
      </c>
      <c r="D100" s="24">
        <v>0.27277000000000001</v>
      </c>
      <c r="E100" s="18">
        <v>696.22</v>
      </c>
      <c r="F100" s="10">
        <v>2571.9</v>
      </c>
      <c r="G100" s="18">
        <v>697</v>
      </c>
      <c r="H100" s="10">
        <v>2762.8</v>
      </c>
      <c r="I100" s="10">
        <v>2065.8000000000002</v>
      </c>
      <c r="J100" s="19">
        <v>1.9918</v>
      </c>
      <c r="K100" s="19">
        <v>6.7070999999999996</v>
      </c>
      <c r="L100" s="19">
        <v>4.7153</v>
      </c>
    </row>
    <row r="101" spans="1:12" ht="13.8" x14ac:dyDescent="0.25">
      <c r="A101" s="18">
        <v>0.72</v>
      </c>
      <c r="B101" s="23">
        <v>166.08600000000001</v>
      </c>
      <c r="C101" s="8">
        <v>1.10936E-3</v>
      </c>
      <c r="D101" s="24">
        <v>0.26558999999999999</v>
      </c>
      <c r="E101" s="18">
        <v>701.17</v>
      </c>
      <c r="F101" s="10">
        <v>2572.6999999999998</v>
      </c>
      <c r="G101" s="18">
        <v>701.97</v>
      </c>
      <c r="H101" s="10">
        <v>2763.9</v>
      </c>
      <c r="I101" s="10">
        <v>2062</v>
      </c>
      <c r="J101" s="19">
        <v>2.0030999999999999</v>
      </c>
      <c r="K101" s="19">
        <v>6.6974999999999998</v>
      </c>
      <c r="L101" s="19">
        <v>4.6943999999999999</v>
      </c>
    </row>
    <row r="102" spans="1:12" ht="13.8" x14ac:dyDescent="0.25">
      <c r="A102" s="18">
        <v>0.74</v>
      </c>
      <c r="B102" s="23">
        <v>167.2</v>
      </c>
      <c r="C102" s="8">
        <v>1.11075E-3</v>
      </c>
      <c r="D102" s="24">
        <v>0.25879000000000002</v>
      </c>
      <c r="E102" s="18">
        <v>706.02</v>
      </c>
      <c r="F102" s="10">
        <v>2573.6</v>
      </c>
      <c r="G102" s="18">
        <v>706.84</v>
      </c>
      <c r="H102" s="10">
        <v>2765.1</v>
      </c>
      <c r="I102" s="10">
        <v>2058.1999999999998</v>
      </c>
      <c r="J102" s="19">
        <v>2.0141</v>
      </c>
      <c r="K102" s="19">
        <v>6.6882000000000001</v>
      </c>
      <c r="L102" s="19">
        <v>4.6741000000000001</v>
      </c>
    </row>
    <row r="103" spans="1:12" ht="13.8" x14ac:dyDescent="0.25">
      <c r="A103" s="18">
        <v>0.76</v>
      </c>
      <c r="B103" s="23">
        <v>168.291</v>
      </c>
      <c r="C103" s="8">
        <v>1.1121099999999999E-3</v>
      </c>
      <c r="D103" s="24">
        <v>0.25233</v>
      </c>
      <c r="E103" s="18">
        <v>710.76</v>
      </c>
      <c r="F103" s="10">
        <v>2574.4</v>
      </c>
      <c r="G103" s="18">
        <v>711.61</v>
      </c>
      <c r="H103" s="10">
        <v>2766.2</v>
      </c>
      <c r="I103" s="10">
        <v>2054.6</v>
      </c>
      <c r="J103" s="19">
        <v>2.0247999999999999</v>
      </c>
      <c r="K103" s="19">
        <v>6.6791</v>
      </c>
      <c r="L103" s="19">
        <v>4.6543000000000001</v>
      </c>
    </row>
    <row r="104" spans="1:12" ht="13.8" x14ac:dyDescent="0.25">
      <c r="A104" s="18">
        <v>0.78</v>
      </c>
      <c r="B104" s="23">
        <v>169.36</v>
      </c>
      <c r="C104" s="8">
        <v>1.1134599999999999E-3</v>
      </c>
      <c r="D104" s="24">
        <v>0.24618000000000001</v>
      </c>
      <c r="E104" s="18">
        <v>715.41</v>
      </c>
      <c r="F104" s="10">
        <v>2575.3000000000002</v>
      </c>
      <c r="G104" s="18">
        <v>716.28</v>
      </c>
      <c r="H104" s="10">
        <v>2767.3</v>
      </c>
      <c r="I104" s="10">
        <v>2051</v>
      </c>
      <c r="J104" s="19">
        <v>2.0354000000000001</v>
      </c>
      <c r="K104" s="19">
        <v>6.6703000000000001</v>
      </c>
      <c r="L104" s="19">
        <v>4.6349</v>
      </c>
    </row>
    <row r="105" spans="1:12" ht="13.8" x14ac:dyDescent="0.25">
      <c r="A105" s="18">
        <v>0.8</v>
      </c>
      <c r="B105" s="23">
        <v>170.40600000000001</v>
      </c>
      <c r="C105" s="8">
        <v>1.1147799999999999E-3</v>
      </c>
      <c r="D105" s="24">
        <v>0.24034</v>
      </c>
      <c r="E105" s="18">
        <v>719.97</v>
      </c>
      <c r="F105" s="10">
        <v>2576</v>
      </c>
      <c r="G105" s="18">
        <v>720.86</v>
      </c>
      <c r="H105" s="10">
        <v>2768.3</v>
      </c>
      <c r="I105" s="10">
        <v>2047.4</v>
      </c>
      <c r="J105" s="19">
        <v>2.0457000000000001</v>
      </c>
      <c r="K105" s="19">
        <v>6.6616</v>
      </c>
      <c r="L105" s="19">
        <v>4.6159999999999997</v>
      </c>
    </row>
    <row r="106" spans="1:12" ht="13.8" x14ac:dyDescent="0.25">
      <c r="A106" s="18">
        <v>0.82</v>
      </c>
      <c r="B106" s="23">
        <v>171.43299999999999</v>
      </c>
      <c r="C106" s="8">
        <v>1.1160899999999999E-3</v>
      </c>
      <c r="D106" s="24">
        <v>0.23477000000000001</v>
      </c>
      <c r="E106" s="18">
        <v>724.44</v>
      </c>
      <c r="F106" s="10">
        <v>2576.8000000000002</v>
      </c>
      <c r="G106" s="18">
        <v>725.36</v>
      </c>
      <c r="H106" s="10">
        <v>2769.3</v>
      </c>
      <c r="I106" s="10">
        <v>2043.9</v>
      </c>
      <c r="J106" s="19">
        <v>2.0556999999999999</v>
      </c>
      <c r="K106" s="19">
        <v>6.6532</v>
      </c>
      <c r="L106" s="19">
        <v>4.5975000000000001</v>
      </c>
    </row>
    <row r="107" spans="1:12" ht="13.8" x14ac:dyDescent="0.25">
      <c r="A107" s="18">
        <v>0.84</v>
      </c>
      <c r="B107" s="23">
        <v>172.44</v>
      </c>
      <c r="C107" s="8">
        <v>1.11739E-3</v>
      </c>
      <c r="D107" s="24">
        <v>0.22946</v>
      </c>
      <c r="E107" s="18">
        <v>728.84</v>
      </c>
      <c r="F107" s="10">
        <v>2577.6</v>
      </c>
      <c r="G107" s="18">
        <v>729.78</v>
      </c>
      <c r="H107" s="10">
        <v>2770.3</v>
      </c>
      <c r="I107" s="10">
        <v>2040.5</v>
      </c>
      <c r="J107" s="19">
        <v>2.0655999999999999</v>
      </c>
      <c r="K107" s="19">
        <v>6.6448999999999998</v>
      </c>
      <c r="L107" s="19">
        <v>4.5792999999999999</v>
      </c>
    </row>
    <row r="108" spans="1:12" ht="13.8" x14ac:dyDescent="0.25">
      <c r="A108" s="18">
        <v>0.86</v>
      </c>
      <c r="B108" s="23">
        <v>173.428</v>
      </c>
      <c r="C108" s="8">
        <v>1.11867E-3</v>
      </c>
      <c r="D108" s="24">
        <v>0.22438</v>
      </c>
      <c r="E108" s="18">
        <v>733.15</v>
      </c>
      <c r="F108" s="10">
        <v>2578.1999999999998</v>
      </c>
      <c r="G108" s="18">
        <v>734.11</v>
      </c>
      <c r="H108" s="10">
        <v>2771.2</v>
      </c>
      <c r="I108" s="10">
        <v>2037.1</v>
      </c>
      <c r="J108" s="19">
        <v>2.0752999999999999</v>
      </c>
      <c r="K108" s="19">
        <v>6.6368999999999998</v>
      </c>
      <c r="L108" s="19">
        <v>4.5616000000000003</v>
      </c>
    </row>
    <row r="109" spans="1:12" ht="13.8" x14ac:dyDescent="0.25">
      <c r="A109" s="18">
        <v>0.88</v>
      </c>
      <c r="B109" s="23">
        <v>174.398</v>
      </c>
      <c r="C109" s="8">
        <v>1.1199300000000001E-3</v>
      </c>
      <c r="D109" s="24">
        <v>0.21953</v>
      </c>
      <c r="E109" s="18">
        <v>737.38</v>
      </c>
      <c r="F109" s="10">
        <v>2578.9</v>
      </c>
      <c r="G109" s="18">
        <v>738.37</v>
      </c>
      <c r="H109" s="10">
        <v>2772.1</v>
      </c>
      <c r="I109" s="10">
        <v>2033.8</v>
      </c>
      <c r="J109" s="19">
        <v>2.0847000000000002</v>
      </c>
      <c r="K109" s="19">
        <v>6.6289999999999996</v>
      </c>
      <c r="L109" s="19">
        <v>4.5442999999999998</v>
      </c>
    </row>
    <row r="110" spans="1:12" ht="13.8" x14ac:dyDescent="0.25">
      <c r="A110" s="18">
        <v>0.9</v>
      </c>
      <c r="B110" s="23">
        <v>175.35</v>
      </c>
      <c r="C110" s="8">
        <v>1.12118E-3</v>
      </c>
      <c r="D110" s="24">
        <v>0.21489</v>
      </c>
      <c r="E110" s="18">
        <v>741.55</v>
      </c>
      <c r="F110" s="10">
        <v>2579.6</v>
      </c>
      <c r="G110" s="18">
        <v>742.56</v>
      </c>
      <c r="H110" s="10">
        <v>2773</v>
      </c>
      <c r="I110" s="10">
        <v>2030.5</v>
      </c>
      <c r="J110" s="19">
        <v>2.0939999999999999</v>
      </c>
      <c r="K110" s="19">
        <v>6.6212999999999997</v>
      </c>
      <c r="L110" s="19">
        <v>4.5271999999999997</v>
      </c>
    </row>
    <row r="111" spans="1:12" ht="13.8" x14ac:dyDescent="0.25">
      <c r="A111" s="18">
        <v>0.92</v>
      </c>
      <c r="B111" s="23">
        <v>176.28700000000001</v>
      </c>
      <c r="C111" s="8">
        <v>1.1224200000000001E-3</v>
      </c>
      <c r="D111" s="24">
        <v>0.21043999999999999</v>
      </c>
      <c r="E111" s="18">
        <v>745.65</v>
      </c>
      <c r="F111" s="10">
        <v>2580.3000000000002</v>
      </c>
      <c r="G111" s="18">
        <v>746.68</v>
      </c>
      <c r="H111" s="10">
        <v>2773.9</v>
      </c>
      <c r="I111" s="10">
        <v>2027.2</v>
      </c>
      <c r="J111" s="19">
        <v>2.1032000000000002</v>
      </c>
      <c r="K111" s="19">
        <v>6.6136999999999997</v>
      </c>
      <c r="L111" s="19">
        <v>4.5106000000000002</v>
      </c>
    </row>
    <row r="112" spans="1:12" ht="13.8" x14ac:dyDescent="0.25">
      <c r="A112" s="18">
        <v>0.94</v>
      </c>
      <c r="B112" s="23">
        <v>177.20699999999999</v>
      </c>
      <c r="C112" s="8">
        <v>1.12364E-3</v>
      </c>
      <c r="D112" s="24">
        <v>0.20616999999999999</v>
      </c>
      <c r="E112" s="18">
        <v>749.67</v>
      </c>
      <c r="F112" s="10">
        <v>2580.9</v>
      </c>
      <c r="G112" s="18">
        <v>750.73</v>
      </c>
      <c r="H112" s="10">
        <v>2774.7</v>
      </c>
      <c r="I112" s="10">
        <v>2024</v>
      </c>
      <c r="J112" s="19">
        <v>2.1120999999999999</v>
      </c>
      <c r="K112" s="19">
        <v>6.6063000000000001</v>
      </c>
      <c r="L112" s="19">
        <v>4.4942000000000002</v>
      </c>
    </row>
    <row r="113" spans="1:12" ht="13.8" x14ac:dyDescent="0.25">
      <c r="A113" s="18">
        <v>0.96</v>
      </c>
      <c r="B113" s="23">
        <v>178.11199999999999</v>
      </c>
      <c r="C113" s="8">
        <v>1.1248499999999999E-3</v>
      </c>
      <c r="D113" s="24">
        <v>0.20208000000000001</v>
      </c>
      <c r="E113" s="18">
        <v>753.64</v>
      </c>
      <c r="F113" s="10">
        <v>2581.5</v>
      </c>
      <c r="G113" s="18">
        <v>754.72</v>
      </c>
      <c r="H113" s="10">
        <v>2775.5</v>
      </c>
      <c r="I113" s="10">
        <v>2020.8</v>
      </c>
      <c r="J113" s="19">
        <v>2.1208999999999998</v>
      </c>
      <c r="K113" s="19">
        <v>6.5991</v>
      </c>
      <c r="L113" s="19">
        <v>4.4782000000000002</v>
      </c>
    </row>
    <row r="114" spans="1:12" ht="13.8" x14ac:dyDescent="0.25">
      <c r="A114" s="18">
        <v>0.98</v>
      </c>
      <c r="B114" s="23">
        <v>179.00200000000001</v>
      </c>
      <c r="C114" s="8">
        <v>1.12605E-3</v>
      </c>
      <c r="D114" s="24">
        <v>0.19814000000000001</v>
      </c>
      <c r="E114" s="18">
        <v>757.55</v>
      </c>
      <c r="F114" s="10">
        <v>2582.1</v>
      </c>
      <c r="G114" s="18">
        <v>758.65</v>
      </c>
      <c r="H114" s="10">
        <v>2776.3</v>
      </c>
      <c r="I114" s="10">
        <v>2017.7</v>
      </c>
      <c r="J114" s="19">
        <v>2.1295999999999999</v>
      </c>
      <c r="K114" s="19">
        <v>6.5919999999999996</v>
      </c>
      <c r="L114" s="19">
        <v>4.4623999999999997</v>
      </c>
    </row>
    <row r="115" spans="1:12" ht="13.8" x14ac:dyDescent="0.25">
      <c r="A115" s="18">
        <v>1</v>
      </c>
      <c r="B115" s="23">
        <v>179.87799999999999</v>
      </c>
      <c r="C115" s="8">
        <v>1.1272299999999999E-3</v>
      </c>
      <c r="D115" s="24">
        <v>0.19436</v>
      </c>
      <c r="E115" s="18">
        <v>761.39</v>
      </c>
      <c r="F115" s="10">
        <v>2582.6999999999998</v>
      </c>
      <c r="G115" s="18">
        <v>762.52</v>
      </c>
      <c r="H115" s="10">
        <v>2777.1</v>
      </c>
      <c r="I115" s="10">
        <v>2014.6</v>
      </c>
      <c r="J115" s="19">
        <v>2.1381000000000001</v>
      </c>
      <c r="K115" s="19">
        <v>6.585</v>
      </c>
      <c r="L115" s="19">
        <v>4.4470000000000001</v>
      </c>
    </row>
    <row r="116" spans="1:12" ht="13.8" x14ac:dyDescent="0.25">
      <c r="A116" s="18">
        <v>1.05</v>
      </c>
      <c r="B116" s="23">
        <v>182.00899999999999</v>
      </c>
      <c r="C116" s="8">
        <v>1.13014E-3</v>
      </c>
      <c r="D116" s="24">
        <v>0.18551999999999999</v>
      </c>
      <c r="E116" s="18">
        <v>770.75</v>
      </c>
      <c r="F116" s="10">
        <v>2584.1</v>
      </c>
      <c r="G116" s="18">
        <v>771.94</v>
      </c>
      <c r="H116" s="10">
        <v>2778.9</v>
      </c>
      <c r="I116" s="10">
        <v>2007</v>
      </c>
      <c r="J116" s="19">
        <v>2.1587000000000001</v>
      </c>
      <c r="K116" s="19">
        <v>6.5681000000000003</v>
      </c>
      <c r="L116" s="19">
        <v>4.4095000000000004</v>
      </c>
    </row>
    <row r="117" spans="1:12" ht="13.8" x14ac:dyDescent="0.25">
      <c r="A117" s="18">
        <v>1.1000000000000001</v>
      </c>
      <c r="B117" s="23">
        <v>184.06200000000001</v>
      </c>
      <c r="C117" s="8">
        <v>1.13299E-3</v>
      </c>
      <c r="D117" s="24">
        <v>0.17745</v>
      </c>
      <c r="E117" s="18">
        <v>779.78</v>
      </c>
      <c r="F117" s="10">
        <v>2585.4</v>
      </c>
      <c r="G117" s="18">
        <v>781.03</v>
      </c>
      <c r="H117" s="10">
        <v>2780.6</v>
      </c>
      <c r="I117" s="10">
        <v>1999.6</v>
      </c>
      <c r="J117" s="19">
        <v>2.1785000000000001</v>
      </c>
      <c r="K117" s="19">
        <v>6.5519999999999996</v>
      </c>
      <c r="L117" s="19">
        <v>4.3734999999999999</v>
      </c>
    </row>
    <row r="118" spans="1:12" ht="13.8" x14ac:dyDescent="0.25">
      <c r="A118" s="18">
        <v>1.1499999999999999</v>
      </c>
      <c r="B118" s="23">
        <v>186.04300000000001</v>
      </c>
      <c r="C118" s="8">
        <v>1.1357699999999999E-3</v>
      </c>
      <c r="D118" s="24">
        <v>0.17005999999999999</v>
      </c>
      <c r="E118" s="18">
        <v>788.51</v>
      </c>
      <c r="F118" s="10">
        <v>2586.6</v>
      </c>
      <c r="G118" s="18">
        <v>789.82</v>
      </c>
      <c r="H118" s="10">
        <v>2782.2</v>
      </c>
      <c r="I118" s="10">
        <v>1992.4</v>
      </c>
      <c r="J118" s="19">
        <v>2.1976</v>
      </c>
      <c r="K118" s="19">
        <v>6.5365000000000002</v>
      </c>
      <c r="L118" s="19">
        <v>4.3390000000000004</v>
      </c>
    </row>
    <row r="119" spans="1:12" ht="13.8" x14ac:dyDescent="0.25">
      <c r="A119" s="18">
        <v>1.2</v>
      </c>
      <c r="B119" s="23">
        <v>187.95699999999999</v>
      </c>
      <c r="C119" s="8">
        <v>1.1385E-3</v>
      </c>
      <c r="D119" s="24">
        <v>0.16325999999999999</v>
      </c>
      <c r="E119" s="18">
        <v>796.96</v>
      </c>
      <c r="F119" s="10">
        <v>2587.8000000000002</v>
      </c>
      <c r="G119" s="18">
        <v>798.33</v>
      </c>
      <c r="H119" s="10">
        <v>2783.7</v>
      </c>
      <c r="I119" s="10">
        <v>1985.4</v>
      </c>
      <c r="J119" s="19">
        <v>2.2159</v>
      </c>
      <c r="K119" s="19">
        <v>6.5217000000000001</v>
      </c>
      <c r="L119" s="19">
        <v>4.3057999999999996</v>
      </c>
    </row>
    <row r="120" spans="1:12" ht="13.8" x14ac:dyDescent="0.25">
      <c r="A120" s="18">
        <v>1.25</v>
      </c>
      <c r="B120" s="23">
        <v>189.809</v>
      </c>
      <c r="C120" s="8">
        <v>1.1411800000000001E-3</v>
      </c>
      <c r="D120" s="24">
        <v>0.15698999999999999</v>
      </c>
      <c r="E120" s="18">
        <v>805.15</v>
      </c>
      <c r="F120" s="10">
        <v>2588.9</v>
      </c>
      <c r="G120" s="18">
        <v>806.58</v>
      </c>
      <c r="H120" s="10">
        <v>2785.1</v>
      </c>
      <c r="I120" s="10">
        <v>1978.6</v>
      </c>
      <c r="J120" s="19">
        <v>2.2336999999999998</v>
      </c>
      <c r="K120" s="19">
        <v>6.5073999999999996</v>
      </c>
      <c r="L120" s="19">
        <v>4.2736999999999998</v>
      </c>
    </row>
    <row r="121" spans="1:12" ht="13.8" x14ac:dyDescent="0.25">
      <c r="A121" s="18">
        <v>1.3</v>
      </c>
      <c r="B121" s="23">
        <v>191.60499999999999</v>
      </c>
      <c r="C121" s="8">
        <v>1.1437999999999999E-3</v>
      </c>
      <c r="D121" s="24">
        <v>0.15118999999999999</v>
      </c>
      <c r="E121" s="18">
        <v>813.11</v>
      </c>
      <c r="F121" s="10">
        <v>2590</v>
      </c>
      <c r="G121" s="18">
        <v>814.6</v>
      </c>
      <c r="H121" s="10">
        <v>2786.5</v>
      </c>
      <c r="I121" s="10">
        <v>1971.9</v>
      </c>
      <c r="J121" s="19">
        <v>2.2507999999999999</v>
      </c>
      <c r="K121" s="19">
        <v>6.4935999999999998</v>
      </c>
      <c r="L121" s="19">
        <v>4.2427999999999999</v>
      </c>
    </row>
    <row r="122" spans="1:12" ht="13.8" x14ac:dyDescent="0.25">
      <c r="A122" s="18">
        <v>1.35</v>
      </c>
      <c r="B122" s="23">
        <v>193.34700000000001</v>
      </c>
      <c r="C122" s="8">
        <v>1.14638E-3</v>
      </c>
      <c r="D122" s="24">
        <v>0.14580000000000001</v>
      </c>
      <c r="E122" s="18">
        <v>820.84</v>
      </c>
      <c r="F122" s="10">
        <v>2590.9</v>
      </c>
      <c r="G122" s="18">
        <v>822.39</v>
      </c>
      <c r="H122" s="10">
        <v>2787.7</v>
      </c>
      <c r="I122" s="10">
        <v>1965.3</v>
      </c>
      <c r="J122" s="19">
        <v>2.2673999999999999</v>
      </c>
      <c r="K122" s="19">
        <v>6.4802999999999997</v>
      </c>
      <c r="L122" s="19">
        <v>4.2129000000000003</v>
      </c>
    </row>
    <row r="123" spans="1:12" ht="13.8" x14ac:dyDescent="0.25">
      <c r="A123" s="18">
        <v>1.4</v>
      </c>
      <c r="B123" s="23">
        <v>195.03899999999999</v>
      </c>
      <c r="C123" s="8">
        <v>1.1489200000000001E-3</v>
      </c>
      <c r="D123" s="24">
        <v>0.14077999999999999</v>
      </c>
      <c r="E123" s="18">
        <v>828.36</v>
      </c>
      <c r="F123" s="10">
        <v>2591.6999999999998</v>
      </c>
      <c r="G123" s="18">
        <v>829.97</v>
      </c>
      <c r="H123" s="10">
        <v>2788.8</v>
      </c>
      <c r="I123" s="10">
        <v>1958.9</v>
      </c>
      <c r="J123" s="19">
        <v>2.2835000000000001</v>
      </c>
      <c r="K123" s="19">
        <v>6.4675000000000002</v>
      </c>
      <c r="L123" s="19">
        <v>4.1839000000000004</v>
      </c>
    </row>
    <row r="124" spans="1:12" ht="13.8" x14ac:dyDescent="0.25">
      <c r="A124" s="18">
        <v>1.45</v>
      </c>
      <c r="B124" s="23">
        <v>196.685</v>
      </c>
      <c r="C124" s="8">
        <v>1.1514100000000001E-3</v>
      </c>
      <c r="D124" s="24">
        <v>0.13608999999999999</v>
      </c>
      <c r="E124" s="18">
        <v>835.68</v>
      </c>
      <c r="F124" s="10">
        <v>2592.6</v>
      </c>
      <c r="G124" s="18">
        <v>837.35</v>
      </c>
      <c r="H124" s="10">
        <v>2789.9</v>
      </c>
      <c r="I124" s="10">
        <v>1952.6</v>
      </c>
      <c r="J124" s="19">
        <v>2.2991999999999999</v>
      </c>
      <c r="K124" s="19">
        <v>6.4550000000000001</v>
      </c>
      <c r="L124" s="19">
        <v>4.1558999999999999</v>
      </c>
    </row>
    <row r="125" spans="1:12" ht="13.8" x14ac:dyDescent="0.25">
      <c r="A125" s="18">
        <v>1.5</v>
      </c>
      <c r="B125" s="23">
        <v>198.28700000000001</v>
      </c>
      <c r="C125" s="8">
        <v>1.15387E-3</v>
      </c>
      <c r="D125" s="24">
        <v>0.13170999999999999</v>
      </c>
      <c r="E125" s="18">
        <v>842.83</v>
      </c>
      <c r="F125" s="10">
        <v>2593.4</v>
      </c>
      <c r="G125" s="18">
        <v>844.56</v>
      </c>
      <c r="H125" s="10">
        <v>2791</v>
      </c>
      <c r="I125" s="10">
        <v>1946.4</v>
      </c>
      <c r="J125" s="19">
        <v>2.3142999999999998</v>
      </c>
      <c r="K125" s="19">
        <v>6.4429999999999996</v>
      </c>
      <c r="L125" s="19">
        <v>4.1285999999999996</v>
      </c>
    </row>
    <row r="126" spans="1:12" ht="13.8" x14ac:dyDescent="0.25">
      <c r="A126" s="18">
        <v>1.55</v>
      </c>
      <c r="B126" s="23">
        <v>199.84800000000001</v>
      </c>
      <c r="C126" s="8">
        <v>1.1562899999999999E-3</v>
      </c>
      <c r="D126" s="20">
        <v>0.12759999999999999</v>
      </c>
      <c r="E126" s="18">
        <v>849.8</v>
      </c>
      <c r="F126" s="10">
        <v>2594.1</v>
      </c>
      <c r="G126" s="18">
        <v>851.59</v>
      </c>
      <c r="H126" s="10">
        <v>2791.9</v>
      </c>
      <c r="I126" s="10">
        <v>1940.3</v>
      </c>
      <c r="J126" s="19">
        <v>2.3290999999999999</v>
      </c>
      <c r="K126" s="19">
        <v>6.4313000000000002</v>
      </c>
      <c r="L126" s="19">
        <v>4.1021999999999998</v>
      </c>
    </row>
    <row r="127" spans="1:12" ht="13.8" x14ac:dyDescent="0.25">
      <c r="A127" s="18">
        <v>1.6</v>
      </c>
      <c r="B127" s="23">
        <v>201.37</v>
      </c>
      <c r="C127" s="8">
        <v>1.15868E-3</v>
      </c>
      <c r="D127" s="20">
        <v>0.12374</v>
      </c>
      <c r="E127" s="18">
        <v>856.61</v>
      </c>
      <c r="F127" s="10">
        <v>2594.8000000000002</v>
      </c>
      <c r="G127" s="18">
        <v>858.46</v>
      </c>
      <c r="H127" s="10">
        <v>2792.8</v>
      </c>
      <c r="I127" s="10">
        <v>1934.4</v>
      </c>
      <c r="J127" s="19">
        <v>2.3435000000000001</v>
      </c>
      <c r="K127" s="19">
        <v>6.4199000000000002</v>
      </c>
      <c r="L127" s="19">
        <v>4.0765000000000002</v>
      </c>
    </row>
    <row r="128" spans="1:12" ht="13.8" x14ac:dyDescent="0.25">
      <c r="A128" s="18">
        <v>1.65</v>
      </c>
      <c r="B128" s="23">
        <v>202.85599999999999</v>
      </c>
      <c r="C128" s="8">
        <v>1.16103E-3</v>
      </c>
      <c r="D128" s="20">
        <v>0.1201</v>
      </c>
      <c r="E128" s="18">
        <v>863.25</v>
      </c>
      <c r="F128" s="10">
        <v>2595.5</v>
      </c>
      <c r="G128" s="18">
        <v>865.17</v>
      </c>
      <c r="H128" s="10">
        <v>2793.7</v>
      </c>
      <c r="I128" s="10">
        <v>1928.5</v>
      </c>
      <c r="J128" s="19">
        <v>2.3574999999999999</v>
      </c>
      <c r="K128" s="19">
        <v>6.4089</v>
      </c>
      <c r="L128" s="19">
        <v>4.0514000000000001</v>
      </c>
    </row>
    <row r="129" spans="1:12" ht="13.8" x14ac:dyDescent="0.25">
      <c r="A129" s="18">
        <v>1.7</v>
      </c>
      <c r="B129" s="23">
        <v>204.30699999999999</v>
      </c>
      <c r="C129" s="8">
        <v>1.16336E-3</v>
      </c>
      <c r="D129" s="20">
        <v>0.11667</v>
      </c>
      <c r="E129" s="18">
        <v>869.76</v>
      </c>
      <c r="F129" s="10">
        <v>2596.1999999999998</v>
      </c>
      <c r="G129" s="18">
        <v>871.74</v>
      </c>
      <c r="H129" s="10">
        <v>2794.5</v>
      </c>
      <c r="I129" s="10">
        <v>1922.7</v>
      </c>
      <c r="J129" s="19">
        <v>2.3711000000000002</v>
      </c>
      <c r="K129" s="19">
        <v>6.3981000000000003</v>
      </c>
      <c r="L129" s="19">
        <v>4.0270000000000001</v>
      </c>
    </row>
    <row r="130" spans="1:12" ht="13.8" x14ac:dyDescent="0.25">
      <c r="A130" s="18">
        <v>1.75</v>
      </c>
      <c r="B130" s="23">
        <v>205.72499999999999</v>
      </c>
      <c r="C130" s="8">
        <v>1.1656500000000001E-3</v>
      </c>
      <c r="D130" s="20">
        <v>0.11343</v>
      </c>
      <c r="E130" s="18">
        <v>876.13</v>
      </c>
      <c r="F130" s="10">
        <v>2596.6999999999998</v>
      </c>
      <c r="G130" s="18">
        <v>878.17</v>
      </c>
      <c r="H130" s="10">
        <v>2795.2</v>
      </c>
      <c r="I130" s="10">
        <v>1917</v>
      </c>
      <c r="J130" s="19">
        <v>2.3845000000000001</v>
      </c>
      <c r="K130" s="19">
        <v>6.3876999999999997</v>
      </c>
      <c r="L130" s="19">
        <v>4.0031999999999996</v>
      </c>
    </row>
    <row r="131" spans="1:12" ht="13.8" x14ac:dyDescent="0.25">
      <c r="A131" s="18">
        <v>1.8</v>
      </c>
      <c r="B131" s="23">
        <v>207.11199999999999</v>
      </c>
      <c r="C131" s="8">
        <v>1.16792E-3</v>
      </c>
      <c r="D131" s="20">
        <v>0.11037</v>
      </c>
      <c r="E131" s="18">
        <v>882.37</v>
      </c>
      <c r="F131" s="10">
        <v>2597.1999999999998</v>
      </c>
      <c r="G131" s="18">
        <v>884.47</v>
      </c>
      <c r="H131" s="10">
        <v>2795.9</v>
      </c>
      <c r="I131" s="10">
        <v>1911.4</v>
      </c>
      <c r="J131" s="19">
        <v>2.3975</v>
      </c>
      <c r="K131" s="19">
        <v>6.3775000000000004</v>
      </c>
      <c r="L131" s="19">
        <v>3.98</v>
      </c>
    </row>
    <row r="132" spans="1:12" ht="13.8" x14ac:dyDescent="0.25">
      <c r="A132" s="18">
        <v>1.85</v>
      </c>
      <c r="B132" s="23">
        <v>208.46899999999999</v>
      </c>
      <c r="C132" s="8">
        <v>1.17016E-3</v>
      </c>
      <c r="D132" s="20">
        <v>0.10746</v>
      </c>
      <c r="E132" s="18">
        <v>888.49</v>
      </c>
      <c r="F132" s="10">
        <v>2597.8000000000002</v>
      </c>
      <c r="G132" s="18">
        <v>890.65</v>
      </c>
      <c r="H132" s="10">
        <v>2796.6</v>
      </c>
      <c r="I132" s="10">
        <v>1905.9</v>
      </c>
      <c r="J132" s="19">
        <v>2.4102000000000001</v>
      </c>
      <c r="K132" s="19">
        <v>6.3674999999999997</v>
      </c>
      <c r="L132" s="19">
        <v>3.9573</v>
      </c>
    </row>
    <row r="133" spans="1:12" ht="13.8" x14ac:dyDescent="0.25">
      <c r="A133" s="18">
        <v>1.9</v>
      </c>
      <c r="B133" s="23">
        <v>209.798</v>
      </c>
      <c r="C133" s="8">
        <v>1.17238E-3</v>
      </c>
      <c r="D133" s="20">
        <v>0.1047</v>
      </c>
      <c r="E133" s="18">
        <v>894.48</v>
      </c>
      <c r="F133" s="10">
        <v>2598.3000000000002</v>
      </c>
      <c r="G133" s="18">
        <v>896.71</v>
      </c>
      <c r="H133" s="10">
        <v>2797.2</v>
      </c>
      <c r="I133" s="10">
        <v>1900.5</v>
      </c>
      <c r="J133" s="19">
        <v>2.4226999999999999</v>
      </c>
      <c r="K133" s="19">
        <v>6.3578000000000001</v>
      </c>
      <c r="L133" s="19">
        <v>3.9350999999999998</v>
      </c>
    </row>
    <row r="134" spans="1:12" ht="13.8" x14ac:dyDescent="0.25">
      <c r="A134" s="18">
        <v>1.95</v>
      </c>
      <c r="B134" s="23">
        <v>211.101</v>
      </c>
      <c r="C134" s="8">
        <v>1.1745799999999999E-3</v>
      </c>
      <c r="D134" s="20">
        <v>0.10208</v>
      </c>
      <c r="E134" s="18">
        <v>900.37</v>
      </c>
      <c r="F134" s="10">
        <v>2598.6999999999998</v>
      </c>
      <c r="G134" s="18">
        <v>902.66</v>
      </c>
      <c r="H134" s="10">
        <v>2797.8</v>
      </c>
      <c r="I134" s="10">
        <v>1895.1</v>
      </c>
      <c r="J134" s="19">
        <v>2.4348000000000001</v>
      </c>
      <c r="K134" s="19">
        <v>6.3483000000000001</v>
      </c>
      <c r="L134" s="19">
        <v>3.9135</v>
      </c>
    </row>
    <row r="135" spans="1:12" ht="13.8" x14ac:dyDescent="0.25">
      <c r="A135" s="10">
        <v>2</v>
      </c>
      <c r="B135" s="23">
        <v>212.37700000000001</v>
      </c>
      <c r="C135" s="8">
        <v>1.1767500000000001E-3</v>
      </c>
      <c r="D135" s="25">
        <v>9.9585000000000007E-2</v>
      </c>
      <c r="E135" s="18">
        <v>906.15</v>
      </c>
      <c r="F135" s="10">
        <v>2599.1</v>
      </c>
      <c r="G135" s="18">
        <v>908.5</v>
      </c>
      <c r="H135" s="10">
        <v>2798.3</v>
      </c>
      <c r="I135" s="10">
        <v>1889.8</v>
      </c>
      <c r="J135" s="19">
        <v>2.4468000000000001</v>
      </c>
      <c r="K135" s="19">
        <v>6.3390000000000004</v>
      </c>
      <c r="L135" s="19">
        <v>3.8923000000000001</v>
      </c>
    </row>
    <row r="136" spans="1:12" ht="13.8" x14ac:dyDescent="0.25">
      <c r="A136" s="10">
        <v>2.1</v>
      </c>
      <c r="B136" s="23">
        <v>214.858</v>
      </c>
      <c r="C136" s="8">
        <v>1.18103E-3</v>
      </c>
      <c r="D136" s="25">
        <v>9.4937999999999995E-2</v>
      </c>
      <c r="E136" s="18">
        <v>917.39</v>
      </c>
      <c r="F136" s="10">
        <v>2599.9</v>
      </c>
      <c r="G136" s="18">
        <v>919.87</v>
      </c>
      <c r="H136" s="10">
        <v>2799.3</v>
      </c>
      <c r="I136" s="10">
        <v>1879.4</v>
      </c>
      <c r="J136" s="19">
        <v>2.4699</v>
      </c>
      <c r="K136" s="19">
        <v>6.3209999999999997</v>
      </c>
      <c r="L136" s="19">
        <v>3.8511000000000002</v>
      </c>
    </row>
    <row r="137" spans="1:12" ht="13.8" x14ac:dyDescent="0.25">
      <c r="A137" s="10">
        <v>2.2000000000000002</v>
      </c>
      <c r="B137" s="23">
        <v>217.249</v>
      </c>
      <c r="C137" s="8">
        <v>1.18523E-3</v>
      </c>
      <c r="D137" s="25">
        <v>9.0698000000000001E-2</v>
      </c>
      <c r="E137" s="18">
        <v>928.26</v>
      </c>
      <c r="F137" s="10">
        <v>2600.6</v>
      </c>
      <c r="G137" s="18">
        <v>930.87</v>
      </c>
      <c r="H137" s="10">
        <v>2800.1</v>
      </c>
      <c r="I137" s="10">
        <v>1869.2</v>
      </c>
      <c r="J137" s="19">
        <v>2.4921000000000002</v>
      </c>
      <c r="K137" s="19">
        <v>6.3037999999999998</v>
      </c>
      <c r="L137" s="19">
        <v>3.8115999999999999</v>
      </c>
    </row>
    <row r="138" spans="1:12" ht="13.8" x14ac:dyDescent="0.25">
      <c r="A138" s="10">
        <v>2.2999999999999998</v>
      </c>
      <c r="B138" s="23">
        <v>219.55699999999999</v>
      </c>
      <c r="C138" s="8">
        <v>1.18936E-3</v>
      </c>
      <c r="D138" s="25">
        <v>8.6815000000000003E-2</v>
      </c>
      <c r="E138" s="18">
        <v>938.79</v>
      </c>
      <c r="F138" s="10">
        <v>2601.1</v>
      </c>
      <c r="G138" s="18">
        <v>941.53</v>
      </c>
      <c r="H138" s="10">
        <v>2800.8</v>
      </c>
      <c r="I138" s="10">
        <v>1859.3</v>
      </c>
      <c r="J138" s="19">
        <v>2.5135999999999998</v>
      </c>
      <c r="K138" s="19">
        <v>6.2872000000000003</v>
      </c>
      <c r="L138" s="19">
        <v>3.7736000000000001</v>
      </c>
    </row>
    <row r="139" spans="1:12" ht="13.8" x14ac:dyDescent="0.25">
      <c r="A139" s="10">
        <v>2.4</v>
      </c>
      <c r="B139" s="23">
        <v>221.78899999999999</v>
      </c>
      <c r="C139" s="8">
        <v>1.1934300000000001E-3</v>
      </c>
      <c r="D139" s="25">
        <v>8.3243999999999999E-2</v>
      </c>
      <c r="E139" s="18">
        <v>949.01</v>
      </c>
      <c r="F139" s="10">
        <v>2601.6</v>
      </c>
      <c r="G139" s="18">
        <v>951.87</v>
      </c>
      <c r="H139" s="10">
        <v>2801.4</v>
      </c>
      <c r="I139" s="10">
        <v>1849.6</v>
      </c>
      <c r="J139" s="19">
        <v>2.5343</v>
      </c>
      <c r="K139" s="19">
        <v>6.2712000000000003</v>
      </c>
      <c r="L139" s="19">
        <v>3.7368999999999999</v>
      </c>
    </row>
    <row r="140" spans="1:12" ht="13.8" x14ac:dyDescent="0.25">
      <c r="A140" s="10">
        <v>2.5</v>
      </c>
      <c r="B140" s="23">
        <v>223.95</v>
      </c>
      <c r="C140" s="8">
        <v>1.19743E-3</v>
      </c>
      <c r="D140" s="25">
        <v>7.9949000000000006E-2</v>
      </c>
      <c r="E140" s="18">
        <v>958.92</v>
      </c>
      <c r="F140" s="10">
        <v>2602</v>
      </c>
      <c r="G140" s="18">
        <v>961.91</v>
      </c>
      <c r="H140" s="10">
        <v>2801.9</v>
      </c>
      <c r="I140" s="10">
        <v>1840</v>
      </c>
      <c r="J140" s="19">
        <v>2.5543</v>
      </c>
      <c r="K140" s="19">
        <v>6.2557999999999998</v>
      </c>
      <c r="L140" s="19">
        <v>3.7014999999999998</v>
      </c>
    </row>
    <row r="141" spans="1:12" ht="13.8" x14ac:dyDescent="0.25">
      <c r="A141" s="10">
        <v>2.6</v>
      </c>
      <c r="B141" s="23">
        <v>226.04599999999999</v>
      </c>
      <c r="C141" s="8">
        <v>1.2013799999999999E-3</v>
      </c>
      <c r="D141" s="25">
        <v>7.6898999999999995E-2</v>
      </c>
      <c r="E141" s="18">
        <v>968.55</v>
      </c>
      <c r="F141" s="10">
        <v>2602.4</v>
      </c>
      <c r="G141" s="18">
        <v>971.67</v>
      </c>
      <c r="H141" s="10">
        <v>2802.3</v>
      </c>
      <c r="I141" s="10">
        <v>1830.7</v>
      </c>
      <c r="J141" s="19">
        <v>2.5735999999999999</v>
      </c>
      <c r="K141" s="19">
        <v>6.2408999999999999</v>
      </c>
      <c r="L141" s="19">
        <v>3.6671999999999998</v>
      </c>
    </row>
    <row r="142" spans="1:12" ht="13.8" x14ac:dyDescent="0.25">
      <c r="A142" s="10">
        <v>2.7</v>
      </c>
      <c r="B142" s="23">
        <v>228.08</v>
      </c>
      <c r="C142" s="8">
        <v>1.20528E-3</v>
      </c>
      <c r="D142" s="25">
        <v>7.4066000000000007E-2</v>
      </c>
      <c r="E142" s="18">
        <v>977.93</v>
      </c>
      <c r="F142" s="10">
        <v>2602.6999999999998</v>
      </c>
      <c r="G142" s="18">
        <v>981.18</v>
      </c>
      <c r="H142" s="10">
        <v>2802.7</v>
      </c>
      <c r="I142" s="10">
        <v>1821.5</v>
      </c>
      <c r="J142" s="19">
        <v>2.5924</v>
      </c>
      <c r="K142" s="19">
        <v>6.2263999999999999</v>
      </c>
      <c r="L142" s="19">
        <v>3.6339999999999999</v>
      </c>
    </row>
    <row r="143" spans="1:12" ht="13.8" x14ac:dyDescent="0.25">
      <c r="A143" s="10">
        <v>2.8</v>
      </c>
      <c r="B143" s="23">
        <v>230.05699999999999</v>
      </c>
      <c r="C143" s="8">
        <v>1.2091300000000001E-3</v>
      </c>
      <c r="D143" s="25">
        <v>7.1429000000000006E-2</v>
      </c>
      <c r="E143" s="18">
        <v>987.07</v>
      </c>
      <c r="F143" s="10">
        <v>2602.9</v>
      </c>
      <c r="G143" s="18">
        <v>990.46</v>
      </c>
      <c r="H143" s="10">
        <v>2802.9</v>
      </c>
      <c r="I143" s="10">
        <v>1812.4</v>
      </c>
      <c r="J143" s="19">
        <v>2.6105999999999998</v>
      </c>
      <c r="K143" s="19">
        <v>6.2123999999999997</v>
      </c>
      <c r="L143" s="19">
        <v>3.6017999999999999</v>
      </c>
    </row>
    <row r="144" spans="1:12" ht="13.8" x14ac:dyDescent="0.25">
      <c r="A144" s="10">
        <v>2.9</v>
      </c>
      <c r="B144" s="23">
        <v>231.98</v>
      </c>
      <c r="C144" s="8">
        <v>1.2129300000000001E-3</v>
      </c>
      <c r="D144" s="25">
        <v>6.8968000000000002E-2</v>
      </c>
      <c r="E144" s="18">
        <v>995.99</v>
      </c>
      <c r="F144" s="10">
        <v>2603.1</v>
      </c>
      <c r="G144" s="18">
        <v>999.51</v>
      </c>
      <c r="H144" s="10">
        <v>2803.1</v>
      </c>
      <c r="I144" s="10">
        <v>1803.6</v>
      </c>
      <c r="J144" s="19">
        <v>2.6282999999999999</v>
      </c>
      <c r="K144" s="19">
        <v>6.1988000000000003</v>
      </c>
      <c r="L144" s="19">
        <v>3.5705</v>
      </c>
    </row>
    <row r="145" spans="1:12" ht="13.8" x14ac:dyDescent="0.25">
      <c r="A145" s="10">
        <v>3</v>
      </c>
      <c r="B145" s="23">
        <v>233.85300000000001</v>
      </c>
      <c r="C145" s="8">
        <v>1.2166900000000001E-3</v>
      </c>
      <c r="D145" s="25">
        <v>6.6664000000000001E-2</v>
      </c>
      <c r="E145" s="10">
        <v>1004.6</v>
      </c>
      <c r="F145" s="10">
        <v>2603.1999999999998</v>
      </c>
      <c r="G145" s="10">
        <v>1008.3</v>
      </c>
      <c r="H145" s="10">
        <v>2803.2</v>
      </c>
      <c r="I145" s="10">
        <v>1794.8</v>
      </c>
      <c r="J145" s="19">
        <v>2.6455000000000002</v>
      </c>
      <c r="K145" s="19">
        <v>6.1856</v>
      </c>
      <c r="L145" s="19">
        <v>3.54</v>
      </c>
    </row>
    <row r="146" spans="1:12" ht="13.8" x14ac:dyDescent="0.25">
      <c r="A146" s="10">
        <v>3.1</v>
      </c>
      <c r="B146" s="23">
        <v>235.679</v>
      </c>
      <c r="C146" s="8">
        <v>1.2204200000000001E-3</v>
      </c>
      <c r="D146" s="25">
        <v>6.4504000000000006E-2</v>
      </c>
      <c r="E146" s="10">
        <v>1013.2</v>
      </c>
      <c r="F146" s="10">
        <v>2603.1999999999998</v>
      </c>
      <c r="G146" s="10">
        <v>1017</v>
      </c>
      <c r="H146" s="10">
        <v>2803.2</v>
      </c>
      <c r="I146" s="10">
        <v>1786.2</v>
      </c>
      <c r="J146" s="19">
        <v>2.6623000000000001</v>
      </c>
      <c r="K146" s="19">
        <v>6.1726999999999999</v>
      </c>
      <c r="L146" s="19">
        <v>3.5104000000000002</v>
      </c>
    </row>
    <row r="147" spans="1:12" ht="13.8" x14ac:dyDescent="0.25">
      <c r="A147" s="10">
        <v>3.2</v>
      </c>
      <c r="B147" s="23">
        <v>237.459</v>
      </c>
      <c r="C147" s="8">
        <v>1.2241000000000001E-3</v>
      </c>
      <c r="D147" s="25">
        <v>6.2475000000000003E-2</v>
      </c>
      <c r="E147" s="10">
        <v>1021.5</v>
      </c>
      <c r="F147" s="10">
        <v>2603.1999999999998</v>
      </c>
      <c r="G147" s="10">
        <v>1025.4000000000001</v>
      </c>
      <c r="H147" s="10">
        <v>2803.1</v>
      </c>
      <c r="I147" s="10">
        <v>1777.7</v>
      </c>
      <c r="J147" s="19">
        <v>2.6787000000000001</v>
      </c>
      <c r="K147" s="19">
        <v>6.1601999999999997</v>
      </c>
      <c r="L147" s="19">
        <v>3.4815</v>
      </c>
    </row>
    <row r="148" spans="1:12" ht="13.8" x14ac:dyDescent="0.25">
      <c r="A148" s="10">
        <v>3.3</v>
      </c>
      <c r="B148" s="23">
        <v>239.19800000000001</v>
      </c>
      <c r="C148" s="8">
        <v>1.22776E-3</v>
      </c>
      <c r="D148" s="25">
        <v>6.0564E-2</v>
      </c>
      <c r="E148" s="10">
        <v>1029.5999999999999</v>
      </c>
      <c r="F148" s="10">
        <v>2603.1</v>
      </c>
      <c r="G148" s="10">
        <v>1033.7</v>
      </c>
      <c r="H148" s="10">
        <v>2803</v>
      </c>
      <c r="I148" s="10">
        <v>1769.3</v>
      </c>
      <c r="J148" s="19">
        <v>2.6945999999999999</v>
      </c>
      <c r="K148" s="19">
        <v>6.1478999999999999</v>
      </c>
      <c r="L148" s="19">
        <v>3.4533</v>
      </c>
    </row>
    <row r="149" spans="1:12" ht="13.8" x14ac:dyDescent="0.25">
      <c r="A149" s="10">
        <v>3.4</v>
      </c>
      <c r="B149" s="23">
        <v>240.89699999999999</v>
      </c>
      <c r="C149" s="8">
        <v>1.23138E-3</v>
      </c>
      <c r="D149" s="25">
        <v>5.8761000000000001E-2</v>
      </c>
      <c r="E149" s="10">
        <v>1037.5999999999999</v>
      </c>
      <c r="F149" s="10">
        <v>2603.1</v>
      </c>
      <c r="G149" s="10">
        <v>1041.8</v>
      </c>
      <c r="H149" s="10">
        <v>2802.9</v>
      </c>
      <c r="I149" s="10">
        <v>1761</v>
      </c>
      <c r="J149" s="19">
        <v>2.7101999999999999</v>
      </c>
      <c r="K149" s="19">
        <v>6.1360000000000001</v>
      </c>
      <c r="L149" s="19">
        <v>3.4258000000000002</v>
      </c>
    </row>
    <row r="150" spans="1:12" ht="13.8" x14ac:dyDescent="0.25">
      <c r="A150" s="10">
        <v>3.5</v>
      </c>
      <c r="B150" s="23">
        <v>242.55699999999999</v>
      </c>
      <c r="C150" s="8">
        <v>1.2349699999999999E-3</v>
      </c>
      <c r="D150" s="25">
        <v>5.7057999999999998E-2</v>
      </c>
      <c r="E150" s="10">
        <v>1045.5</v>
      </c>
      <c r="F150" s="10">
        <v>2602.9</v>
      </c>
      <c r="G150" s="10">
        <v>1049.8</v>
      </c>
      <c r="H150" s="10">
        <v>2802.6</v>
      </c>
      <c r="I150" s="10">
        <v>1752.8</v>
      </c>
      <c r="J150" s="19">
        <v>2.7254</v>
      </c>
      <c r="K150" s="19">
        <v>6.1242999999999999</v>
      </c>
      <c r="L150" s="19">
        <v>3.3988999999999998</v>
      </c>
    </row>
    <row r="151" spans="1:12" ht="13.8" x14ac:dyDescent="0.25">
      <c r="A151" s="10">
        <v>3.6</v>
      </c>
      <c r="B151" s="23">
        <v>244.18199999999999</v>
      </c>
      <c r="C151" s="8">
        <v>1.23854E-3</v>
      </c>
      <c r="D151" s="25">
        <v>5.5446000000000002E-2</v>
      </c>
      <c r="E151" s="10">
        <v>1053.0999999999999</v>
      </c>
      <c r="F151" s="10">
        <v>2602.8000000000002</v>
      </c>
      <c r="G151" s="10">
        <v>1057.5999999999999</v>
      </c>
      <c r="H151" s="10">
        <v>2802.4</v>
      </c>
      <c r="I151" s="10">
        <v>1744.8</v>
      </c>
      <c r="J151" s="19">
        <v>2.7403</v>
      </c>
      <c r="K151" s="19">
        <v>6.1128999999999998</v>
      </c>
      <c r="L151" s="19">
        <v>3.3725999999999998</v>
      </c>
    </row>
    <row r="152" spans="1:12" ht="13.8" x14ac:dyDescent="0.25">
      <c r="A152" s="10">
        <v>3.7</v>
      </c>
      <c r="B152" s="23">
        <v>245.77199999999999</v>
      </c>
      <c r="C152" s="8">
        <v>1.24208E-3</v>
      </c>
      <c r="D152" s="25">
        <v>5.3918000000000001E-2</v>
      </c>
      <c r="E152" s="10">
        <v>1060.7</v>
      </c>
      <c r="F152" s="10">
        <v>2602.6</v>
      </c>
      <c r="G152" s="10">
        <v>1065.3</v>
      </c>
      <c r="H152" s="10">
        <v>2802.1</v>
      </c>
      <c r="I152" s="10">
        <v>1736.8</v>
      </c>
      <c r="J152" s="19">
        <v>2.7549000000000001</v>
      </c>
      <c r="K152" s="19">
        <v>6.1017999999999999</v>
      </c>
      <c r="L152" s="19">
        <v>3.3469000000000002</v>
      </c>
    </row>
    <row r="153" spans="1:12" ht="13.8" x14ac:dyDescent="0.25">
      <c r="A153" s="10">
        <v>3.8</v>
      </c>
      <c r="B153" s="23">
        <v>247.33</v>
      </c>
      <c r="C153" s="8">
        <v>1.24559E-3</v>
      </c>
      <c r="D153" s="25">
        <v>5.2467E-2</v>
      </c>
      <c r="E153" s="10">
        <v>1068.0999999999999</v>
      </c>
      <c r="F153" s="10">
        <v>2602.3000000000002</v>
      </c>
      <c r="G153" s="10">
        <v>1072.8</v>
      </c>
      <c r="H153" s="10">
        <v>2801.7</v>
      </c>
      <c r="I153" s="10">
        <v>1728.9</v>
      </c>
      <c r="J153" s="19">
        <v>2.7690999999999999</v>
      </c>
      <c r="K153" s="19">
        <v>6.0907999999999998</v>
      </c>
      <c r="L153" s="19">
        <v>3.3216999999999999</v>
      </c>
    </row>
    <row r="154" spans="1:12" ht="13.8" x14ac:dyDescent="0.25">
      <c r="A154" s="10">
        <v>3.9</v>
      </c>
      <c r="B154" s="23">
        <v>248.857</v>
      </c>
      <c r="C154" s="8">
        <v>1.2490800000000001E-3</v>
      </c>
      <c r="D154" s="25">
        <v>5.1089000000000002E-2</v>
      </c>
      <c r="E154" s="10">
        <v>1075.3</v>
      </c>
      <c r="F154" s="10">
        <v>2602.1</v>
      </c>
      <c r="G154" s="10">
        <v>1080.2</v>
      </c>
      <c r="H154" s="10">
        <v>2801.3</v>
      </c>
      <c r="I154" s="10">
        <v>1721.1</v>
      </c>
      <c r="J154" s="19">
        <v>2.7831000000000001</v>
      </c>
      <c r="K154" s="19">
        <v>6.0800999999999998</v>
      </c>
      <c r="L154" s="19">
        <v>3.2970000000000002</v>
      </c>
    </row>
    <row r="155" spans="1:12" ht="13.8" x14ac:dyDescent="0.25">
      <c r="A155" s="10">
        <v>4</v>
      </c>
      <c r="B155" s="23">
        <v>250.35400000000001</v>
      </c>
      <c r="C155" s="8">
        <v>1.25256E-3</v>
      </c>
      <c r="D155" s="25">
        <v>4.9776000000000001E-2</v>
      </c>
      <c r="E155" s="10">
        <v>1082.5</v>
      </c>
      <c r="F155" s="10">
        <v>2601.6999999999998</v>
      </c>
      <c r="G155" s="10">
        <v>1087.5</v>
      </c>
      <c r="H155" s="10">
        <v>2800.8</v>
      </c>
      <c r="I155" s="10">
        <v>1713.3</v>
      </c>
      <c r="J155" s="19">
        <v>2.7968000000000002</v>
      </c>
      <c r="K155" s="19">
        <v>6.0696000000000003</v>
      </c>
      <c r="L155" s="19">
        <v>3.2728000000000002</v>
      </c>
    </row>
    <row r="156" spans="1:12" ht="13.8" x14ac:dyDescent="0.25">
      <c r="A156" s="10">
        <v>4.0999999999999996</v>
      </c>
      <c r="B156" s="23">
        <v>251.82300000000001</v>
      </c>
      <c r="C156" s="8">
        <v>1.2560099999999999E-3</v>
      </c>
      <c r="D156" s="25">
        <v>4.8524999999999999E-2</v>
      </c>
      <c r="E156" s="10">
        <v>1089.5999999999999</v>
      </c>
      <c r="F156" s="10">
        <v>2601.3000000000002</v>
      </c>
      <c r="G156" s="10">
        <v>1094.7</v>
      </c>
      <c r="H156" s="10">
        <v>2800.3</v>
      </c>
      <c r="I156" s="10">
        <v>1705.7</v>
      </c>
      <c r="J156" s="19">
        <v>2.8102</v>
      </c>
      <c r="K156" s="19">
        <v>6.0591999999999997</v>
      </c>
      <c r="L156" s="19">
        <v>3.2490999999999999</v>
      </c>
    </row>
    <row r="157" spans="1:12" ht="13.8" x14ac:dyDescent="0.25">
      <c r="A157" s="10">
        <v>4.2</v>
      </c>
      <c r="B157" s="23">
        <v>253.26400000000001</v>
      </c>
      <c r="C157" s="8">
        <v>1.2594399999999999E-3</v>
      </c>
      <c r="D157" s="25">
        <v>4.7331999999999999E-2</v>
      </c>
      <c r="E157" s="10">
        <v>1096.4000000000001</v>
      </c>
      <c r="F157" s="10">
        <v>2601</v>
      </c>
      <c r="G157" s="10">
        <v>1101.7</v>
      </c>
      <c r="H157" s="10">
        <v>2799.8</v>
      </c>
      <c r="I157" s="10">
        <v>1698.1</v>
      </c>
      <c r="J157" s="19">
        <v>2.8233999999999999</v>
      </c>
      <c r="K157" s="19">
        <v>6.0491000000000001</v>
      </c>
      <c r="L157" s="19">
        <v>3.2256999999999998</v>
      </c>
    </row>
    <row r="158" spans="1:12" ht="13.8" x14ac:dyDescent="0.25">
      <c r="A158" s="10">
        <v>4.3</v>
      </c>
      <c r="B158" s="23">
        <v>254.68</v>
      </c>
      <c r="C158" s="8">
        <v>1.26286E-3</v>
      </c>
      <c r="D158" s="25">
        <v>4.6191999999999997E-2</v>
      </c>
      <c r="E158" s="10">
        <v>1103.3</v>
      </c>
      <c r="F158" s="10">
        <v>2600.6</v>
      </c>
      <c r="G158" s="10">
        <v>1108.7</v>
      </c>
      <c r="H158" s="10">
        <v>2799.2</v>
      </c>
      <c r="I158" s="10">
        <v>1690.6</v>
      </c>
      <c r="J158" s="19">
        <v>2.8363</v>
      </c>
      <c r="K158" s="19">
        <v>6.0391000000000004</v>
      </c>
      <c r="L158" s="19">
        <v>3.2027999999999999</v>
      </c>
    </row>
    <row r="159" spans="1:12" ht="13.8" x14ac:dyDescent="0.25">
      <c r="A159" s="10">
        <v>4.4000000000000004</v>
      </c>
      <c r="B159" s="23">
        <v>256.07</v>
      </c>
      <c r="C159" s="8">
        <v>1.26626E-3</v>
      </c>
      <c r="D159" s="25">
        <v>4.5102000000000003E-2</v>
      </c>
      <c r="E159" s="10">
        <v>1109.9000000000001</v>
      </c>
      <c r="F159" s="10">
        <v>2600.1999999999998</v>
      </c>
      <c r="G159" s="10">
        <v>1115.5</v>
      </c>
      <c r="H159" s="10">
        <v>2798.6</v>
      </c>
      <c r="I159" s="10">
        <v>1683.1</v>
      </c>
      <c r="J159" s="19">
        <v>2.8490000000000002</v>
      </c>
      <c r="K159" s="19">
        <v>6.0293000000000001</v>
      </c>
      <c r="L159" s="19">
        <v>3.1802999999999999</v>
      </c>
    </row>
    <row r="160" spans="1:12" ht="13.8" x14ac:dyDescent="0.25">
      <c r="A160" s="10">
        <v>4.5</v>
      </c>
      <c r="B160" s="23">
        <v>257.43700000000001</v>
      </c>
      <c r="C160" s="8">
        <v>1.26965E-3</v>
      </c>
      <c r="D160" s="25">
        <v>4.4059000000000001E-2</v>
      </c>
      <c r="E160" s="10">
        <v>1116.5</v>
      </c>
      <c r="F160" s="10">
        <v>2599.6</v>
      </c>
      <c r="G160" s="10">
        <v>1122.2</v>
      </c>
      <c r="H160" s="10">
        <v>2797.9</v>
      </c>
      <c r="I160" s="10">
        <v>1675.7</v>
      </c>
      <c r="J160" s="19">
        <v>2.8614999999999999</v>
      </c>
      <c r="K160" s="19">
        <v>6.0197000000000003</v>
      </c>
      <c r="L160" s="19">
        <v>3.1581999999999999</v>
      </c>
    </row>
    <row r="161" spans="1:12" ht="13.8" x14ac:dyDescent="0.25">
      <c r="A161" s="10">
        <v>4.5999999999999996</v>
      </c>
      <c r="B161" s="23">
        <v>258.77999999999997</v>
      </c>
      <c r="C161" s="8">
        <v>1.2730199999999999E-3</v>
      </c>
      <c r="D161" s="25">
        <v>4.3059E-2</v>
      </c>
      <c r="E161" s="10">
        <v>1123</v>
      </c>
      <c r="F161" s="10">
        <v>2599.1999999999998</v>
      </c>
      <c r="G161" s="10">
        <v>1128.9000000000001</v>
      </c>
      <c r="H161" s="10">
        <v>2797.3</v>
      </c>
      <c r="I161" s="10">
        <v>1668.4</v>
      </c>
      <c r="J161" s="19">
        <v>2.8738000000000001</v>
      </c>
      <c r="K161" s="19">
        <v>6.0102000000000002</v>
      </c>
      <c r="L161" s="19">
        <v>3.1364000000000001</v>
      </c>
    </row>
    <row r="162" spans="1:12" ht="13.8" x14ac:dyDescent="0.25">
      <c r="A162" s="10">
        <v>4.7</v>
      </c>
      <c r="B162" s="23">
        <v>260.101</v>
      </c>
      <c r="C162" s="8">
        <v>1.2763799999999999E-3</v>
      </c>
      <c r="D162" s="25">
        <v>4.2099999999999999E-2</v>
      </c>
      <c r="E162" s="10">
        <v>1129.5</v>
      </c>
      <c r="F162" s="10">
        <v>2598.6</v>
      </c>
      <c r="G162" s="10">
        <v>1135.5</v>
      </c>
      <c r="H162" s="10">
        <v>2796.5</v>
      </c>
      <c r="I162" s="10">
        <v>1661.1</v>
      </c>
      <c r="J162" s="19">
        <v>2.8858999999999999</v>
      </c>
      <c r="K162" s="19">
        <v>6.0008999999999997</v>
      </c>
      <c r="L162" s="19">
        <v>3.1150000000000002</v>
      </c>
    </row>
    <row r="163" spans="1:12" ht="13.8" x14ac:dyDescent="0.25">
      <c r="A163" s="10">
        <v>4.8</v>
      </c>
      <c r="B163" s="23">
        <v>261.40199999999999</v>
      </c>
      <c r="C163" s="8">
        <v>1.27973E-3</v>
      </c>
      <c r="D163" s="25">
        <v>4.1180000000000001E-2</v>
      </c>
      <c r="E163" s="10">
        <v>1135.8</v>
      </c>
      <c r="F163" s="10">
        <v>2598.1</v>
      </c>
      <c r="G163" s="10">
        <v>1141.9000000000001</v>
      </c>
      <c r="H163" s="10">
        <v>2795.8</v>
      </c>
      <c r="I163" s="10">
        <v>1653.9</v>
      </c>
      <c r="J163" s="19">
        <v>2.8978000000000002</v>
      </c>
      <c r="K163" s="19">
        <v>5.9916999999999998</v>
      </c>
      <c r="L163" s="19">
        <v>3.0939000000000001</v>
      </c>
    </row>
    <row r="164" spans="1:12" ht="13.8" x14ac:dyDescent="0.25">
      <c r="A164" s="10">
        <v>4.9000000000000004</v>
      </c>
      <c r="B164" s="23">
        <v>262.68099999999998</v>
      </c>
      <c r="C164" s="8">
        <v>1.2830599999999999E-3</v>
      </c>
      <c r="D164" s="25">
        <v>4.0295999999999998E-2</v>
      </c>
      <c r="E164" s="10">
        <v>1142</v>
      </c>
      <c r="F164" s="10">
        <v>2597.5</v>
      </c>
      <c r="G164" s="10">
        <v>1148.3</v>
      </c>
      <c r="H164" s="10">
        <v>2795</v>
      </c>
      <c r="I164" s="10">
        <v>1646.7</v>
      </c>
      <c r="J164" s="19">
        <v>2.9095</v>
      </c>
      <c r="K164" s="19">
        <v>5.9825999999999997</v>
      </c>
      <c r="L164" s="19">
        <v>3.0731000000000002</v>
      </c>
    </row>
    <row r="165" spans="1:12" ht="13.8" x14ac:dyDescent="0.25">
      <c r="A165" s="10">
        <v>5</v>
      </c>
      <c r="B165" s="23">
        <v>263.94099999999997</v>
      </c>
      <c r="C165" s="8">
        <v>1.2863900000000001E-3</v>
      </c>
      <c r="D165" s="25">
        <v>3.9446000000000002E-2</v>
      </c>
      <c r="E165" s="10">
        <v>1148.2</v>
      </c>
      <c r="F165" s="10">
        <v>2597</v>
      </c>
      <c r="G165" s="10">
        <v>1154.5999999999999</v>
      </c>
      <c r="H165" s="10">
        <v>2794.2</v>
      </c>
      <c r="I165" s="10">
        <v>1639.6</v>
      </c>
      <c r="J165" s="19">
        <v>2.9209999999999998</v>
      </c>
      <c r="K165" s="19">
        <v>5.9737</v>
      </c>
      <c r="L165" s="19">
        <v>3.0527000000000002</v>
      </c>
    </row>
    <row r="166" spans="1:12" ht="13.8" x14ac:dyDescent="0.25">
      <c r="A166" s="10">
        <v>5.0999999999999996</v>
      </c>
      <c r="B166" s="23">
        <v>265.18099999999998</v>
      </c>
      <c r="C166" s="8">
        <v>1.2897099999999999E-3</v>
      </c>
      <c r="D166" s="26">
        <v>3.8628000000000003E-2</v>
      </c>
      <c r="E166" s="10">
        <v>1154.3</v>
      </c>
      <c r="F166" s="10">
        <v>2596.4</v>
      </c>
      <c r="G166" s="10">
        <v>1160.9000000000001</v>
      </c>
      <c r="H166" s="10">
        <v>2793.4</v>
      </c>
      <c r="I166" s="10">
        <v>1632.5</v>
      </c>
      <c r="J166" s="19">
        <v>2.9323000000000001</v>
      </c>
      <c r="K166" s="19">
        <v>5.9648000000000003</v>
      </c>
      <c r="L166" s="19">
        <v>3.0325000000000002</v>
      </c>
    </row>
    <row r="167" spans="1:12" ht="13.8" x14ac:dyDescent="0.25">
      <c r="A167" s="10">
        <v>5.2</v>
      </c>
      <c r="B167" s="23">
        <v>266.40300000000002</v>
      </c>
      <c r="C167" s="8">
        <v>1.29302E-3</v>
      </c>
      <c r="D167" s="26">
        <v>3.7839999999999999E-2</v>
      </c>
      <c r="E167" s="10">
        <v>1160.3</v>
      </c>
      <c r="F167" s="10">
        <v>2595.6999999999998</v>
      </c>
      <c r="G167" s="10">
        <v>1167</v>
      </c>
      <c r="H167" s="10">
        <v>2792.5</v>
      </c>
      <c r="I167" s="10">
        <v>1625.5</v>
      </c>
      <c r="J167" s="19">
        <v>2.9434999999999998</v>
      </c>
      <c r="K167" s="19">
        <v>5.9561000000000002</v>
      </c>
      <c r="L167" s="19">
        <v>3.0125999999999999</v>
      </c>
    </row>
    <row r="168" spans="1:12" ht="13.8" x14ac:dyDescent="0.25">
      <c r="A168" s="10">
        <v>5.3</v>
      </c>
      <c r="B168" s="23">
        <v>267.608</v>
      </c>
      <c r="C168" s="8">
        <v>1.2963199999999999E-3</v>
      </c>
      <c r="D168" s="26">
        <v>3.7081000000000003E-2</v>
      </c>
      <c r="E168" s="10">
        <v>1166.2</v>
      </c>
      <c r="F168" s="10">
        <v>2595.1</v>
      </c>
      <c r="G168" s="10">
        <v>1173.0999999999999</v>
      </c>
      <c r="H168" s="10">
        <v>2791.6</v>
      </c>
      <c r="I168" s="10">
        <v>1618.5</v>
      </c>
      <c r="J168" s="19">
        <v>2.9546000000000001</v>
      </c>
      <c r="K168" s="19">
        <v>5.9474999999999998</v>
      </c>
      <c r="L168" s="19">
        <v>2.9929999999999999</v>
      </c>
    </row>
    <row r="169" spans="1:12" ht="13.8" x14ac:dyDescent="0.25">
      <c r="A169" s="10">
        <v>5.4</v>
      </c>
      <c r="B169" s="23">
        <v>268.79500000000002</v>
      </c>
      <c r="C169" s="8">
        <v>1.2996100000000001E-3</v>
      </c>
      <c r="D169" s="26">
        <v>3.6347999999999998E-2</v>
      </c>
      <c r="E169" s="10">
        <v>1172.0999999999999</v>
      </c>
      <c r="F169" s="10">
        <v>2594.4</v>
      </c>
      <c r="G169" s="10">
        <v>1179.0999999999999</v>
      </c>
      <c r="H169" s="10">
        <v>2790.7</v>
      </c>
      <c r="I169" s="10">
        <v>1611.5</v>
      </c>
      <c r="J169" s="19">
        <v>2.9653999999999998</v>
      </c>
      <c r="K169" s="19">
        <v>5.9390999999999998</v>
      </c>
      <c r="L169" s="19">
        <v>2.9735999999999998</v>
      </c>
    </row>
    <row r="170" spans="1:12" ht="13.8" x14ac:dyDescent="0.25">
      <c r="A170" s="10">
        <v>5.5</v>
      </c>
      <c r="B170" s="23">
        <v>269.96499999999997</v>
      </c>
      <c r="C170" s="8">
        <v>1.3029000000000001E-3</v>
      </c>
      <c r="D170" s="26">
        <v>3.5642E-2</v>
      </c>
      <c r="E170" s="10">
        <v>1177.9000000000001</v>
      </c>
      <c r="F170" s="10">
        <v>2593.6999999999998</v>
      </c>
      <c r="G170" s="10">
        <v>1185.0999999999999</v>
      </c>
      <c r="H170" s="10">
        <v>2789.7</v>
      </c>
      <c r="I170" s="10">
        <v>1604.6</v>
      </c>
      <c r="J170" s="19">
        <v>2.9762</v>
      </c>
      <c r="K170" s="19">
        <v>5.9306999999999999</v>
      </c>
      <c r="L170" s="19">
        <v>2.9544999999999999</v>
      </c>
    </row>
    <row r="171" spans="1:12" ht="13.8" x14ac:dyDescent="0.25">
      <c r="A171" s="10">
        <v>5.6</v>
      </c>
      <c r="B171" s="23">
        <v>271.12</v>
      </c>
      <c r="C171" s="8">
        <v>1.3061800000000001E-3</v>
      </c>
      <c r="D171" s="26">
        <v>3.4958999999999997E-2</v>
      </c>
      <c r="E171" s="10">
        <v>1183.7</v>
      </c>
      <c r="F171" s="10">
        <v>2592.9</v>
      </c>
      <c r="G171" s="10">
        <v>1191</v>
      </c>
      <c r="H171" s="10">
        <v>2788.7</v>
      </c>
      <c r="I171" s="10">
        <v>1597.8</v>
      </c>
      <c r="J171" s="19">
        <v>2.9868000000000001</v>
      </c>
      <c r="K171" s="19">
        <v>5.9223999999999997</v>
      </c>
      <c r="L171" s="19">
        <v>2.9356</v>
      </c>
    </row>
    <row r="172" spans="1:12" ht="13.8" x14ac:dyDescent="0.25">
      <c r="A172" s="10">
        <v>5.7</v>
      </c>
      <c r="B172" s="23">
        <v>272.25799999999998</v>
      </c>
      <c r="C172" s="8">
        <v>1.3094599999999999E-3</v>
      </c>
      <c r="D172" s="26">
        <v>3.4299999999999997E-2</v>
      </c>
      <c r="E172" s="10">
        <v>1189.3</v>
      </c>
      <c r="F172" s="10">
        <v>2592.1999999999998</v>
      </c>
      <c r="G172" s="10">
        <v>1196.8</v>
      </c>
      <c r="H172" s="10">
        <v>2787.7</v>
      </c>
      <c r="I172" s="10">
        <v>1590.9</v>
      </c>
      <c r="J172" s="19">
        <v>2.9971999999999999</v>
      </c>
      <c r="K172" s="19">
        <v>5.9142000000000001</v>
      </c>
      <c r="L172" s="19">
        <v>2.9169999999999998</v>
      </c>
    </row>
    <row r="173" spans="1:12" ht="13.8" x14ac:dyDescent="0.25">
      <c r="A173" s="10">
        <v>5.8</v>
      </c>
      <c r="B173" s="23">
        <v>273.38200000000001</v>
      </c>
      <c r="C173" s="8">
        <v>1.31273E-3</v>
      </c>
      <c r="D173" s="26">
        <v>3.3661999999999997E-2</v>
      </c>
      <c r="E173" s="10">
        <v>1195</v>
      </c>
      <c r="F173" s="10">
        <v>2591.5</v>
      </c>
      <c r="G173" s="10">
        <v>1202.5999999999999</v>
      </c>
      <c r="H173" s="10">
        <v>2786.7</v>
      </c>
      <c r="I173" s="10">
        <v>1584.1</v>
      </c>
      <c r="J173" s="19">
        <v>3.0074999999999998</v>
      </c>
      <c r="K173" s="19">
        <v>5.9061000000000003</v>
      </c>
      <c r="L173" s="19">
        <v>2.8984999999999999</v>
      </c>
    </row>
    <row r="174" spans="1:12" ht="13.8" x14ac:dyDescent="0.25">
      <c r="A174" s="10">
        <v>5.9</v>
      </c>
      <c r="B174" s="23">
        <v>274.49</v>
      </c>
      <c r="C174" s="8">
        <v>1.3159999999999999E-3</v>
      </c>
      <c r="D174" s="26">
        <v>3.3044999999999998E-2</v>
      </c>
      <c r="E174" s="10">
        <v>1200.5</v>
      </c>
      <c r="F174" s="10">
        <v>2590.6999999999998</v>
      </c>
      <c r="G174" s="10">
        <v>1208.3</v>
      </c>
      <c r="H174" s="10">
        <v>2785.7</v>
      </c>
      <c r="I174" s="10">
        <v>1577.4</v>
      </c>
      <c r="J174" s="19">
        <v>3.0177</v>
      </c>
      <c r="K174" s="19">
        <v>5.8981000000000003</v>
      </c>
      <c r="L174" s="19">
        <v>2.8803000000000001</v>
      </c>
    </row>
    <row r="175" spans="1:12" ht="13.8" x14ac:dyDescent="0.25">
      <c r="A175" s="10">
        <v>6</v>
      </c>
      <c r="B175" s="23">
        <v>275.58499999999998</v>
      </c>
      <c r="C175" s="8">
        <v>1.3192600000000001E-3</v>
      </c>
      <c r="D175" s="26">
        <v>3.2447999999999998E-2</v>
      </c>
      <c r="E175" s="10">
        <v>1206</v>
      </c>
      <c r="F175" s="10">
        <v>2589.9</v>
      </c>
      <c r="G175" s="10">
        <v>1213.9000000000001</v>
      </c>
      <c r="H175" s="10">
        <v>2784.6</v>
      </c>
      <c r="I175" s="10">
        <v>1570.7</v>
      </c>
      <c r="J175" s="19">
        <v>3.0278</v>
      </c>
      <c r="K175" s="19">
        <v>5.8901000000000003</v>
      </c>
      <c r="L175" s="19">
        <v>2.8622999999999998</v>
      </c>
    </row>
    <row r="176" spans="1:12" ht="13.8" x14ac:dyDescent="0.25">
      <c r="A176" s="10">
        <v>6.1</v>
      </c>
      <c r="B176" s="23">
        <v>276.666</v>
      </c>
      <c r="C176" s="8">
        <v>1.3225299999999999E-3</v>
      </c>
      <c r="D176" s="26">
        <v>3.1870000000000002E-2</v>
      </c>
      <c r="E176" s="10">
        <v>1211.4000000000001</v>
      </c>
      <c r="F176" s="10">
        <v>2589.1</v>
      </c>
      <c r="G176" s="10">
        <v>1219.5</v>
      </c>
      <c r="H176" s="10">
        <v>2783.5</v>
      </c>
      <c r="I176" s="10">
        <v>1564</v>
      </c>
      <c r="J176" s="19">
        <v>3.0377000000000001</v>
      </c>
      <c r="K176" s="19">
        <v>5.8822999999999999</v>
      </c>
      <c r="L176" s="19">
        <v>2.8445</v>
      </c>
    </row>
    <row r="177" spans="1:12" ht="13.8" x14ac:dyDescent="0.25">
      <c r="A177" s="10">
        <v>6.2</v>
      </c>
      <c r="B177" s="23">
        <v>277.733</v>
      </c>
      <c r="C177" s="8">
        <v>1.3257900000000001E-3</v>
      </c>
      <c r="D177" s="26">
        <v>3.1308999999999997E-2</v>
      </c>
      <c r="E177" s="10">
        <v>1216.9000000000001</v>
      </c>
      <c r="F177" s="10">
        <v>2588.3000000000002</v>
      </c>
      <c r="G177" s="10">
        <v>1225.0999999999999</v>
      </c>
      <c r="H177" s="10">
        <v>2782.4</v>
      </c>
      <c r="I177" s="10">
        <v>1557.3</v>
      </c>
      <c r="J177" s="19">
        <v>3.0476000000000001</v>
      </c>
      <c r="K177" s="19">
        <v>5.8745000000000003</v>
      </c>
      <c r="L177" s="19">
        <v>2.8269000000000002</v>
      </c>
    </row>
    <row r="178" spans="1:12" ht="13.8" x14ac:dyDescent="0.25">
      <c r="A178" s="10">
        <v>6.3</v>
      </c>
      <c r="B178" s="23">
        <v>278.78699999999998</v>
      </c>
      <c r="C178" s="8">
        <v>1.32905E-3</v>
      </c>
      <c r="D178" s="26">
        <v>3.0766000000000002E-2</v>
      </c>
      <c r="E178" s="10">
        <v>1222.0999999999999</v>
      </c>
      <c r="F178" s="10">
        <v>2587.4</v>
      </c>
      <c r="G178" s="10">
        <v>1230.5</v>
      </c>
      <c r="H178" s="10">
        <v>2781.2</v>
      </c>
      <c r="I178" s="10">
        <v>1550.7</v>
      </c>
      <c r="J178" s="19">
        <v>3.0573000000000001</v>
      </c>
      <c r="K178" s="19">
        <v>5.8667999999999996</v>
      </c>
      <c r="L178" s="19">
        <v>2.8094999999999999</v>
      </c>
    </row>
    <row r="179" spans="1:12" ht="13.8" x14ac:dyDescent="0.25">
      <c r="A179" s="10">
        <v>6.4</v>
      </c>
      <c r="B179" s="23">
        <v>279.82900000000001</v>
      </c>
      <c r="C179" s="8">
        <v>1.3323E-3</v>
      </c>
      <c r="D179" s="26">
        <v>3.0238000000000001E-2</v>
      </c>
      <c r="E179" s="10">
        <v>1227.5</v>
      </c>
      <c r="F179" s="10">
        <v>2586.6</v>
      </c>
      <c r="G179" s="10">
        <v>1236</v>
      </c>
      <c r="H179" s="10">
        <v>2780.1</v>
      </c>
      <c r="I179" s="10">
        <v>1544.1</v>
      </c>
      <c r="J179" s="19">
        <v>3.0669</v>
      </c>
      <c r="K179" s="19">
        <v>5.8592000000000004</v>
      </c>
      <c r="L179" s="19">
        <v>2.7923</v>
      </c>
    </row>
    <row r="180" spans="1:12" ht="13.8" x14ac:dyDescent="0.25">
      <c r="A180" s="10">
        <v>6.5</v>
      </c>
      <c r="B180" s="23">
        <v>280.858</v>
      </c>
      <c r="C180" s="8">
        <v>1.33556E-3</v>
      </c>
      <c r="D180" s="26">
        <v>2.9727E-2</v>
      </c>
      <c r="E180" s="10">
        <v>1232.7</v>
      </c>
      <c r="F180" s="10">
        <v>2585.6999999999998</v>
      </c>
      <c r="G180" s="10">
        <v>1241.4000000000001</v>
      </c>
      <c r="H180" s="10">
        <v>2778.9</v>
      </c>
      <c r="I180" s="10">
        <v>1537.5</v>
      </c>
      <c r="J180" s="19">
        <v>3.0764</v>
      </c>
      <c r="K180" s="19">
        <v>5.8516000000000004</v>
      </c>
      <c r="L180" s="19">
        <v>2.7751999999999999</v>
      </c>
    </row>
    <row r="181" spans="1:12" ht="13.8" x14ac:dyDescent="0.25">
      <c r="A181" s="10">
        <v>6.6</v>
      </c>
      <c r="B181" s="23">
        <v>281.875</v>
      </c>
      <c r="C181" s="8">
        <v>1.3388199999999999E-3</v>
      </c>
      <c r="D181" s="26">
        <v>2.9229999999999999E-2</v>
      </c>
      <c r="E181" s="10">
        <v>1237.9000000000001</v>
      </c>
      <c r="F181" s="10">
        <v>2584.8000000000002</v>
      </c>
      <c r="G181" s="10">
        <v>1246.7</v>
      </c>
      <c r="H181" s="10">
        <v>2777.7</v>
      </c>
      <c r="I181" s="10">
        <v>1530.9</v>
      </c>
      <c r="J181" s="19">
        <v>3.0857999999999999</v>
      </c>
      <c r="K181" s="19">
        <v>5.8441000000000001</v>
      </c>
      <c r="L181" s="19">
        <v>2.7583000000000002</v>
      </c>
    </row>
    <row r="182" spans="1:12" ht="13.8" x14ac:dyDescent="0.25">
      <c r="A182" s="10">
        <v>6.7</v>
      </c>
      <c r="B182" s="23">
        <v>282.88</v>
      </c>
      <c r="C182" s="8">
        <v>1.3420800000000001E-3</v>
      </c>
      <c r="D182" s="26">
        <v>2.8747000000000002E-2</v>
      </c>
      <c r="E182" s="10">
        <v>1243</v>
      </c>
      <c r="F182" s="10">
        <v>2583.8000000000002</v>
      </c>
      <c r="G182" s="10">
        <v>1252</v>
      </c>
      <c r="H182" s="10">
        <v>2776.4</v>
      </c>
      <c r="I182" s="10">
        <v>1524.4</v>
      </c>
      <c r="J182" s="19">
        <v>3.0951</v>
      </c>
      <c r="K182" s="19">
        <v>5.8367000000000004</v>
      </c>
      <c r="L182" s="19">
        <v>2.7416</v>
      </c>
    </row>
    <row r="183" spans="1:12" ht="13.8" x14ac:dyDescent="0.25">
      <c r="A183" s="10">
        <v>6.8</v>
      </c>
      <c r="B183" s="23">
        <v>283.87400000000002</v>
      </c>
      <c r="C183" s="8">
        <v>1.3453300000000001E-3</v>
      </c>
      <c r="D183" s="26">
        <v>2.8278000000000001E-2</v>
      </c>
      <c r="E183" s="10">
        <v>1248.2</v>
      </c>
      <c r="F183" s="10">
        <v>2582.9</v>
      </c>
      <c r="G183" s="10">
        <v>1257.3</v>
      </c>
      <c r="H183" s="10">
        <v>2775.2</v>
      </c>
      <c r="I183" s="10">
        <v>1517.9</v>
      </c>
      <c r="J183" s="19">
        <v>3.1042999999999998</v>
      </c>
      <c r="K183" s="19">
        <v>5.8292999999999999</v>
      </c>
      <c r="L183" s="19">
        <v>2.7250000000000001</v>
      </c>
    </row>
    <row r="184" spans="1:12" ht="13.8" x14ac:dyDescent="0.25">
      <c r="A184" s="10">
        <v>6.9</v>
      </c>
      <c r="B184" s="23">
        <v>284.85700000000003</v>
      </c>
      <c r="C184" s="8">
        <v>1.34859E-3</v>
      </c>
      <c r="D184" s="26">
        <v>2.7822E-2</v>
      </c>
      <c r="E184" s="10">
        <v>1253.2</v>
      </c>
      <c r="F184" s="10">
        <v>2581.9</v>
      </c>
      <c r="G184" s="10">
        <v>1262.5</v>
      </c>
      <c r="H184" s="10">
        <v>2773.9</v>
      </c>
      <c r="I184" s="10">
        <v>1511.4</v>
      </c>
      <c r="J184" s="19">
        <v>3.1133999999999999</v>
      </c>
      <c r="K184" s="19">
        <v>5.8220000000000001</v>
      </c>
      <c r="L184" s="19">
        <v>2.7086000000000001</v>
      </c>
    </row>
    <row r="185" spans="1:12" ht="13.8" x14ac:dyDescent="0.25">
      <c r="A185" s="10">
        <v>7</v>
      </c>
      <c r="B185" s="23">
        <v>285.82900000000001</v>
      </c>
      <c r="C185" s="8">
        <v>1.3518600000000001E-3</v>
      </c>
      <c r="D185" s="26">
        <v>2.7378E-2</v>
      </c>
      <c r="E185" s="10">
        <v>1258.2</v>
      </c>
      <c r="F185" s="10">
        <v>2581</v>
      </c>
      <c r="G185" s="10">
        <v>1267.7</v>
      </c>
      <c r="H185" s="10">
        <v>2772.6</v>
      </c>
      <c r="I185" s="10">
        <v>1505</v>
      </c>
      <c r="J185" s="19">
        <v>3.1223999999999998</v>
      </c>
      <c r="K185" s="19">
        <v>5.8148</v>
      </c>
      <c r="L185" s="19">
        <v>2.6924000000000001</v>
      </c>
    </row>
    <row r="186" spans="1:12" ht="13.8" x14ac:dyDescent="0.25">
      <c r="A186" s="10">
        <v>7.1</v>
      </c>
      <c r="B186" s="23">
        <v>286.79000000000002</v>
      </c>
      <c r="C186" s="8">
        <v>1.35512E-3</v>
      </c>
      <c r="D186" s="26">
        <v>2.6946999999999999E-2</v>
      </c>
      <c r="E186" s="10">
        <v>1263.2</v>
      </c>
      <c r="F186" s="10">
        <v>2580</v>
      </c>
      <c r="G186" s="10">
        <v>1272.8</v>
      </c>
      <c r="H186" s="10">
        <v>2771.3</v>
      </c>
      <c r="I186" s="10">
        <v>1498.5</v>
      </c>
      <c r="J186" s="19">
        <v>3.1313</v>
      </c>
      <c r="K186" s="19">
        <v>5.8075999999999999</v>
      </c>
      <c r="L186" s="19">
        <v>2.6762000000000001</v>
      </c>
    </row>
    <row r="187" spans="1:12" ht="13.8" x14ac:dyDescent="0.25">
      <c r="A187" s="10">
        <v>7.2</v>
      </c>
      <c r="B187" s="23">
        <v>287.74099999999999</v>
      </c>
      <c r="C187" s="8">
        <v>1.3583899999999999E-3</v>
      </c>
      <c r="D187" s="26">
        <v>2.6526000000000001E-2</v>
      </c>
      <c r="E187" s="10">
        <v>1268.0999999999999</v>
      </c>
      <c r="F187" s="10">
        <v>2579</v>
      </c>
      <c r="G187" s="10">
        <v>1277.9000000000001</v>
      </c>
      <c r="H187" s="10">
        <v>2770</v>
      </c>
      <c r="I187" s="10">
        <v>1492.1</v>
      </c>
      <c r="J187" s="19">
        <v>3.1402000000000001</v>
      </c>
      <c r="K187" s="19">
        <v>5.8003999999999998</v>
      </c>
      <c r="L187" s="19">
        <v>2.6602999999999999</v>
      </c>
    </row>
    <row r="188" spans="1:12" ht="13.8" x14ac:dyDescent="0.25">
      <c r="A188" s="10">
        <v>7.3</v>
      </c>
      <c r="B188" s="23">
        <v>288.68200000000002</v>
      </c>
      <c r="C188" s="8">
        <v>1.36166E-3</v>
      </c>
      <c r="D188" s="26">
        <v>2.6117000000000001E-2</v>
      </c>
      <c r="E188" s="10">
        <v>1273</v>
      </c>
      <c r="F188" s="10">
        <v>2577.9</v>
      </c>
      <c r="G188" s="10">
        <v>1282.9000000000001</v>
      </c>
      <c r="H188" s="10">
        <v>2768.6</v>
      </c>
      <c r="I188" s="10">
        <v>1485.7</v>
      </c>
      <c r="J188" s="19">
        <v>3.1488999999999998</v>
      </c>
      <c r="K188" s="19">
        <v>5.7933000000000003</v>
      </c>
      <c r="L188" s="19">
        <v>2.6444000000000001</v>
      </c>
    </row>
    <row r="189" spans="1:12" ht="13.8" x14ac:dyDescent="0.25">
      <c r="A189" s="10">
        <v>7.4</v>
      </c>
      <c r="B189" s="23">
        <v>289.61399999999998</v>
      </c>
      <c r="C189" s="8">
        <v>1.3649300000000001E-3</v>
      </c>
      <c r="D189" s="26">
        <v>2.5718000000000001E-2</v>
      </c>
      <c r="E189" s="10">
        <v>1277.8</v>
      </c>
      <c r="F189" s="10">
        <v>2577</v>
      </c>
      <c r="G189" s="10">
        <v>1287.9000000000001</v>
      </c>
      <c r="H189" s="10">
        <v>2767.3</v>
      </c>
      <c r="I189" s="10">
        <v>1479.3</v>
      </c>
      <c r="J189" s="19">
        <v>3.1576</v>
      </c>
      <c r="K189" s="19">
        <v>5.7862999999999998</v>
      </c>
      <c r="L189" s="19">
        <v>2.6286999999999998</v>
      </c>
    </row>
    <row r="190" spans="1:12" ht="13.8" x14ac:dyDescent="0.25">
      <c r="A190" s="10">
        <v>7.5</v>
      </c>
      <c r="B190" s="23">
        <v>290.53500000000003</v>
      </c>
      <c r="C190" s="8">
        <v>1.3682099999999999E-3</v>
      </c>
      <c r="D190" s="26">
        <v>2.5329999999999998E-2</v>
      </c>
      <c r="E190" s="10">
        <v>1282.5999999999999</v>
      </c>
      <c r="F190" s="10">
        <v>2575.9</v>
      </c>
      <c r="G190" s="10">
        <v>1292.9000000000001</v>
      </c>
      <c r="H190" s="10">
        <v>2765.9</v>
      </c>
      <c r="I190" s="10">
        <v>1473</v>
      </c>
      <c r="J190" s="19">
        <v>3.1661999999999999</v>
      </c>
      <c r="K190" s="19">
        <v>5.7793000000000001</v>
      </c>
      <c r="L190" s="19">
        <v>2.6131000000000002</v>
      </c>
    </row>
    <row r="191" spans="1:12" ht="13.8" x14ac:dyDescent="0.25">
      <c r="A191" s="10">
        <v>7.6</v>
      </c>
      <c r="B191" s="23">
        <v>291.44799999999998</v>
      </c>
      <c r="C191" s="8">
        <v>1.3714899999999999E-3</v>
      </c>
      <c r="D191" s="26">
        <v>2.4951000000000001E-2</v>
      </c>
      <c r="E191" s="10">
        <v>1287.5</v>
      </c>
      <c r="F191" s="10">
        <v>2574.9</v>
      </c>
      <c r="G191" s="10">
        <v>1297.9000000000001</v>
      </c>
      <c r="H191" s="10">
        <v>2764.5</v>
      </c>
      <c r="I191" s="10">
        <v>1466.6</v>
      </c>
      <c r="J191" s="19">
        <v>3.1747000000000001</v>
      </c>
      <c r="K191" s="19">
        <v>5.7723000000000004</v>
      </c>
      <c r="L191" s="19">
        <v>2.5975999999999999</v>
      </c>
    </row>
    <row r="192" spans="1:12" ht="13.8" x14ac:dyDescent="0.25">
      <c r="A192" s="10">
        <v>7.7</v>
      </c>
      <c r="B192" s="23">
        <v>292.351</v>
      </c>
      <c r="C192" s="8">
        <v>1.37477E-3</v>
      </c>
      <c r="D192" s="26">
        <v>2.4580999999999999E-2</v>
      </c>
      <c r="E192" s="10">
        <v>1292.2</v>
      </c>
      <c r="F192" s="10">
        <v>2573.8000000000002</v>
      </c>
      <c r="G192" s="10">
        <v>1302.8</v>
      </c>
      <c r="H192" s="10">
        <v>2763.1</v>
      </c>
      <c r="I192" s="10">
        <v>1460.3</v>
      </c>
      <c r="J192" s="19">
        <v>3.1831999999999998</v>
      </c>
      <c r="K192" s="19">
        <v>5.7653999999999996</v>
      </c>
      <c r="L192" s="19">
        <v>2.5823</v>
      </c>
    </row>
    <row r="193" spans="1:12" ht="13.8" x14ac:dyDescent="0.25">
      <c r="A193" s="10">
        <v>7.8</v>
      </c>
      <c r="B193" s="23">
        <v>293.245</v>
      </c>
      <c r="C193" s="8">
        <v>1.37806E-3</v>
      </c>
      <c r="D193" s="26">
        <v>2.4220999999999999E-2</v>
      </c>
      <c r="E193" s="10">
        <v>1297</v>
      </c>
      <c r="F193" s="10">
        <v>2572.6999999999998</v>
      </c>
      <c r="G193" s="10">
        <v>1307.7</v>
      </c>
      <c r="H193" s="10">
        <v>2761.6</v>
      </c>
      <c r="I193" s="10">
        <v>1454</v>
      </c>
      <c r="J193" s="19">
        <v>3.1915</v>
      </c>
      <c r="K193" s="19">
        <v>5.7586000000000004</v>
      </c>
      <c r="L193" s="19">
        <v>2.5670999999999999</v>
      </c>
    </row>
    <row r="194" spans="1:12" ht="13.8" x14ac:dyDescent="0.25">
      <c r="A194" s="10">
        <v>7.9</v>
      </c>
      <c r="B194" s="23">
        <v>294.13099999999997</v>
      </c>
      <c r="C194" s="8">
        <v>1.3813600000000001E-3</v>
      </c>
      <c r="D194" s="26">
        <v>2.3869000000000001E-2</v>
      </c>
      <c r="E194" s="10">
        <v>1301.5999999999999</v>
      </c>
      <c r="F194" s="10">
        <v>2571.6</v>
      </c>
      <c r="G194" s="10">
        <v>1312.5</v>
      </c>
      <c r="H194" s="10">
        <v>2760.2</v>
      </c>
      <c r="I194" s="10">
        <v>1447.7</v>
      </c>
      <c r="J194" s="19">
        <v>3.1998000000000002</v>
      </c>
      <c r="K194" s="19">
        <v>5.7518000000000002</v>
      </c>
      <c r="L194" s="19">
        <v>2.5518999999999998</v>
      </c>
    </row>
    <row r="195" spans="1:12" ht="13.8" x14ac:dyDescent="0.25">
      <c r="A195" s="10">
        <v>8</v>
      </c>
      <c r="B195" s="23">
        <v>295.00799999999998</v>
      </c>
      <c r="C195" s="8">
        <v>1.38467E-3</v>
      </c>
      <c r="D195" s="26">
        <v>2.3525999999999998E-2</v>
      </c>
      <c r="E195" s="10">
        <v>1306.2</v>
      </c>
      <c r="F195" s="10">
        <v>2570.5</v>
      </c>
      <c r="G195" s="10">
        <v>1317.3</v>
      </c>
      <c r="H195" s="10">
        <v>2758.7</v>
      </c>
      <c r="I195" s="10">
        <v>1441.4</v>
      </c>
      <c r="J195" s="19">
        <v>3.2081</v>
      </c>
      <c r="K195" s="19">
        <v>5.7450000000000001</v>
      </c>
      <c r="L195" s="19">
        <v>2.5369000000000002</v>
      </c>
    </row>
    <row r="196" spans="1:12" ht="13.8" x14ac:dyDescent="0.25">
      <c r="A196" s="10">
        <v>8.1</v>
      </c>
      <c r="B196" s="23">
        <v>295.87599999999998</v>
      </c>
      <c r="C196" s="8">
        <v>1.3879700000000001E-3</v>
      </c>
      <c r="D196" s="26">
        <v>2.3189999999999999E-2</v>
      </c>
      <c r="E196" s="10">
        <v>1310.9</v>
      </c>
      <c r="F196" s="10">
        <v>2569.4</v>
      </c>
      <c r="G196" s="10">
        <v>1322.1</v>
      </c>
      <c r="H196" s="10">
        <v>2757.2</v>
      </c>
      <c r="I196" s="10">
        <v>1435.1</v>
      </c>
      <c r="J196" s="19">
        <v>3.2162000000000002</v>
      </c>
      <c r="K196" s="19">
        <v>5.7382999999999997</v>
      </c>
      <c r="L196" s="19">
        <v>2.5219999999999998</v>
      </c>
    </row>
    <row r="197" spans="1:12" ht="13.8" x14ac:dyDescent="0.25">
      <c r="A197" s="10">
        <v>8.1999999999999993</v>
      </c>
      <c r="B197" s="23">
        <v>296.73700000000002</v>
      </c>
      <c r="C197" s="8">
        <v>1.3912900000000001E-3</v>
      </c>
      <c r="D197" s="26">
        <v>2.2863000000000001E-2</v>
      </c>
      <c r="E197" s="10">
        <v>1315.4</v>
      </c>
      <c r="F197" s="10">
        <v>2568.1999999999998</v>
      </c>
      <c r="G197" s="10">
        <v>1326.8</v>
      </c>
      <c r="H197" s="10">
        <v>2755.7</v>
      </c>
      <c r="I197" s="10">
        <v>1428.8</v>
      </c>
      <c r="J197" s="19">
        <v>3.2242999999999999</v>
      </c>
      <c r="K197" s="19">
        <v>5.7316000000000003</v>
      </c>
      <c r="L197" s="19">
        <v>2.5072000000000001</v>
      </c>
    </row>
    <row r="198" spans="1:12" ht="13.8" x14ac:dyDescent="0.25">
      <c r="A198" s="10">
        <v>8.3000000000000007</v>
      </c>
      <c r="B198" s="23">
        <v>297.589</v>
      </c>
      <c r="C198" s="8">
        <v>1.3946099999999999E-3</v>
      </c>
      <c r="D198" s="26">
        <v>2.2542E-2</v>
      </c>
      <c r="E198" s="10">
        <v>1320</v>
      </c>
      <c r="F198" s="10">
        <v>2567</v>
      </c>
      <c r="G198" s="10">
        <v>1331.6</v>
      </c>
      <c r="H198" s="10">
        <v>2754.1</v>
      </c>
      <c r="I198" s="10">
        <v>1422.6</v>
      </c>
      <c r="J198" s="19">
        <v>3.2324000000000002</v>
      </c>
      <c r="K198" s="19">
        <v>5.7248999999999999</v>
      </c>
      <c r="L198" s="19">
        <v>2.4925000000000002</v>
      </c>
    </row>
    <row r="199" spans="1:12" ht="13.8" x14ac:dyDescent="0.25">
      <c r="A199" s="10">
        <v>8.4</v>
      </c>
      <c r="B199" s="23">
        <v>298.43400000000003</v>
      </c>
      <c r="C199" s="8">
        <v>1.39795E-3</v>
      </c>
      <c r="D199" s="26">
        <v>2.2228999999999999E-2</v>
      </c>
      <c r="E199" s="10">
        <v>1324.6</v>
      </c>
      <c r="F199" s="10">
        <v>2565.9</v>
      </c>
      <c r="G199" s="10">
        <v>1336.3</v>
      </c>
      <c r="H199" s="10">
        <v>2752.6</v>
      </c>
      <c r="I199" s="10">
        <v>1416.3</v>
      </c>
      <c r="J199" s="19">
        <v>3.2403</v>
      </c>
      <c r="K199" s="19">
        <v>5.7183000000000002</v>
      </c>
      <c r="L199" s="19">
        <v>2.4779</v>
      </c>
    </row>
    <row r="200" spans="1:12" ht="13.8" x14ac:dyDescent="0.25">
      <c r="A200" s="10">
        <v>8.5</v>
      </c>
      <c r="B200" s="23">
        <v>299.27100000000002</v>
      </c>
      <c r="C200" s="8">
        <v>1.40128E-3</v>
      </c>
      <c r="D200" s="26">
        <v>2.1923000000000002E-2</v>
      </c>
      <c r="E200" s="10">
        <v>1329</v>
      </c>
      <c r="F200" s="10">
        <v>2564.6999999999998</v>
      </c>
      <c r="G200" s="10">
        <v>1340.9</v>
      </c>
      <c r="H200" s="10">
        <v>2751</v>
      </c>
      <c r="I200" s="10">
        <v>1410.1</v>
      </c>
      <c r="J200" s="19">
        <v>3.2483</v>
      </c>
      <c r="K200" s="19">
        <v>5.7117000000000004</v>
      </c>
      <c r="L200" s="19">
        <v>2.4634</v>
      </c>
    </row>
    <row r="201" spans="1:12" ht="13.8" x14ac:dyDescent="0.25">
      <c r="A201" s="10">
        <v>8.6</v>
      </c>
      <c r="B201" s="23">
        <v>300.10000000000002</v>
      </c>
      <c r="C201" s="8">
        <v>1.40463E-3</v>
      </c>
      <c r="D201" s="26">
        <v>2.1624000000000001E-2</v>
      </c>
      <c r="E201" s="10">
        <v>1333.5</v>
      </c>
      <c r="F201" s="10">
        <v>2563.4</v>
      </c>
      <c r="G201" s="10">
        <v>1345.6</v>
      </c>
      <c r="H201" s="10">
        <v>2749.4</v>
      </c>
      <c r="I201" s="10">
        <v>1403.9</v>
      </c>
      <c r="J201" s="19">
        <v>3.2561</v>
      </c>
      <c r="K201" s="19">
        <v>5.7050999999999998</v>
      </c>
      <c r="L201" s="19">
        <v>2.4489999999999998</v>
      </c>
    </row>
    <row r="202" spans="1:12" ht="13.8" x14ac:dyDescent="0.25">
      <c r="A202" s="10">
        <v>8.6999999999999993</v>
      </c>
      <c r="B202" s="23">
        <v>300.92200000000003</v>
      </c>
      <c r="C202" s="8">
        <v>1.40799E-3</v>
      </c>
      <c r="D202" s="26">
        <v>2.1332E-2</v>
      </c>
      <c r="E202" s="10">
        <v>1338</v>
      </c>
      <c r="F202" s="10">
        <v>2562.1999999999998</v>
      </c>
      <c r="G202" s="10">
        <v>1350.2</v>
      </c>
      <c r="H202" s="10">
        <v>2747.8</v>
      </c>
      <c r="I202" s="10">
        <v>1397.7</v>
      </c>
      <c r="J202" s="19">
        <v>3.2639</v>
      </c>
      <c r="K202" s="19">
        <v>5.6985999999999999</v>
      </c>
      <c r="L202" s="19">
        <v>2.4346999999999999</v>
      </c>
    </row>
    <row r="203" spans="1:12" ht="13.8" x14ac:dyDescent="0.25">
      <c r="A203" s="10">
        <v>8.8000000000000007</v>
      </c>
      <c r="B203" s="23">
        <v>301.73700000000002</v>
      </c>
      <c r="C203" s="8">
        <v>1.41135E-3</v>
      </c>
      <c r="D203" s="26">
        <v>2.1045000000000001E-2</v>
      </c>
      <c r="E203" s="10">
        <v>1342.4</v>
      </c>
      <c r="F203" s="10">
        <v>2561</v>
      </c>
      <c r="G203" s="10">
        <v>1354.8</v>
      </c>
      <c r="H203" s="10">
        <v>2746.2</v>
      </c>
      <c r="I203" s="10">
        <v>1391.5</v>
      </c>
      <c r="J203" s="19">
        <v>3.2717000000000001</v>
      </c>
      <c r="K203" s="19">
        <v>5.6920999999999999</v>
      </c>
      <c r="L203" s="19">
        <v>2.4203999999999999</v>
      </c>
    </row>
    <row r="204" spans="1:12" ht="13.8" x14ac:dyDescent="0.25">
      <c r="A204" s="10">
        <v>8.9</v>
      </c>
      <c r="B204" s="23">
        <v>302.54399999999998</v>
      </c>
      <c r="C204" s="8">
        <v>1.4147299999999999E-3</v>
      </c>
      <c r="D204" s="26">
        <v>2.0764999999999999E-2</v>
      </c>
      <c r="E204" s="10">
        <v>1346.7</v>
      </c>
      <c r="F204" s="10">
        <v>2559.8000000000002</v>
      </c>
      <c r="G204" s="10">
        <v>1359.3</v>
      </c>
      <c r="H204" s="10">
        <v>2744.6</v>
      </c>
      <c r="I204" s="10">
        <v>1385.3</v>
      </c>
      <c r="J204" s="19">
        <v>3.2793000000000001</v>
      </c>
      <c r="K204" s="19">
        <v>5.6856</v>
      </c>
      <c r="L204" s="19">
        <v>2.4062000000000001</v>
      </c>
    </row>
    <row r="205" spans="1:12" ht="13.8" x14ac:dyDescent="0.25">
      <c r="A205" s="10">
        <v>9</v>
      </c>
      <c r="B205" s="23">
        <v>303.34500000000003</v>
      </c>
      <c r="C205" s="8">
        <v>1.41811E-3</v>
      </c>
      <c r="D205" s="26">
        <v>2.0490000000000001E-2</v>
      </c>
      <c r="E205" s="10">
        <v>1351.1</v>
      </c>
      <c r="F205" s="10">
        <v>2558.5</v>
      </c>
      <c r="G205" s="10">
        <v>1363.9</v>
      </c>
      <c r="H205" s="10">
        <v>2742.9</v>
      </c>
      <c r="I205" s="10">
        <v>1379.1</v>
      </c>
      <c r="J205" s="19">
        <v>3.2869999999999999</v>
      </c>
      <c r="K205" s="19">
        <v>5.6791</v>
      </c>
      <c r="L205" s="19">
        <v>2.3921999999999999</v>
      </c>
    </row>
    <row r="206" spans="1:12" ht="13.8" x14ac:dyDescent="0.25">
      <c r="A206" s="10">
        <v>9</v>
      </c>
      <c r="B206" s="23">
        <v>303.34500000000003</v>
      </c>
      <c r="C206" s="8">
        <v>1.41811E-3</v>
      </c>
      <c r="D206" s="26">
        <v>2.0490000000000001E-2</v>
      </c>
      <c r="E206" s="10">
        <v>1351.1</v>
      </c>
      <c r="F206" s="10">
        <v>2558.5</v>
      </c>
      <c r="G206" s="10">
        <v>1363.9</v>
      </c>
      <c r="H206" s="10">
        <v>2742.9</v>
      </c>
      <c r="I206" s="27">
        <v>1379.1</v>
      </c>
      <c r="J206" s="19">
        <v>3.2869999999999999</v>
      </c>
      <c r="K206" s="19">
        <v>5.6791</v>
      </c>
      <c r="L206" s="19">
        <v>2.3921999999999999</v>
      </c>
    </row>
    <row r="207" spans="1:12" ht="13.8" x14ac:dyDescent="0.25">
      <c r="A207" s="10">
        <v>9.1</v>
      </c>
      <c r="B207" s="23">
        <v>304.13900000000001</v>
      </c>
      <c r="C207" s="8">
        <v>1.42151E-3</v>
      </c>
      <c r="D207" s="26">
        <v>2.0220999999999999E-2</v>
      </c>
      <c r="E207" s="10">
        <v>1355.5</v>
      </c>
      <c r="F207" s="10">
        <v>2557.3000000000002</v>
      </c>
      <c r="G207" s="10">
        <v>1368.4</v>
      </c>
      <c r="H207" s="10">
        <v>2741.3</v>
      </c>
      <c r="I207" s="27">
        <v>1372.9</v>
      </c>
      <c r="J207" s="19">
        <v>3.2946</v>
      </c>
      <c r="K207" s="19">
        <v>5.6726999999999999</v>
      </c>
      <c r="L207" s="19">
        <v>2.3782000000000001</v>
      </c>
    </row>
    <row r="208" spans="1:12" ht="13.8" x14ac:dyDescent="0.25">
      <c r="A208" s="10">
        <v>9.1999999999999993</v>
      </c>
      <c r="B208" s="23">
        <v>304.92599999999999</v>
      </c>
      <c r="C208" s="8">
        <v>1.4249099999999999E-3</v>
      </c>
      <c r="D208" s="26">
        <v>1.9958E-2</v>
      </c>
      <c r="E208" s="10">
        <v>1359.8</v>
      </c>
      <c r="F208" s="10">
        <v>2556</v>
      </c>
      <c r="G208" s="10">
        <v>1372.9</v>
      </c>
      <c r="H208" s="10">
        <v>2739.6</v>
      </c>
      <c r="I208" s="27">
        <v>1366.7</v>
      </c>
      <c r="J208" s="19">
        <v>3.3020999999999998</v>
      </c>
      <c r="K208" s="19">
        <v>5.6662999999999997</v>
      </c>
      <c r="L208" s="19">
        <v>2.3641999999999999</v>
      </c>
    </row>
    <row r="209" spans="1:12" ht="13.8" x14ac:dyDescent="0.25">
      <c r="A209" s="10">
        <v>9.3000000000000007</v>
      </c>
      <c r="B209" s="23">
        <v>305.70699999999999</v>
      </c>
      <c r="C209" s="8">
        <v>1.42833E-3</v>
      </c>
      <c r="D209" s="26">
        <v>1.9699999999999999E-2</v>
      </c>
      <c r="E209" s="10">
        <v>1364.1</v>
      </c>
      <c r="F209" s="10">
        <v>2554.6999999999998</v>
      </c>
      <c r="G209" s="10">
        <v>1377.4</v>
      </c>
      <c r="H209" s="10">
        <v>2737.9</v>
      </c>
      <c r="I209" s="27">
        <v>1360.5</v>
      </c>
      <c r="J209" s="19">
        <v>3.3096000000000001</v>
      </c>
      <c r="K209" s="19">
        <v>5.6599000000000004</v>
      </c>
      <c r="L209" s="19">
        <v>2.3504</v>
      </c>
    </row>
    <row r="210" spans="1:12" ht="13.8" x14ac:dyDescent="0.25">
      <c r="A210" s="10">
        <v>9.4</v>
      </c>
      <c r="B210" s="23">
        <v>306.48099999999999</v>
      </c>
      <c r="C210" s="8">
        <v>1.43176E-3</v>
      </c>
      <c r="D210" s="26">
        <v>1.9446999999999999E-2</v>
      </c>
      <c r="E210" s="10">
        <v>1368.3</v>
      </c>
      <c r="F210" s="10">
        <v>2553.4</v>
      </c>
      <c r="G210" s="10">
        <v>1381.8</v>
      </c>
      <c r="H210" s="10">
        <v>2736.2</v>
      </c>
      <c r="I210" s="27">
        <v>1354.4</v>
      </c>
      <c r="J210" s="19">
        <v>3.3170000000000002</v>
      </c>
      <c r="K210" s="19">
        <v>5.6536</v>
      </c>
      <c r="L210" s="19">
        <v>2.3365999999999998</v>
      </c>
    </row>
    <row r="211" spans="1:12" ht="13.8" x14ac:dyDescent="0.25">
      <c r="A211" s="10">
        <v>9.5</v>
      </c>
      <c r="B211" s="23">
        <v>307.24900000000002</v>
      </c>
      <c r="C211" s="8">
        <v>1.4352E-3</v>
      </c>
      <c r="D211" s="26">
        <v>1.9199000000000001E-2</v>
      </c>
      <c r="E211" s="10">
        <v>1372.6</v>
      </c>
      <c r="F211" s="10">
        <v>2552</v>
      </c>
      <c r="G211" s="10">
        <v>1386.2</v>
      </c>
      <c r="H211" s="10">
        <v>2734.4</v>
      </c>
      <c r="I211" s="27">
        <v>1348.2</v>
      </c>
      <c r="J211" s="19">
        <v>3.3243999999999998</v>
      </c>
      <c r="K211" s="19">
        <v>5.6473000000000004</v>
      </c>
      <c r="L211" s="19">
        <v>2.3229000000000002</v>
      </c>
    </row>
    <row r="212" spans="1:12" ht="13.8" x14ac:dyDescent="0.25">
      <c r="A212" s="10">
        <v>9.6</v>
      </c>
      <c r="B212" s="23">
        <v>308.01</v>
      </c>
      <c r="C212" s="8">
        <v>1.4386500000000001E-3</v>
      </c>
      <c r="D212" s="26">
        <v>1.8956000000000001E-2</v>
      </c>
      <c r="E212" s="10">
        <v>1376.8</v>
      </c>
      <c r="F212" s="10">
        <v>2550.6999999999998</v>
      </c>
      <c r="G212" s="10">
        <v>1390.6</v>
      </c>
      <c r="H212" s="10">
        <v>2732.7</v>
      </c>
      <c r="I212" s="27">
        <v>1342</v>
      </c>
      <c r="J212" s="19">
        <v>3.3317000000000001</v>
      </c>
      <c r="K212" s="19">
        <v>5.641</v>
      </c>
      <c r="L212" s="19">
        <v>2.3092000000000001</v>
      </c>
    </row>
    <row r="213" spans="1:12" ht="13.8" x14ac:dyDescent="0.25">
      <c r="A213" s="10">
        <v>9.6999999999999993</v>
      </c>
      <c r="B213" s="23">
        <v>308.76600000000002</v>
      </c>
      <c r="C213" s="8">
        <v>1.4421200000000001E-3</v>
      </c>
      <c r="D213" s="26">
        <v>1.8717999999999999E-2</v>
      </c>
      <c r="E213" s="10">
        <v>1381</v>
      </c>
      <c r="F213" s="10">
        <v>2549.3000000000002</v>
      </c>
      <c r="G213" s="10">
        <v>1395</v>
      </c>
      <c r="H213" s="10">
        <v>2730.9</v>
      </c>
      <c r="I213" s="27">
        <v>1335.9</v>
      </c>
      <c r="J213" s="19">
        <v>3.339</v>
      </c>
      <c r="K213" s="19">
        <v>5.6346999999999996</v>
      </c>
      <c r="L213" s="19">
        <v>2.2957000000000001</v>
      </c>
    </row>
    <row r="214" spans="1:12" ht="13.8" x14ac:dyDescent="0.25">
      <c r="A214" s="10">
        <v>9.8000000000000007</v>
      </c>
      <c r="B214" s="23">
        <v>309.51600000000002</v>
      </c>
      <c r="C214" s="8">
        <v>1.4456E-3</v>
      </c>
      <c r="D214" s="26">
        <v>1.8484E-2</v>
      </c>
      <c r="E214" s="10">
        <v>1385.2</v>
      </c>
      <c r="F214" s="10">
        <v>2548</v>
      </c>
      <c r="G214" s="10">
        <v>1399.4</v>
      </c>
      <c r="H214" s="10">
        <v>2729.1</v>
      </c>
      <c r="I214" s="27">
        <v>1329.7</v>
      </c>
      <c r="J214" s="19">
        <v>3.3462999999999998</v>
      </c>
      <c r="K214" s="19">
        <v>5.6284000000000001</v>
      </c>
      <c r="L214" s="19">
        <v>2.2822</v>
      </c>
    </row>
    <row r="215" spans="1:12" ht="13.8" x14ac:dyDescent="0.25">
      <c r="A215" s="10">
        <v>9.9</v>
      </c>
      <c r="B215" s="23">
        <v>310.25900000000001</v>
      </c>
      <c r="C215" s="8">
        <v>1.4490900000000001E-3</v>
      </c>
      <c r="D215" s="26">
        <v>1.8255E-2</v>
      </c>
      <c r="E215" s="10">
        <v>1389.4</v>
      </c>
      <c r="F215" s="10">
        <v>2546.6</v>
      </c>
      <c r="G215" s="10">
        <v>1403.7</v>
      </c>
      <c r="H215" s="10">
        <v>2727.3</v>
      </c>
      <c r="I215" s="27">
        <v>1323.6</v>
      </c>
      <c r="J215" s="19">
        <v>3.3534999999999999</v>
      </c>
      <c r="K215" s="19">
        <v>5.6222000000000003</v>
      </c>
      <c r="L215" s="19">
        <v>2.2686999999999999</v>
      </c>
    </row>
    <row r="216" spans="1:12" ht="13.8" x14ac:dyDescent="0.25">
      <c r="A216" s="10">
        <v>10</v>
      </c>
      <c r="B216" s="23">
        <v>310.99700000000001</v>
      </c>
      <c r="C216" s="8">
        <v>1.4525899999999999E-3</v>
      </c>
      <c r="D216" s="26">
        <v>1.8030000000000001E-2</v>
      </c>
      <c r="E216" s="10">
        <v>1393.6</v>
      </c>
      <c r="F216" s="10">
        <v>2545.1999999999998</v>
      </c>
      <c r="G216" s="10">
        <v>1408.1</v>
      </c>
      <c r="H216" s="10">
        <v>2725.5</v>
      </c>
      <c r="I216" s="27">
        <v>1317.4</v>
      </c>
      <c r="J216" s="19">
        <v>3.3605999999999998</v>
      </c>
      <c r="K216" s="19">
        <v>5.6159999999999997</v>
      </c>
      <c r="L216" s="19">
        <v>2.2553000000000001</v>
      </c>
    </row>
    <row r="217" spans="1:12" ht="13.8" x14ac:dyDescent="0.25">
      <c r="A217" s="10">
        <v>10.199999999999999</v>
      </c>
      <c r="B217" s="23">
        <v>312.45600000000002</v>
      </c>
      <c r="C217" s="8">
        <v>1.4596500000000001E-3</v>
      </c>
      <c r="D217" s="26">
        <v>1.7592E-2</v>
      </c>
      <c r="E217" s="10">
        <v>1401.8</v>
      </c>
      <c r="F217" s="10">
        <v>2542.4</v>
      </c>
      <c r="G217" s="10">
        <v>1416.7</v>
      </c>
      <c r="H217" s="10">
        <v>2721.8</v>
      </c>
      <c r="I217" s="27">
        <v>1305.0999999999999</v>
      </c>
      <c r="J217" s="19">
        <v>3.3748999999999998</v>
      </c>
      <c r="K217" s="19">
        <v>5.6035000000000004</v>
      </c>
      <c r="L217" s="19">
        <v>2.2286999999999999</v>
      </c>
    </row>
    <row r="218" spans="1:12" ht="13.8" x14ac:dyDescent="0.25">
      <c r="A218" s="10">
        <v>10.4</v>
      </c>
      <c r="B218" s="23">
        <v>313.89299999999997</v>
      </c>
      <c r="C218" s="8">
        <v>1.4667599999999999E-3</v>
      </c>
      <c r="D218" s="26">
        <v>1.7170000000000001E-2</v>
      </c>
      <c r="E218" s="10">
        <v>1409.9</v>
      </c>
      <c r="F218" s="10">
        <v>2539.4</v>
      </c>
      <c r="G218" s="10">
        <v>1425.2</v>
      </c>
      <c r="H218" s="10">
        <v>2718</v>
      </c>
      <c r="I218" s="27">
        <v>1292.8</v>
      </c>
      <c r="J218" s="19">
        <v>3.3889</v>
      </c>
      <c r="K218" s="19">
        <v>5.5911999999999997</v>
      </c>
      <c r="L218" s="19">
        <v>2.2023000000000001</v>
      </c>
    </row>
    <row r="219" spans="1:12" ht="13.8" x14ac:dyDescent="0.25">
      <c r="A219" s="10">
        <v>10.6</v>
      </c>
      <c r="B219" s="23">
        <v>315.30799999999999</v>
      </c>
      <c r="C219" s="8">
        <v>1.47394E-3</v>
      </c>
      <c r="D219" s="26">
        <v>1.6763E-2</v>
      </c>
      <c r="E219" s="10">
        <v>1418.1</v>
      </c>
      <c r="F219" s="10">
        <v>2536.5</v>
      </c>
      <c r="G219" s="10">
        <v>1433.7</v>
      </c>
      <c r="H219" s="10">
        <v>2714.2</v>
      </c>
      <c r="I219" s="27">
        <v>1280.5</v>
      </c>
      <c r="J219" s="19">
        <v>3.4028</v>
      </c>
      <c r="K219" s="19">
        <v>5.5789</v>
      </c>
      <c r="L219" s="19">
        <v>2.1760999999999999</v>
      </c>
    </row>
    <row r="220" spans="1:12" ht="13.8" x14ac:dyDescent="0.25">
      <c r="A220" s="10">
        <v>10.8</v>
      </c>
      <c r="B220" s="23">
        <v>316.70299999999997</v>
      </c>
      <c r="C220" s="8">
        <v>1.4811900000000001E-3</v>
      </c>
      <c r="D220" s="26">
        <v>1.6369999999999999E-2</v>
      </c>
      <c r="E220" s="10">
        <v>1426.1</v>
      </c>
      <c r="F220" s="10">
        <v>2533.5</v>
      </c>
      <c r="G220" s="10">
        <v>1442.1</v>
      </c>
      <c r="H220" s="10">
        <v>2710.3</v>
      </c>
      <c r="I220" s="27">
        <v>1268.2</v>
      </c>
      <c r="J220" s="19">
        <v>3.4165999999999999</v>
      </c>
      <c r="K220" s="19">
        <v>5.5667</v>
      </c>
      <c r="L220" s="19">
        <v>2.1501000000000001</v>
      </c>
    </row>
    <row r="221" spans="1:12" ht="13.8" x14ac:dyDescent="0.25">
      <c r="A221" s="10">
        <v>11</v>
      </c>
      <c r="B221" s="23">
        <v>318.07900000000001</v>
      </c>
      <c r="C221" s="8">
        <v>1.48851E-3</v>
      </c>
      <c r="D221" s="26">
        <v>1.5990000000000001E-2</v>
      </c>
      <c r="E221" s="10">
        <v>1434</v>
      </c>
      <c r="F221" s="10">
        <v>2530.4</v>
      </c>
      <c r="G221" s="10">
        <v>1450.4</v>
      </c>
      <c r="H221" s="10">
        <v>2706.3</v>
      </c>
      <c r="I221" s="27">
        <v>1255.9000000000001</v>
      </c>
      <c r="J221" s="19">
        <v>3.4302999999999999</v>
      </c>
      <c r="K221" s="19">
        <v>5.5545</v>
      </c>
      <c r="L221" s="19">
        <v>2.1242000000000001</v>
      </c>
    </row>
    <row r="222" spans="1:12" ht="13.8" x14ac:dyDescent="0.25">
      <c r="A222" s="10">
        <v>11.2</v>
      </c>
      <c r="B222" s="23">
        <v>319.43400000000003</v>
      </c>
      <c r="C222" s="8">
        <v>1.4959000000000001E-3</v>
      </c>
      <c r="D222" s="26">
        <v>1.5622E-2</v>
      </c>
      <c r="E222" s="10">
        <v>1441.9</v>
      </c>
      <c r="F222" s="10">
        <v>2527.3000000000002</v>
      </c>
      <c r="G222" s="10">
        <v>1458.7</v>
      </c>
      <c r="H222" s="10">
        <v>2702.3</v>
      </c>
      <c r="I222" s="27">
        <v>1243.5999999999999</v>
      </c>
      <c r="J222" s="19">
        <v>3.4438</v>
      </c>
      <c r="K222" s="19">
        <v>5.5423</v>
      </c>
      <c r="L222" s="19">
        <v>2.0985</v>
      </c>
    </row>
    <row r="223" spans="1:12" ht="13.8" x14ac:dyDescent="0.25">
      <c r="A223" s="10">
        <v>11.4</v>
      </c>
      <c r="B223" s="23">
        <v>320.77100000000002</v>
      </c>
      <c r="C223" s="8">
        <v>1.50337E-3</v>
      </c>
      <c r="D223" s="26">
        <v>1.5266E-2</v>
      </c>
      <c r="E223" s="10">
        <v>1449.9</v>
      </c>
      <c r="F223" s="10">
        <v>2524.1999999999998</v>
      </c>
      <c r="G223" s="10">
        <v>1467</v>
      </c>
      <c r="H223" s="10">
        <v>2698.2</v>
      </c>
      <c r="I223" s="27">
        <v>1231.2</v>
      </c>
      <c r="J223" s="19">
        <v>3.4571999999999998</v>
      </c>
      <c r="K223" s="19">
        <v>5.5301999999999998</v>
      </c>
      <c r="L223" s="19">
        <v>2.073</v>
      </c>
    </row>
    <row r="224" spans="1:12" ht="13.8" x14ac:dyDescent="0.25">
      <c r="A224" s="10">
        <v>11.6</v>
      </c>
      <c r="B224" s="23">
        <v>322.08999999999997</v>
      </c>
      <c r="C224" s="8">
        <v>1.51093E-3</v>
      </c>
      <c r="D224" s="26">
        <v>1.4922E-2</v>
      </c>
      <c r="E224" s="10">
        <v>1457.7</v>
      </c>
      <c r="F224" s="10">
        <v>2520.9</v>
      </c>
      <c r="G224" s="10">
        <v>1475.2</v>
      </c>
      <c r="H224" s="10">
        <v>2694</v>
      </c>
      <c r="I224" s="27">
        <v>1218.8</v>
      </c>
      <c r="J224" s="19">
        <v>3.4704999999999999</v>
      </c>
      <c r="K224" s="19">
        <v>5.5180999999999996</v>
      </c>
      <c r="L224" s="19">
        <v>2.0476000000000001</v>
      </c>
    </row>
    <row r="225" spans="1:12" ht="13.8" x14ac:dyDescent="0.25">
      <c r="A225" s="10">
        <v>11.8</v>
      </c>
      <c r="B225" s="23">
        <v>323.39100000000002</v>
      </c>
      <c r="C225" s="8">
        <v>1.5185699999999999E-3</v>
      </c>
      <c r="D225" s="26">
        <v>1.4588E-2</v>
      </c>
      <c r="E225" s="10">
        <v>1465.4</v>
      </c>
      <c r="F225" s="10">
        <v>2517.6999999999998</v>
      </c>
      <c r="G225" s="10">
        <v>1483.3</v>
      </c>
      <c r="H225" s="10">
        <v>2689.8</v>
      </c>
      <c r="I225" s="27">
        <v>1206.4000000000001</v>
      </c>
      <c r="J225" s="19">
        <v>3.4836</v>
      </c>
      <c r="K225" s="19">
        <v>5.5060000000000002</v>
      </c>
      <c r="L225" s="19">
        <v>2.0224000000000002</v>
      </c>
    </row>
    <row r="226" spans="1:12" ht="13.8" x14ac:dyDescent="0.25">
      <c r="A226" s="10">
        <v>12</v>
      </c>
      <c r="B226" s="23">
        <v>324.67500000000001</v>
      </c>
      <c r="C226" s="8">
        <v>1.5263E-3</v>
      </c>
      <c r="D226" s="26">
        <v>1.4264000000000001E-2</v>
      </c>
      <c r="E226" s="10">
        <v>1473.2</v>
      </c>
      <c r="F226" s="10">
        <v>2514.1999999999998</v>
      </c>
      <c r="G226" s="10">
        <v>1491.5</v>
      </c>
      <c r="H226" s="10">
        <v>2685.4</v>
      </c>
      <c r="I226" s="27">
        <v>1194</v>
      </c>
      <c r="J226" s="19">
        <v>3.4967000000000001</v>
      </c>
      <c r="K226" s="19">
        <v>5.4939</v>
      </c>
      <c r="L226" s="19">
        <v>1.9972000000000001</v>
      </c>
    </row>
    <row r="227" spans="1:12" ht="13.8" x14ac:dyDescent="0.25">
      <c r="A227" s="10">
        <v>12.2</v>
      </c>
      <c r="B227" s="23">
        <v>325.94200000000001</v>
      </c>
      <c r="C227" s="8">
        <v>1.5341300000000001E-3</v>
      </c>
      <c r="D227" s="26">
        <v>1.3950000000000001E-2</v>
      </c>
      <c r="E227" s="10">
        <v>1480.8</v>
      </c>
      <c r="F227" s="10">
        <v>2510.8000000000002</v>
      </c>
      <c r="G227" s="10">
        <v>1499.5</v>
      </c>
      <c r="H227" s="10">
        <v>2681</v>
      </c>
      <c r="I227" s="27">
        <v>1181.5</v>
      </c>
      <c r="J227" s="19">
        <v>3.5097</v>
      </c>
      <c r="K227" s="19">
        <v>5.4819000000000004</v>
      </c>
      <c r="L227" s="19">
        <v>1.9722</v>
      </c>
    </row>
    <row r="228" spans="1:12" ht="13.8" x14ac:dyDescent="0.25">
      <c r="A228" s="10">
        <v>12.4</v>
      </c>
      <c r="B228" s="23">
        <v>327.19400000000002</v>
      </c>
      <c r="C228" s="8">
        <v>1.5420500000000001E-3</v>
      </c>
      <c r="D228" s="26">
        <v>1.3644999999999999E-2</v>
      </c>
      <c r="E228" s="10">
        <v>1488.5</v>
      </c>
      <c r="F228" s="10">
        <v>2507.4</v>
      </c>
      <c r="G228" s="10">
        <v>1507.6</v>
      </c>
      <c r="H228" s="10">
        <v>2676.6</v>
      </c>
      <c r="I228" s="27">
        <v>1169</v>
      </c>
      <c r="J228" s="19">
        <v>3.5226000000000002</v>
      </c>
      <c r="K228" s="19">
        <v>5.4698000000000002</v>
      </c>
      <c r="L228" s="19">
        <v>1.9472</v>
      </c>
    </row>
    <row r="229" spans="1:12" ht="13.8" x14ac:dyDescent="0.25">
      <c r="A229" s="10">
        <v>12.6</v>
      </c>
      <c r="B229" s="23">
        <v>328.42899999999997</v>
      </c>
      <c r="C229" s="8">
        <v>1.5500900000000001E-3</v>
      </c>
      <c r="D229" s="26">
        <v>1.3349E-2</v>
      </c>
      <c r="E229" s="10">
        <v>1496.1</v>
      </c>
      <c r="F229" s="10">
        <v>2503.8000000000002</v>
      </c>
      <c r="G229" s="10">
        <v>1515.6</v>
      </c>
      <c r="H229" s="10">
        <v>2672</v>
      </c>
      <c r="I229" s="27">
        <v>1156.4000000000001</v>
      </c>
      <c r="J229" s="19">
        <v>3.5354000000000001</v>
      </c>
      <c r="K229" s="19">
        <v>5.4577</v>
      </c>
      <c r="L229" s="19">
        <v>1.9222999999999999</v>
      </c>
    </row>
    <row r="230" spans="1:12" ht="13.8" x14ac:dyDescent="0.25">
      <c r="A230" s="10">
        <v>12.8</v>
      </c>
      <c r="B230" s="23">
        <v>329.649</v>
      </c>
      <c r="C230" s="8">
        <v>1.5582300000000001E-3</v>
      </c>
      <c r="D230" s="26">
        <v>1.3061E-2</v>
      </c>
      <c r="E230" s="10">
        <v>1503.7</v>
      </c>
      <c r="F230" s="10">
        <v>2500.1999999999998</v>
      </c>
      <c r="G230" s="10">
        <v>1523.6</v>
      </c>
      <c r="H230" s="10">
        <v>2667.4</v>
      </c>
      <c r="I230" s="27">
        <v>1143.8</v>
      </c>
      <c r="J230" s="19">
        <v>3.5480999999999998</v>
      </c>
      <c r="K230" s="19">
        <v>5.4457000000000004</v>
      </c>
      <c r="L230" s="19">
        <v>1.8975</v>
      </c>
    </row>
    <row r="231" spans="1:12" ht="13.8" x14ac:dyDescent="0.25">
      <c r="A231" s="10">
        <v>13</v>
      </c>
      <c r="B231" s="23">
        <v>330.85399999999998</v>
      </c>
      <c r="C231" s="8">
        <v>1.56649E-3</v>
      </c>
      <c r="D231" s="26">
        <v>1.278E-2</v>
      </c>
      <c r="E231" s="10">
        <v>1511.1</v>
      </c>
      <c r="F231" s="10">
        <v>2496.6</v>
      </c>
      <c r="G231" s="10">
        <v>1531.5</v>
      </c>
      <c r="H231" s="10">
        <v>2662.7</v>
      </c>
      <c r="I231" s="27">
        <v>1131.2</v>
      </c>
      <c r="J231" s="19">
        <v>3.5608</v>
      </c>
      <c r="K231" s="19">
        <v>5.4336000000000002</v>
      </c>
      <c r="L231" s="19">
        <v>1.8728</v>
      </c>
    </row>
    <row r="232" spans="1:12" ht="13.8" x14ac:dyDescent="0.25">
      <c r="A232" s="10">
        <v>13.2</v>
      </c>
      <c r="B232" s="23">
        <v>332.04399999999998</v>
      </c>
      <c r="C232" s="8">
        <v>1.5748699999999999E-3</v>
      </c>
      <c r="D232" s="26">
        <v>1.2508E-2</v>
      </c>
      <c r="E232" s="10">
        <v>1518.6</v>
      </c>
      <c r="F232" s="10">
        <v>2492.8000000000002</v>
      </c>
      <c r="G232" s="10">
        <v>1539.4</v>
      </c>
      <c r="H232" s="10">
        <v>2657.9</v>
      </c>
      <c r="I232" s="27">
        <v>1118.5</v>
      </c>
      <c r="J232" s="19">
        <v>3.5733999999999999</v>
      </c>
      <c r="K232" s="19">
        <v>5.4215</v>
      </c>
      <c r="L232" s="19">
        <v>1.8481000000000001</v>
      </c>
    </row>
    <row r="233" spans="1:12" ht="13.8" x14ac:dyDescent="0.25">
      <c r="A233" s="10">
        <v>13.4</v>
      </c>
      <c r="B233" s="23">
        <v>333.22</v>
      </c>
      <c r="C233" s="8">
        <v>1.5833799999999999E-3</v>
      </c>
      <c r="D233" s="26">
        <v>1.2241999999999999E-2</v>
      </c>
      <c r="E233" s="10">
        <v>1526.1</v>
      </c>
      <c r="F233" s="10">
        <v>2489</v>
      </c>
      <c r="G233" s="10">
        <v>1547.3</v>
      </c>
      <c r="H233" s="10">
        <v>2653</v>
      </c>
      <c r="I233" s="27">
        <v>1105.7</v>
      </c>
      <c r="J233" s="19">
        <v>3.5859000000000001</v>
      </c>
      <c r="K233" s="19">
        <v>5.4093</v>
      </c>
      <c r="L233" s="19">
        <v>1.8233999999999999</v>
      </c>
    </row>
    <row r="234" spans="1:12" ht="13.8" x14ac:dyDescent="0.25">
      <c r="A234" s="10">
        <v>13.6</v>
      </c>
      <c r="B234" s="23">
        <v>334.38200000000001</v>
      </c>
      <c r="C234" s="8">
        <v>1.59202E-3</v>
      </c>
      <c r="D234" s="26">
        <v>1.1983000000000001E-2</v>
      </c>
      <c r="E234" s="10">
        <v>1533.5</v>
      </c>
      <c r="F234" s="10">
        <v>2485</v>
      </c>
      <c r="G234" s="10">
        <v>1555.2</v>
      </c>
      <c r="H234" s="10">
        <v>2648</v>
      </c>
      <c r="I234" s="27">
        <v>1092.8</v>
      </c>
      <c r="J234" s="19">
        <v>3.5983999999999998</v>
      </c>
      <c r="K234" s="19">
        <v>5.3971999999999998</v>
      </c>
      <c r="L234" s="19">
        <v>1.7988</v>
      </c>
    </row>
    <row r="235" spans="1:12" ht="13.8" x14ac:dyDescent="0.25">
      <c r="A235" s="10">
        <v>13.8</v>
      </c>
      <c r="B235" s="23">
        <v>335.53100000000001</v>
      </c>
      <c r="C235" s="8">
        <v>1.60081E-3</v>
      </c>
      <c r="D235" s="26">
        <v>1.1731E-2</v>
      </c>
      <c r="E235" s="10">
        <v>1541</v>
      </c>
      <c r="F235" s="10">
        <v>2481.1</v>
      </c>
      <c r="G235" s="10">
        <v>1563.1</v>
      </c>
      <c r="H235" s="10">
        <v>2643</v>
      </c>
      <c r="I235" s="27">
        <v>1079.9000000000001</v>
      </c>
      <c r="J235" s="19">
        <v>3.6107999999999998</v>
      </c>
      <c r="K235" s="19">
        <v>5.3849999999999998</v>
      </c>
      <c r="L235" s="19">
        <v>1.7742</v>
      </c>
    </row>
    <row r="236" spans="1:12" ht="13.8" x14ac:dyDescent="0.25">
      <c r="A236" s="10">
        <v>14</v>
      </c>
      <c r="B236" s="23">
        <v>336.666</v>
      </c>
      <c r="C236" s="8">
        <v>1.6097399999999999E-3</v>
      </c>
      <c r="D236" s="26">
        <v>1.1485E-2</v>
      </c>
      <c r="E236" s="10">
        <v>1548.5</v>
      </c>
      <c r="F236" s="10">
        <v>2477.1</v>
      </c>
      <c r="G236" s="10">
        <v>1571</v>
      </c>
      <c r="H236" s="10">
        <v>2637.9</v>
      </c>
      <c r="I236" s="27">
        <v>1066.9000000000001</v>
      </c>
      <c r="J236" s="19">
        <v>3.6232000000000002</v>
      </c>
      <c r="K236" s="19">
        <v>5.3727</v>
      </c>
      <c r="L236" s="19">
        <v>1.7495000000000001</v>
      </c>
    </row>
    <row r="237" spans="1:12" ht="13.8" x14ac:dyDescent="0.25">
      <c r="A237" s="10">
        <v>14.2</v>
      </c>
      <c r="B237" s="23">
        <v>337.78899999999999</v>
      </c>
      <c r="C237" s="8">
        <v>1.6188299999999999E-3</v>
      </c>
      <c r="D237" s="26">
        <v>1.1245E-2</v>
      </c>
      <c r="E237" s="10">
        <v>1555.8</v>
      </c>
      <c r="F237" s="10">
        <v>2472.9</v>
      </c>
      <c r="G237" s="10">
        <v>1578.8</v>
      </c>
      <c r="H237" s="10">
        <v>2632.6</v>
      </c>
      <c r="I237" s="27">
        <v>1053.8</v>
      </c>
      <c r="J237" s="19">
        <v>3.6355</v>
      </c>
      <c r="K237" s="19">
        <v>5.3604000000000003</v>
      </c>
      <c r="L237" s="19">
        <v>1.7249000000000001</v>
      </c>
    </row>
    <row r="238" spans="1:12" ht="13.8" x14ac:dyDescent="0.25">
      <c r="A238" s="10">
        <v>14.4</v>
      </c>
      <c r="B238" s="23">
        <v>338.899</v>
      </c>
      <c r="C238" s="8">
        <v>1.62809E-3</v>
      </c>
      <c r="D238" s="26">
        <v>1.1011E-2</v>
      </c>
      <c r="E238" s="10">
        <v>1563.3</v>
      </c>
      <c r="F238" s="10">
        <v>2468.6999999999998</v>
      </c>
      <c r="G238" s="10">
        <v>1586.7</v>
      </c>
      <c r="H238" s="10">
        <v>2627.3</v>
      </c>
      <c r="I238" s="27">
        <v>1040.5999999999999</v>
      </c>
      <c r="J238" s="19">
        <v>3.6478000000000002</v>
      </c>
      <c r="K238" s="19">
        <v>5.3480999999999996</v>
      </c>
      <c r="L238" s="19">
        <v>1.7001999999999999</v>
      </c>
    </row>
    <row r="239" spans="1:12" ht="13.8" x14ac:dyDescent="0.25">
      <c r="A239" s="10">
        <v>14.6</v>
      </c>
      <c r="B239" s="23">
        <v>339.99599999999998</v>
      </c>
      <c r="C239" s="8">
        <v>1.6375199999999999E-3</v>
      </c>
      <c r="D239" s="26">
        <v>1.0781000000000001E-2</v>
      </c>
      <c r="E239" s="10">
        <v>1570.6</v>
      </c>
      <c r="F239" s="10">
        <v>2464.5</v>
      </c>
      <c r="G239" s="10">
        <v>1594.5</v>
      </c>
      <c r="H239" s="10">
        <v>2621.9</v>
      </c>
      <c r="I239" s="27">
        <v>1027.4000000000001</v>
      </c>
      <c r="J239" s="19">
        <v>3.6600999999999999</v>
      </c>
      <c r="K239" s="19">
        <v>5.3356000000000003</v>
      </c>
      <c r="L239" s="19">
        <v>1.6756</v>
      </c>
    </row>
    <row r="240" spans="1:12" ht="13.8" x14ac:dyDescent="0.25">
      <c r="A240" s="10">
        <v>14.8</v>
      </c>
      <c r="B240" s="23">
        <v>341.08199999999999</v>
      </c>
      <c r="C240" s="8">
        <v>1.6471400000000001E-3</v>
      </c>
      <c r="D240" s="26">
        <v>1.0557E-2</v>
      </c>
      <c r="E240" s="10">
        <v>1577.9</v>
      </c>
      <c r="F240" s="10">
        <v>2460.1</v>
      </c>
      <c r="G240" s="10">
        <v>1602.3</v>
      </c>
      <c r="H240" s="10">
        <v>2616.3000000000002</v>
      </c>
      <c r="I240" s="27">
        <v>1014</v>
      </c>
      <c r="J240" s="19">
        <v>3.6722999999999999</v>
      </c>
      <c r="K240" s="19">
        <v>5.3231000000000002</v>
      </c>
      <c r="L240" s="19">
        <v>1.6508</v>
      </c>
    </row>
    <row r="241" spans="1:12" ht="13.8" x14ac:dyDescent="0.25">
      <c r="A241" s="10">
        <v>15</v>
      </c>
      <c r="B241" s="23">
        <v>342.15499999999997</v>
      </c>
      <c r="C241" s="8">
        <v>1.6569499999999999E-3</v>
      </c>
      <c r="D241" s="26">
        <v>1.0338E-2</v>
      </c>
      <c r="E241" s="10">
        <v>1585.3</v>
      </c>
      <c r="F241" s="10">
        <v>2455.6</v>
      </c>
      <c r="G241" s="10">
        <v>1610.2</v>
      </c>
      <c r="H241" s="10">
        <v>2610.6999999999998</v>
      </c>
      <c r="I241" s="27">
        <v>1000.5</v>
      </c>
      <c r="J241" s="19">
        <v>3.6846000000000001</v>
      </c>
      <c r="K241" s="19">
        <v>5.3106</v>
      </c>
      <c r="L241" s="19">
        <v>1.6259999999999999</v>
      </c>
    </row>
    <row r="242" spans="1:12" ht="13.8" x14ac:dyDescent="0.25">
      <c r="A242" s="10">
        <v>15.2</v>
      </c>
      <c r="B242" s="23">
        <v>343.21699999999998</v>
      </c>
      <c r="C242" s="8">
        <v>1.66697E-3</v>
      </c>
      <c r="D242" s="26">
        <v>1.0123999999999999E-2</v>
      </c>
      <c r="E242" s="10">
        <v>1592.8</v>
      </c>
      <c r="F242" s="10">
        <v>2451.1</v>
      </c>
      <c r="G242" s="10">
        <v>1618.1</v>
      </c>
      <c r="H242" s="10">
        <v>2605</v>
      </c>
      <c r="I242" s="27">
        <v>986.9</v>
      </c>
      <c r="J242" s="19">
        <v>3.6968000000000001</v>
      </c>
      <c r="K242" s="19">
        <v>5.2979000000000003</v>
      </c>
      <c r="L242" s="19">
        <v>1.6011</v>
      </c>
    </row>
    <row r="243" spans="1:12" ht="13.8" x14ac:dyDescent="0.25">
      <c r="A243" s="10">
        <v>15.4</v>
      </c>
      <c r="B243" s="23">
        <v>344.26799999999997</v>
      </c>
      <c r="C243" s="8">
        <v>1.6772200000000001E-3</v>
      </c>
      <c r="D243" s="11">
        <v>9.9139999999999992E-3</v>
      </c>
      <c r="E243" s="10">
        <v>1600.1</v>
      </c>
      <c r="F243" s="10">
        <v>2446.4</v>
      </c>
      <c r="G243" s="10">
        <v>1625.9</v>
      </c>
      <c r="H243" s="10">
        <v>2599.1</v>
      </c>
      <c r="I243" s="27">
        <v>973.2</v>
      </c>
      <c r="J243" s="19">
        <v>3.7090000000000001</v>
      </c>
      <c r="K243" s="19">
        <v>5.2851999999999997</v>
      </c>
      <c r="L243" s="19">
        <v>1.5762</v>
      </c>
    </row>
    <row r="244" spans="1:12" ht="13.8" x14ac:dyDescent="0.25">
      <c r="A244" s="10">
        <v>15.6</v>
      </c>
      <c r="B244" s="23">
        <v>345.30799999999999</v>
      </c>
      <c r="C244" s="8">
        <v>1.6877000000000001E-3</v>
      </c>
      <c r="D244" s="11">
        <v>9.7082999999999996E-3</v>
      </c>
      <c r="E244" s="10">
        <v>1607.5</v>
      </c>
      <c r="F244" s="10">
        <v>2441.6999999999998</v>
      </c>
      <c r="G244" s="10">
        <v>1633.8</v>
      </c>
      <c r="H244" s="10">
        <v>2593.1</v>
      </c>
      <c r="I244" s="27">
        <v>959.3</v>
      </c>
      <c r="J244" s="19">
        <v>3.7212000000000001</v>
      </c>
      <c r="K244" s="19">
        <v>5.2723000000000004</v>
      </c>
      <c r="L244" s="19">
        <v>1.5510999999999999</v>
      </c>
    </row>
    <row r="245" spans="1:12" ht="13.8" x14ac:dyDescent="0.25">
      <c r="A245" s="10">
        <v>15.8</v>
      </c>
      <c r="B245" s="23">
        <v>346.33699999999999</v>
      </c>
      <c r="C245" s="8">
        <v>1.6984299999999999E-3</v>
      </c>
      <c r="D245" s="11">
        <v>9.5066999999999999E-3</v>
      </c>
      <c r="E245" s="10">
        <v>1614.9</v>
      </c>
      <c r="F245" s="10">
        <v>2436.8000000000002</v>
      </c>
      <c r="G245" s="10">
        <v>1641.7</v>
      </c>
      <c r="H245" s="10">
        <v>2587</v>
      </c>
      <c r="I245" s="27">
        <v>945.3</v>
      </c>
      <c r="J245" s="19">
        <v>3.7334999999999998</v>
      </c>
      <c r="K245" s="19">
        <v>5.2594000000000003</v>
      </c>
      <c r="L245" s="19">
        <v>1.5259</v>
      </c>
    </row>
    <row r="246" spans="1:12" ht="13.8" x14ac:dyDescent="0.25">
      <c r="A246" s="10">
        <v>16</v>
      </c>
      <c r="B246" s="23">
        <v>347.35500000000002</v>
      </c>
      <c r="C246" s="8">
        <v>1.70944E-3</v>
      </c>
      <c r="D246" s="11">
        <v>9.3088000000000008E-3</v>
      </c>
      <c r="E246" s="10">
        <v>1622.3</v>
      </c>
      <c r="F246" s="10">
        <v>2431.9</v>
      </c>
      <c r="G246" s="10">
        <v>1649.7</v>
      </c>
      <c r="H246" s="10">
        <v>2580.8000000000002</v>
      </c>
      <c r="I246" s="27">
        <v>931.1</v>
      </c>
      <c r="J246" s="19">
        <v>3.7456999999999998</v>
      </c>
      <c r="K246" s="19">
        <v>5.2462999999999997</v>
      </c>
      <c r="L246" s="19">
        <v>1.5005999999999999</v>
      </c>
    </row>
    <row r="247" spans="1:12" ht="13.8" x14ac:dyDescent="0.25">
      <c r="A247" s="10">
        <v>16.2</v>
      </c>
      <c r="B247" s="9">
        <v>348.36200000000002</v>
      </c>
      <c r="C247" s="8">
        <v>1.72073E-3</v>
      </c>
      <c r="D247" s="11">
        <v>9.1146999999999999E-3</v>
      </c>
      <c r="E247" s="10">
        <v>1629.8</v>
      </c>
      <c r="F247" s="10">
        <v>2426.6999999999998</v>
      </c>
      <c r="G247" s="10">
        <v>1657.7</v>
      </c>
      <c r="H247" s="10">
        <v>2574.4</v>
      </c>
      <c r="I247" s="10">
        <v>916.8</v>
      </c>
      <c r="J247" s="19">
        <v>3.758</v>
      </c>
      <c r="K247" s="19">
        <v>5.2331000000000003</v>
      </c>
      <c r="L247" s="19">
        <v>1.4750000000000001</v>
      </c>
    </row>
    <row r="248" spans="1:12" ht="13.8" x14ac:dyDescent="0.25">
      <c r="A248" s="10">
        <v>16.399999999999999</v>
      </c>
      <c r="B248" s="9">
        <v>349.36</v>
      </c>
      <c r="C248" s="8">
        <v>1.73233E-3</v>
      </c>
      <c r="D248" s="11">
        <v>8.9239999999999996E-3</v>
      </c>
      <c r="E248" s="10">
        <v>1637.3</v>
      </c>
      <c r="F248" s="10">
        <v>2421.5</v>
      </c>
      <c r="G248" s="10">
        <v>1665.7</v>
      </c>
      <c r="H248" s="10">
        <v>2567.9</v>
      </c>
      <c r="I248" s="10">
        <v>902.2</v>
      </c>
      <c r="J248" s="19">
        <v>3.7704</v>
      </c>
      <c r="K248" s="19">
        <v>5.2196999999999996</v>
      </c>
      <c r="L248" s="19">
        <v>1.4494</v>
      </c>
    </row>
    <row r="249" spans="1:12" ht="13.8" x14ac:dyDescent="0.25">
      <c r="A249" s="10">
        <v>16.600000000000001</v>
      </c>
      <c r="B249" s="9">
        <v>350.34699999999998</v>
      </c>
      <c r="C249" s="8">
        <v>1.74427E-3</v>
      </c>
      <c r="D249" s="11">
        <v>8.7366000000000006E-3</v>
      </c>
      <c r="E249" s="10">
        <v>1644.7</v>
      </c>
      <c r="F249" s="10">
        <v>2416.3000000000002</v>
      </c>
      <c r="G249" s="10">
        <v>1673.7</v>
      </c>
      <c r="H249" s="10">
        <v>2561.3000000000002</v>
      </c>
      <c r="I249" s="10">
        <v>887.5</v>
      </c>
      <c r="J249" s="19">
        <v>3.7827000000000002</v>
      </c>
      <c r="K249" s="19">
        <v>5.2061999999999999</v>
      </c>
      <c r="L249" s="19">
        <v>1.4235</v>
      </c>
    </row>
    <row r="250" spans="1:12" ht="13.8" x14ac:dyDescent="0.25">
      <c r="A250" s="10">
        <v>16.8</v>
      </c>
      <c r="B250" s="9">
        <v>351.32499999999999</v>
      </c>
      <c r="C250" s="8">
        <v>1.75657E-3</v>
      </c>
      <c r="D250" s="11">
        <v>8.5523000000000005E-3</v>
      </c>
      <c r="E250" s="10">
        <v>1652.4</v>
      </c>
      <c r="F250" s="10">
        <v>2410.8000000000002</v>
      </c>
      <c r="G250" s="10">
        <v>1681.9</v>
      </c>
      <c r="H250" s="10">
        <v>2554.5</v>
      </c>
      <c r="I250" s="10">
        <v>872.6</v>
      </c>
      <c r="J250" s="19">
        <v>3.7951999999999999</v>
      </c>
      <c r="K250" s="19">
        <v>5.1924999999999999</v>
      </c>
      <c r="L250" s="19">
        <v>1.3974</v>
      </c>
    </row>
    <row r="251" spans="1:12" ht="13.8" x14ac:dyDescent="0.25">
      <c r="A251" s="10">
        <v>17</v>
      </c>
      <c r="B251" s="9">
        <v>352.29300000000001</v>
      </c>
      <c r="C251" s="8">
        <v>1.7692599999999999E-3</v>
      </c>
      <c r="D251" s="11">
        <v>8.3709000000000006E-3</v>
      </c>
      <c r="E251" s="10">
        <v>1659.9</v>
      </c>
      <c r="F251" s="10">
        <v>2405.1999999999998</v>
      </c>
      <c r="G251" s="10">
        <v>1690</v>
      </c>
      <c r="H251" s="10">
        <v>2547.5</v>
      </c>
      <c r="I251" s="10">
        <v>857.5</v>
      </c>
      <c r="J251" s="19">
        <v>3.8077000000000001</v>
      </c>
      <c r="K251" s="19">
        <v>5.1787000000000001</v>
      </c>
      <c r="L251" s="19">
        <v>1.371</v>
      </c>
    </row>
    <row r="252" spans="1:12" ht="13.8" x14ac:dyDescent="0.25">
      <c r="A252" s="10">
        <v>17.2</v>
      </c>
      <c r="B252" s="9">
        <v>353.25099999999998</v>
      </c>
      <c r="C252" s="8">
        <v>1.7823699999999999E-3</v>
      </c>
      <c r="D252" s="11">
        <v>8.1922999999999996E-3</v>
      </c>
      <c r="E252" s="10">
        <v>1667.6</v>
      </c>
      <c r="F252" s="10">
        <v>2399.5</v>
      </c>
      <c r="G252" s="10">
        <v>1698.3</v>
      </c>
      <c r="H252" s="10">
        <v>2540.4</v>
      </c>
      <c r="I252" s="10">
        <v>842.1</v>
      </c>
      <c r="J252" s="19">
        <v>3.8203</v>
      </c>
      <c r="K252" s="19">
        <v>5.1646000000000001</v>
      </c>
      <c r="L252" s="19">
        <v>1.3443000000000001</v>
      </c>
    </row>
    <row r="253" spans="1:12" ht="13.8" x14ac:dyDescent="0.25">
      <c r="A253" s="10">
        <v>17.399999999999999</v>
      </c>
      <c r="B253" s="9">
        <v>354.2</v>
      </c>
      <c r="C253" s="8">
        <v>1.7959300000000001E-3</v>
      </c>
      <c r="D253" s="11">
        <v>8.0163000000000005E-3</v>
      </c>
      <c r="E253" s="10">
        <v>1675.4</v>
      </c>
      <c r="F253" s="10">
        <v>2393.5</v>
      </c>
      <c r="G253" s="10">
        <v>1706.6</v>
      </c>
      <c r="H253" s="10">
        <v>2533</v>
      </c>
      <c r="I253" s="10">
        <v>826.5</v>
      </c>
      <c r="J253" s="19">
        <v>3.8330000000000002</v>
      </c>
      <c r="K253" s="19">
        <v>5.1504000000000003</v>
      </c>
      <c r="L253" s="19">
        <v>1.3173999999999999</v>
      </c>
    </row>
    <row r="254" spans="1:12" ht="13.8" x14ac:dyDescent="0.25">
      <c r="A254" s="10">
        <v>17.600000000000001</v>
      </c>
      <c r="B254" s="9">
        <v>355.14</v>
      </c>
      <c r="C254" s="8">
        <v>1.81E-3</v>
      </c>
      <c r="D254" s="11">
        <v>7.8425999999999999E-3</v>
      </c>
      <c r="E254" s="10">
        <v>1683.1</v>
      </c>
      <c r="F254" s="10">
        <v>2387.5</v>
      </c>
      <c r="G254" s="10">
        <v>1715</v>
      </c>
      <c r="H254" s="10">
        <v>2525.5</v>
      </c>
      <c r="I254" s="10">
        <v>810.5</v>
      </c>
      <c r="J254" s="19">
        <v>3.8458000000000001</v>
      </c>
      <c r="K254" s="19">
        <v>5.1359000000000004</v>
      </c>
      <c r="L254" s="19">
        <v>1.2901</v>
      </c>
    </row>
    <row r="255" spans="1:12" ht="13.8" x14ac:dyDescent="0.25">
      <c r="A255" s="10">
        <v>17.8</v>
      </c>
      <c r="B255" s="9">
        <v>356.07100000000003</v>
      </c>
      <c r="C255" s="8">
        <v>1.8246E-3</v>
      </c>
      <c r="D255" s="11">
        <v>7.6712000000000004E-3</v>
      </c>
      <c r="E255" s="10">
        <v>1691</v>
      </c>
      <c r="F255" s="10">
        <v>2381.3000000000002</v>
      </c>
      <c r="G255" s="10">
        <v>1723.5</v>
      </c>
      <c r="H255" s="10">
        <v>2517.8000000000002</v>
      </c>
      <c r="I255" s="10">
        <v>794.3</v>
      </c>
      <c r="J255" s="19">
        <v>3.8586999999999998</v>
      </c>
      <c r="K255" s="19">
        <v>5.1211000000000002</v>
      </c>
      <c r="L255" s="19">
        <v>1.2624</v>
      </c>
    </row>
    <row r="256" spans="1:12" ht="13.8" x14ac:dyDescent="0.25">
      <c r="A256" s="10">
        <v>18</v>
      </c>
      <c r="B256" s="9">
        <v>356.99200000000002</v>
      </c>
      <c r="C256" s="8">
        <v>1.8397999999999999E-3</v>
      </c>
      <c r="D256" s="11">
        <v>7.5017E-3</v>
      </c>
      <c r="E256" s="10">
        <v>1699</v>
      </c>
      <c r="F256" s="10">
        <v>2374.8000000000002</v>
      </c>
      <c r="G256" s="10">
        <v>1732.1</v>
      </c>
      <c r="H256" s="10">
        <v>2509.8000000000002</v>
      </c>
      <c r="I256" s="10">
        <v>777.7</v>
      </c>
      <c r="J256" s="19">
        <v>3.8717999999999999</v>
      </c>
      <c r="K256" s="19">
        <v>5.1060999999999996</v>
      </c>
      <c r="L256" s="19">
        <v>1.2342</v>
      </c>
    </row>
    <row r="257" spans="1:12" ht="13.8" x14ac:dyDescent="0.25">
      <c r="A257" s="10">
        <v>18.2</v>
      </c>
      <c r="B257" s="9">
        <v>357.90600000000001</v>
      </c>
      <c r="C257" s="8">
        <v>1.85564E-3</v>
      </c>
      <c r="D257" s="11">
        <v>7.3340999999999996E-3</v>
      </c>
      <c r="E257" s="10">
        <v>1707</v>
      </c>
      <c r="F257" s="10">
        <v>2368.1</v>
      </c>
      <c r="G257" s="10">
        <v>1740.8</v>
      </c>
      <c r="H257" s="10">
        <v>2501.6</v>
      </c>
      <c r="I257" s="10">
        <v>760.8</v>
      </c>
      <c r="J257" s="19">
        <v>3.8851</v>
      </c>
      <c r="K257" s="19">
        <v>5.0907</v>
      </c>
      <c r="L257" s="19">
        <v>1.2056</v>
      </c>
    </row>
    <row r="258" spans="1:12" ht="13.8" x14ac:dyDescent="0.25">
      <c r="A258" s="10">
        <v>18.399999999999999</v>
      </c>
      <c r="B258" s="9">
        <v>358.81</v>
      </c>
      <c r="C258" s="8">
        <v>1.8721899999999999E-3</v>
      </c>
      <c r="D258" s="11">
        <v>7.1681000000000002E-3</v>
      </c>
      <c r="E258" s="10">
        <v>1715.3</v>
      </c>
      <c r="F258" s="10">
        <v>2361.3000000000002</v>
      </c>
      <c r="G258" s="10">
        <v>1749.7</v>
      </c>
      <c r="H258" s="10">
        <v>2493.1999999999998</v>
      </c>
      <c r="I258" s="10">
        <v>743.5</v>
      </c>
      <c r="J258" s="19">
        <v>3.8984999999999999</v>
      </c>
      <c r="K258" s="19">
        <v>5.0750000000000002</v>
      </c>
      <c r="L258" s="19">
        <v>1.1765000000000001</v>
      </c>
    </row>
    <row r="259" spans="1:12" ht="13.8" x14ac:dyDescent="0.25">
      <c r="A259" s="10">
        <v>18.600000000000001</v>
      </c>
      <c r="B259" s="9">
        <v>359.70600000000002</v>
      </c>
      <c r="C259" s="8">
        <v>1.8895100000000001E-3</v>
      </c>
      <c r="D259" s="11">
        <v>7.0033999999999999E-3</v>
      </c>
      <c r="E259" s="10">
        <v>1723.6</v>
      </c>
      <c r="F259" s="10">
        <v>2354.1</v>
      </c>
      <c r="G259" s="10">
        <v>1758.7</v>
      </c>
      <c r="H259" s="10">
        <v>2484.4</v>
      </c>
      <c r="I259" s="10">
        <v>725.8</v>
      </c>
      <c r="J259" s="19">
        <v>3.9121000000000001</v>
      </c>
      <c r="K259" s="19">
        <v>5.0590000000000002</v>
      </c>
      <c r="L259" s="19">
        <v>1.1468</v>
      </c>
    </row>
    <row r="260" spans="1:12" ht="13.8" x14ac:dyDescent="0.25">
      <c r="A260" s="10">
        <v>18.8</v>
      </c>
      <c r="B260" s="9">
        <v>360.59399999999999</v>
      </c>
      <c r="C260" s="8">
        <v>1.90767E-3</v>
      </c>
      <c r="D260" s="11">
        <v>6.8399000000000003E-3</v>
      </c>
      <c r="E260" s="10">
        <v>1731.9</v>
      </c>
      <c r="F260" s="10">
        <v>2346.8000000000002</v>
      </c>
      <c r="G260" s="10">
        <v>1767.8</v>
      </c>
      <c r="H260" s="10">
        <v>2475.4</v>
      </c>
      <c r="I260" s="10">
        <v>707.6</v>
      </c>
      <c r="J260" s="19">
        <v>3.9260000000000002</v>
      </c>
      <c r="K260" s="19">
        <v>5.0425000000000004</v>
      </c>
      <c r="L260" s="19">
        <v>1.1165</v>
      </c>
    </row>
    <row r="261" spans="1:12" ht="13.8" x14ac:dyDescent="0.25">
      <c r="A261" s="10">
        <v>19</v>
      </c>
      <c r="B261" s="9">
        <v>361.47300000000001</v>
      </c>
      <c r="C261" s="8">
        <v>1.92677E-3</v>
      </c>
      <c r="D261" s="11">
        <v>6.6772999999999997E-3</v>
      </c>
      <c r="E261" s="10">
        <v>1740.6</v>
      </c>
      <c r="F261" s="10">
        <v>2339.1</v>
      </c>
      <c r="G261" s="10">
        <v>1777.2</v>
      </c>
      <c r="H261" s="10">
        <v>2466</v>
      </c>
      <c r="I261" s="10">
        <v>688.9</v>
      </c>
      <c r="J261" s="19">
        <v>3.9401000000000002</v>
      </c>
      <c r="K261" s="19">
        <v>5.0255999999999998</v>
      </c>
      <c r="L261" s="19">
        <v>1.0854999999999999</v>
      </c>
    </row>
    <row r="262" spans="1:12" ht="13.8" x14ac:dyDescent="0.25">
      <c r="A262" s="10">
        <v>19.2</v>
      </c>
      <c r="B262" s="9">
        <v>362.34399999999999</v>
      </c>
      <c r="C262" s="8">
        <v>1.9468899999999999E-3</v>
      </c>
      <c r="D262" s="11">
        <v>6.5152999999999999E-3</v>
      </c>
      <c r="E262" s="10">
        <v>1749.3</v>
      </c>
      <c r="F262" s="10">
        <v>2331.1</v>
      </c>
      <c r="G262" s="10">
        <v>1786.7</v>
      </c>
      <c r="H262" s="10">
        <v>2456.1999999999998</v>
      </c>
      <c r="I262" s="10">
        <v>669.6</v>
      </c>
      <c r="J262" s="19">
        <v>3.9544999999999999</v>
      </c>
      <c r="K262" s="19">
        <v>5.0080999999999998</v>
      </c>
      <c r="L262" s="19">
        <v>1.0536000000000001</v>
      </c>
    </row>
    <row r="263" spans="1:12" ht="13.8" x14ac:dyDescent="0.25">
      <c r="A263" s="10">
        <v>19.399999999999999</v>
      </c>
      <c r="B263" s="9">
        <v>363.20800000000003</v>
      </c>
      <c r="C263" s="8">
        <v>1.9681400000000002E-3</v>
      </c>
      <c r="D263" s="11">
        <v>6.3534999999999998E-3</v>
      </c>
      <c r="E263" s="10">
        <v>1758.2</v>
      </c>
      <c r="F263" s="10">
        <v>2322.8000000000002</v>
      </c>
      <c r="G263" s="10">
        <v>1796.4</v>
      </c>
      <c r="H263" s="10">
        <v>2446.1</v>
      </c>
      <c r="I263" s="10">
        <v>649.6</v>
      </c>
      <c r="J263" s="19">
        <v>3.9691999999999998</v>
      </c>
      <c r="K263" s="19">
        <v>4.9901</v>
      </c>
      <c r="L263" s="19">
        <v>1.0207999999999999</v>
      </c>
    </row>
    <row r="264" spans="1:12" ht="13.8" x14ac:dyDescent="0.25">
      <c r="A264" s="10">
        <v>19.600000000000001</v>
      </c>
      <c r="B264" s="9">
        <v>364.06299999999999</v>
      </c>
      <c r="C264" s="8">
        <v>1.9906400000000001E-3</v>
      </c>
      <c r="D264" s="11">
        <v>6.1915E-3</v>
      </c>
      <c r="E264" s="10">
        <v>1767.4</v>
      </c>
      <c r="F264" s="10">
        <v>2314</v>
      </c>
      <c r="G264" s="10">
        <v>1806.4</v>
      </c>
      <c r="H264" s="10">
        <v>2435.4</v>
      </c>
      <c r="I264" s="10">
        <v>629</v>
      </c>
      <c r="J264" s="19">
        <v>3.9843000000000002</v>
      </c>
      <c r="K264" s="19">
        <v>4.9713000000000003</v>
      </c>
      <c r="L264" s="19">
        <v>0.98709999999999998</v>
      </c>
    </row>
    <row r="265" spans="1:12" ht="13.8" x14ac:dyDescent="0.25">
      <c r="A265" s="10">
        <v>19.8</v>
      </c>
      <c r="B265" s="9">
        <v>364.91</v>
      </c>
      <c r="C265" s="11">
        <v>2.0144999999999998E-3</v>
      </c>
      <c r="D265" s="11">
        <v>6.0289999999999996E-3</v>
      </c>
      <c r="E265" s="10">
        <v>1776.8</v>
      </c>
      <c r="F265" s="10">
        <v>2304.8000000000002</v>
      </c>
      <c r="G265" s="10">
        <v>1816.7</v>
      </c>
      <c r="H265" s="10">
        <v>2424.1999999999998</v>
      </c>
      <c r="I265" s="10">
        <v>607.5</v>
      </c>
      <c r="J265" s="19">
        <v>3.9996999999999998</v>
      </c>
      <c r="K265" s="19">
        <v>4.9518000000000004</v>
      </c>
      <c r="L265" s="19">
        <v>0.95209999999999995</v>
      </c>
    </row>
    <row r="266" spans="1:12" ht="13.8" x14ac:dyDescent="0.25">
      <c r="A266" s="10">
        <v>20</v>
      </c>
      <c r="B266" s="9">
        <v>365.74900000000002</v>
      </c>
      <c r="C266" s="11">
        <v>2.0400000000000001E-3</v>
      </c>
      <c r="D266" s="11">
        <v>5.8652000000000001E-3</v>
      </c>
      <c r="E266" s="10">
        <v>1786.4</v>
      </c>
      <c r="F266" s="10">
        <v>2295</v>
      </c>
      <c r="G266" s="10">
        <v>1827.2</v>
      </c>
      <c r="H266" s="10">
        <v>2412.3000000000002</v>
      </c>
      <c r="I266" s="10">
        <v>585.1</v>
      </c>
      <c r="J266" s="19">
        <v>4.0156000000000001</v>
      </c>
      <c r="K266" s="19">
        <v>4.9314</v>
      </c>
      <c r="L266" s="19">
        <v>0.91579999999999995</v>
      </c>
    </row>
    <row r="267" spans="1:12" ht="13.8" x14ac:dyDescent="0.25">
      <c r="A267" s="10">
        <v>20.2</v>
      </c>
      <c r="B267" s="9">
        <v>366.58100000000002</v>
      </c>
      <c r="C267" s="11">
        <v>2.0674000000000001E-3</v>
      </c>
      <c r="D267" s="11">
        <v>5.6996E-3</v>
      </c>
      <c r="E267" s="10">
        <v>1796.3</v>
      </c>
      <c r="F267" s="10">
        <v>2284.6999999999998</v>
      </c>
      <c r="G267" s="10">
        <v>1838.1</v>
      </c>
      <c r="H267" s="10">
        <v>2399.8000000000002</v>
      </c>
      <c r="I267" s="10">
        <v>561.70000000000005</v>
      </c>
      <c r="J267" s="19">
        <v>4.032</v>
      </c>
      <c r="K267" s="19">
        <v>4.91</v>
      </c>
      <c r="L267" s="19">
        <v>0.878</v>
      </c>
    </row>
    <row r="268" spans="1:12" ht="13.8" x14ac:dyDescent="0.25">
      <c r="A268" s="10">
        <v>20.399999999999999</v>
      </c>
      <c r="B268" s="9">
        <v>367.404</v>
      </c>
      <c r="C268" s="11">
        <v>2.0969000000000001E-3</v>
      </c>
      <c r="D268" s="11">
        <v>5.5313000000000003E-3</v>
      </c>
      <c r="E268" s="10">
        <v>1806.7</v>
      </c>
      <c r="F268" s="10">
        <v>2273.5</v>
      </c>
      <c r="G268" s="10">
        <v>1849.5</v>
      </c>
      <c r="H268" s="10">
        <v>2386.3000000000002</v>
      </c>
      <c r="I268" s="10">
        <v>536.9</v>
      </c>
      <c r="J268" s="19">
        <v>4.0491000000000001</v>
      </c>
      <c r="K268" s="19">
        <v>4.8872</v>
      </c>
      <c r="L268" s="19">
        <v>0.83809999999999996</v>
      </c>
    </row>
    <row r="269" spans="1:12" ht="13.8" x14ac:dyDescent="0.25">
      <c r="A269" s="10">
        <v>20.6</v>
      </c>
      <c r="B269" s="9">
        <v>368.22</v>
      </c>
      <c r="C269" s="11">
        <v>2.1291000000000001E-3</v>
      </c>
      <c r="D269" s="11">
        <v>5.359E-3</v>
      </c>
      <c r="E269" s="10">
        <v>1817.5</v>
      </c>
      <c r="F269" s="10">
        <v>2261.5</v>
      </c>
      <c r="G269" s="10">
        <v>1861.4</v>
      </c>
      <c r="H269" s="10">
        <v>2371.9</v>
      </c>
      <c r="I269" s="10">
        <v>510.5</v>
      </c>
      <c r="J269" s="19">
        <v>4.0670000000000002</v>
      </c>
      <c r="K269" s="19">
        <v>4.8628999999999998</v>
      </c>
      <c r="L269" s="19">
        <v>0.79590000000000005</v>
      </c>
    </row>
    <row r="270" spans="1:12" ht="13.8" x14ac:dyDescent="0.25">
      <c r="A270" s="10">
        <v>20.8</v>
      </c>
      <c r="B270" s="9">
        <v>369.02699999999999</v>
      </c>
      <c r="C270" s="11">
        <v>2.1649E-3</v>
      </c>
      <c r="D270" s="11">
        <v>5.1814000000000001E-3</v>
      </c>
      <c r="E270" s="10">
        <v>1829</v>
      </c>
      <c r="F270" s="10">
        <v>2248.3000000000002</v>
      </c>
      <c r="G270" s="10">
        <v>1874</v>
      </c>
      <c r="H270" s="10">
        <v>2356.1</v>
      </c>
      <c r="I270" s="10">
        <v>482.1</v>
      </c>
      <c r="J270" s="19">
        <v>4.0860000000000003</v>
      </c>
      <c r="K270" s="19">
        <v>4.8367000000000004</v>
      </c>
      <c r="L270" s="19">
        <v>0.75070000000000003</v>
      </c>
    </row>
    <row r="271" spans="1:12" ht="13.8" x14ac:dyDescent="0.25">
      <c r="A271" s="10">
        <v>21</v>
      </c>
      <c r="B271" s="9">
        <v>369.827</v>
      </c>
      <c r="C271" s="11">
        <v>2.2055E-3</v>
      </c>
      <c r="D271" s="11">
        <v>4.9960999999999998E-3</v>
      </c>
      <c r="E271" s="10">
        <v>1841.3</v>
      </c>
      <c r="F271" s="10">
        <v>2233.6999999999998</v>
      </c>
      <c r="G271" s="10">
        <v>1887.6</v>
      </c>
      <c r="H271" s="10">
        <v>2338.6</v>
      </c>
      <c r="I271" s="10">
        <v>451</v>
      </c>
      <c r="J271" s="19">
        <v>4.1063999999999998</v>
      </c>
      <c r="K271" s="19">
        <v>4.8079000000000001</v>
      </c>
      <c r="L271" s="19">
        <v>0.70150000000000001</v>
      </c>
    </row>
    <row r="272" spans="1:12" ht="13.8" x14ac:dyDescent="0.25">
      <c r="A272" s="10">
        <v>21.2</v>
      </c>
      <c r="B272" s="9">
        <v>370.61900000000003</v>
      </c>
      <c r="C272" s="11">
        <v>2.2531000000000001E-3</v>
      </c>
      <c r="D272" s="11">
        <v>4.7999999999999996E-3</v>
      </c>
      <c r="E272" s="10">
        <v>1854.8</v>
      </c>
      <c r="F272" s="10">
        <v>2217.1</v>
      </c>
      <c r="G272" s="10">
        <v>1902.6</v>
      </c>
      <c r="H272" s="10">
        <v>2318.9</v>
      </c>
      <c r="I272" s="10">
        <v>416.3</v>
      </c>
      <c r="J272" s="19">
        <v>4.1291000000000002</v>
      </c>
      <c r="K272" s="19">
        <v>4.7758000000000003</v>
      </c>
      <c r="L272" s="19">
        <v>0.64670000000000005</v>
      </c>
    </row>
    <row r="273" spans="1:12" ht="13.8" x14ac:dyDescent="0.25">
      <c r="A273" s="10">
        <v>21.4</v>
      </c>
      <c r="B273" s="9">
        <v>371.40199999999999</v>
      </c>
      <c r="C273" s="11">
        <v>2.3115000000000002E-3</v>
      </c>
      <c r="D273" s="11">
        <v>4.5880000000000001E-3</v>
      </c>
      <c r="E273" s="10">
        <v>1870.2</v>
      </c>
      <c r="F273" s="10">
        <v>2197.9</v>
      </c>
      <c r="G273" s="10">
        <v>1919.7</v>
      </c>
      <c r="H273" s="10">
        <v>2296.1</v>
      </c>
      <c r="I273" s="10">
        <v>376.4</v>
      </c>
      <c r="J273" s="19">
        <v>4.1550000000000002</v>
      </c>
      <c r="K273" s="19">
        <v>4.7389999999999999</v>
      </c>
      <c r="L273" s="19">
        <v>0.58389999999999997</v>
      </c>
    </row>
    <row r="274" spans="1:12" ht="13.8" x14ac:dyDescent="0.25">
      <c r="A274" s="10">
        <v>21.6</v>
      </c>
      <c r="B274" s="9">
        <v>372.178</v>
      </c>
      <c r="C274" s="11">
        <v>2.3879999999999999E-3</v>
      </c>
      <c r="D274" s="11">
        <v>4.3508000000000002E-3</v>
      </c>
      <c r="E274" s="10">
        <v>1888.8</v>
      </c>
      <c r="F274" s="10">
        <v>2174.6</v>
      </c>
      <c r="G274" s="10">
        <v>1940.4</v>
      </c>
      <c r="H274" s="10">
        <v>2268.6</v>
      </c>
      <c r="I274" s="10">
        <v>328.2</v>
      </c>
      <c r="J274" s="19">
        <v>4.1863999999999999</v>
      </c>
      <c r="K274" s="19">
        <v>4.6950000000000003</v>
      </c>
      <c r="L274" s="19">
        <v>0.50860000000000005</v>
      </c>
    </row>
    <row r="275" spans="1:12" ht="13.8" x14ac:dyDescent="0.25">
      <c r="A275" s="10">
        <v>21.8</v>
      </c>
      <c r="B275" s="9">
        <v>372.94600000000003</v>
      </c>
      <c r="C275" s="11">
        <v>2.4983000000000002E-3</v>
      </c>
      <c r="D275" s="11">
        <v>4.0679999999999996E-3</v>
      </c>
      <c r="E275" s="10">
        <v>1912.9</v>
      </c>
      <c r="F275" s="10">
        <v>2144.1999999999998</v>
      </c>
      <c r="G275" s="10">
        <v>1967.4</v>
      </c>
      <c r="H275" s="10">
        <v>2232.9</v>
      </c>
      <c r="I275" s="10">
        <v>265.5</v>
      </c>
      <c r="J275" s="19">
        <v>4.2274000000000003</v>
      </c>
      <c r="K275" s="19">
        <v>4.6383000000000001</v>
      </c>
      <c r="L275" s="19">
        <v>0.41089999999999999</v>
      </c>
    </row>
    <row r="276" spans="1:12" ht="13.8" x14ac:dyDescent="0.25">
      <c r="A276" s="10">
        <v>22</v>
      </c>
      <c r="B276" s="9">
        <v>373.70499999999998</v>
      </c>
      <c r="C276" s="11">
        <v>2.7044E-3</v>
      </c>
      <c r="D276" s="11">
        <v>3.6475000000000001E-3</v>
      </c>
      <c r="E276" s="10">
        <v>1951.8</v>
      </c>
      <c r="F276" s="10">
        <v>2092.9</v>
      </c>
      <c r="G276" s="10">
        <v>2011.3</v>
      </c>
      <c r="H276" s="10">
        <v>2173.1</v>
      </c>
      <c r="I276" s="10">
        <v>161.69999999999999</v>
      </c>
      <c r="J276" s="19">
        <v>4.2945000000000002</v>
      </c>
      <c r="K276" s="19">
        <v>4.5446</v>
      </c>
      <c r="L276" s="19">
        <v>0.25009999999999999</v>
      </c>
    </row>
    <row r="277" spans="1:12" ht="13.8" x14ac:dyDescent="0.25">
      <c r="A277" s="9">
        <v>22.064</v>
      </c>
      <c r="B277" s="9">
        <v>373.94600000000003</v>
      </c>
      <c r="C277" s="202">
        <v>3.1056E-3</v>
      </c>
      <c r="D277" s="202"/>
      <c r="E277" s="194">
        <v>2015.8</v>
      </c>
      <c r="F277" s="194"/>
      <c r="G277" s="10">
        <v>2084.3000000000002</v>
      </c>
      <c r="H277" s="10"/>
      <c r="I277" s="7">
        <v>0</v>
      </c>
      <c r="J277" s="19">
        <v>4.407</v>
      </c>
      <c r="K277" s="19"/>
      <c r="L277" s="7">
        <v>0</v>
      </c>
    </row>
  </sheetData>
  <mergeCells count="10">
    <mergeCell ref="A1:O1"/>
    <mergeCell ref="J3:L3"/>
    <mergeCell ref="C277:D277"/>
    <mergeCell ref="E277:F277"/>
    <mergeCell ref="A2:M2"/>
    <mergeCell ref="A3:A4"/>
    <mergeCell ref="B3:B4"/>
    <mergeCell ref="C3:D3"/>
    <mergeCell ref="E3:F3"/>
    <mergeCell ref="G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00"/>
  <sheetViews>
    <sheetView workbookViewId="0">
      <selection activeCell="A15" sqref="A15:XFD15"/>
    </sheetView>
  </sheetViews>
  <sheetFormatPr defaultRowHeight="13.2" x14ac:dyDescent="0.25"/>
  <cols>
    <col min="1" max="1" width="8.21875" style="28" customWidth="1"/>
    <col min="2" max="2" width="9.77734375" style="28" customWidth="1"/>
    <col min="3" max="3" width="12" style="28" customWidth="1"/>
    <col min="4" max="4" width="11.88671875" style="28" customWidth="1"/>
    <col min="5" max="5" width="10.6640625" style="28" customWidth="1"/>
    <col min="6" max="6" width="10.44140625" style="28" customWidth="1"/>
    <col min="7" max="7" width="11.44140625" style="28" customWidth="1"/>
    <col min="8" max="8" width="12" style="28" customWidth="1"/>
    <col min="9" max="9" width="9" style="28" customWidth="1"/>
    <col min="10" max="10" width="10.77734375" style="28" customWidth="1"/>
    <col min="11" max="11" width="12.109375" style="28" customWidth="1"/>
    <col min="12" max="12" width="11" style="28" customWidth="1"/>
    <col min="13" max="16384" width="8.88671875" style="28"/>
  </cols>
  <sheetData>
    <row r="1" spans="1:12" ht="55.8" customHeight="1" x14ac:dyDescent="0.25">
      <c r="A1" s="205" t="s">
        <v>25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</row>
    <row r="2" spans="1:12" ht="18.75" customHeight="1" x14ac:dyDescent="0.25">
      <c r="A2" s="89" t="s">
        <v>126</v>
      </c>
      <c r="B2" s="90">
        <v>10</v>
      </c>
      <c r="C2" s="50"/>
      <c r="D2" s="50"/>
      <c r="E2" s="50"/>
      <c r="F2" s="50"/>
      <c r="G2" s="50"/>
      <c r="H2" s="50"/>
    </row>
    <row r="3" spans="1:12" ht="15.75" customHeight="1" x14ac:dyDescent="0.25">
      <c r="A3" s="6" t="s">
        <v>26</v>
      </c>
      <c r="B3" s="53" t="s">
        <v>27</v>
      </c>
      <c r="C3" s="53" t="s">
        <v>28</v>
      </c>
      <c r="D3" s="53" t="s">
        <v>29</v>
      </c>
      <c r="E3" s="53" t="s">
        <v>30</v>
      </c>
      <c r="F3" s="53"/>
    </row>
    <row r="4" spans="1:12" ht="18.75" customHeight="1" x14ac:dyDescent="0.25">
      <c r="A4" s="15" t="s">
        <v>31</v>
      </c>
      <c r="B4" s="50" t="s">
        <v>18</v>
      </c>
      <c r="C4" s="52" t="s">
        <v>19</v>
      </c>
      <c r="D4" s="52" t="s">
        <v>19</v>
      </c>
      <c r="E4" s="52" t="s">
        <v>32</v>
      </c>
      <c r="F4" s="52"/>
    </row>
    <row r="5" spans="1:12" ht="18.75" customHeight="1" x14ac:dyDescent="0.25">
      <c r="A5" s="30">
        <v>0</v>
      </c>
      <c r="B5" s="54">
        <v>1.0001999999999999E-3</v>
      </c>
      <c r="C5" s="55">
        <v>-0.04</v>
      </c>
      <c r="D5" s="55">
        <v>-0.03</v>
      </c>
      <c r="E5" s="56">
        <v>-1.4999999999999999E-4</v>
      </c>
      <c r="F5" s="56"/>
    </row>
    <row r="6" spans="1:12" ht="18.75" customHeight="1" x14ac:dyDescent="0.25">
      <c r="A6" s="7">
        <v>5</v>
      </c>
      <c r="B6" s="54">
        <v>1.00008E-3</v>
      </c>
      <c r="C6" s="55">
        <v>21.02</v>
      </c>
      <c r="D6" s="55">
        <v>21.03</v>
      </c>
      <c r="E6" s="56">
        <v>7.6249999999999998E-2</v>
      </c>
      <c r="F6" s="56"/>
    </row>
    <row r="7" spans="1:12" ht="18.75" customHeight="1" x14ac:dyDescent="0.25">
      <c r="A7" s="7">
        <v>10</v>
      </c>
      <c r="B7" s="54">
        <v>1.00034E-3</v>
      </c>
      <c r="C7" s="55">
        <v>42.02</v>
      </c>
      <c r="D7" s="55">
        <v>42.03</v>
      </c>
      <c r="E7" s="56">
        <v>0.15109</v>
      </c>
      <c r="F7" s="56"/>
    </row>
    <row r="8" spans="1:12" ht="18.75" customHeight="1" x14ac:dyDescent="0.25">
      <c r="A8" s="7">
        <v>15</v>
      </c>
      <c r="B8" s="54">
        <v>1.0009400000000001E-3</v>
      </c>
      <c r="C8" s="55">
        <v>62.98</v>
      </c>
      <c r="D8" s="55">
        <v>62.99</v>
      </c>
      <c r="E8" s="56">
        <v>0.22445999999999999</v>
      </c>
      <c r="F8" s="56"/>
    </row>
    <row r="9" spans="1:12" ht="18.75" customHeight="1" x14ac:dyDescent="0.25">
      <c r="A9" s="7">
        <v>20</v>
      </c>
      <c r="B9" s="54">
        <v>1.0018399999999999E-3</v>
      </c>
      <c r="C9" s="55">
        <v>83.91</v>
      </c>
      <c r="D9" s="55">
        <v>83.92</v>
      </c>
      <c r="E9" s="56">
        <v>0.29648000000000002</v>
      </c>
      <c r="F9" s="56"/>
    </row>
    <row r="10" spans="1:12" ht="18.75" customHeight="1" x14ac:dyDescent="0.25">
      <c r="A10" s="7">
        <v>25</v>
      </c>
      <c r="B10" s="54">
        <v>1.003E-3</v>
      </c>
      <c r="C10" s="55">
        <v>104.83</v>
      </c>
      <c r="D10" s="55">
        <v>104.84</v>
      </c>
      <c r="E10" s="56">
        <v>0.36721999999999999</v>
      </c>
      <c r="F10" s="56"/>
    </row>
    <row r="11" spans="1:12" ht="18.75" customHeight="1" x14ac:dyDescent="0.25">
      <c r="A11" s="7">
        <v>30</v>
      </c>
      <c r="B11" s="54">
        <v>1.0044100000000001E-3</v>
      </c>
      <c r="C11" s="55">
        <v>125.73</v>
      </c>
      <c r="D11" s="55">
        <v>125.74</v>
      </c>
      <c r="E11" s="56">
        <v>0.43675000000000003</v>
      </c>
      <c r="F11" s="56"/>
    </row>
    <row r="12" spans="1:12" ht="18.75" customHeight="1" x14ac:dyDescent="0.25">
      <c r="A12" s="7">
        <v>35</v>
      </c>
      <c r="B12" s="54">
        <v>1.0060399999999999E-3</v>
      </c>
      <c r="C12" s="55">
        <v>146.63</v>
      </c>
      <c r="D12" s="55">
        <v>146.63999999999999</v>
      </c>
      <c r="E12" s="56">
        <v>0.50512999999999997</v>
      </c>
      <c r="F12" s="56"/>
    </row>
    <row r="13" spans="1:12" ht="18.75" customHeight="1" x14ac:dyDescent="0.25">
      <c r="A13" s="7">
        <v>40</v>
      </c>
      <c r="B13" s="54">
        <v>1.00789E-3</v>
      </c>
      <c r="C13" s="55">
        <v>167.53</v>
      </c>
      <c r="D13" s="55">
        <v>167.54</v>
      </c>
      <c r="E13" s="56">
        <v>0.57240000000000002</v>
      </c>
      <c r="F13" s="56"/>
    </row>
    <row r="14" spans="1:12" ht="20.25" customHeight="1" x14ac:dyDescent="0.25">
      <c r="A14" s="7">
        <v>45</v>
      </c>
      <c r="B14" s="54">
        <v>1.0099200000000001E-3</v>
      </c>
      <c r="C14" s="55">
        <v>188.43</v>
      </c>
      <c r="D14" s="55">
        <v>188.44</v>
      </c>
      <c r="E14" s="56">
        <v>0.63861000000000001</v>
      </c>
      <c r="F14" s="56"/>
    </row>
    <row r="15" spans="1:12" ht="18.75" customHeight="1" x14ac:dyDescent="0.25">
      <c r="A15" s="7">
        <v>50</v>
      </c>
      <c r="B15" s="57">
        <v>14.867000000000001</v>
      </c>
      <c r="C15" s="51">
        <v>2443.3000000000002</v>
      </c>
      <c r="D15" s="51">
        <v>2592</v>
      </c>
      <c r="E15" s="58">
        <v>8.1740999999999993</v>
      </c>
      <c r="F15" s="58"/>
    </row>
    <row r="16" spans="1:12" ht="18.75" customHeight="1" x14ac:dyDescent="0.25">
      <c r="A16" s="7">
        <v>55</v>
      </c>
      <c r="B16" s="57">
        <v>15.101000000000001</v>
      </c>
      <c r="C16" s="51">
        <v>2450.6</v>
      </c>
      <c r="D16" s="51">
        <v>2601.6</v>
      </c>
      <c r="E16" s="58">
        <v>8.2035999999999998</v>
      </c>
      <c r="F16" s="58"/>
    </row>
    <row r="17" spans="1:6" ht="18.75" customHeight="1" x14ac:dyDescent="0.25">
      <c r="A17" s="7">
        <v>60</v>
      </c>
      <c r="B17" s="57">
        <v>15.335000000000001</v>
      </c>
      <c r="C17" s="51">
        <v>2457.8000000000002</v>
      </c>
      <c r="D17" s="51">
        <v>2611.1999999999998</v>
      </c>
      <c r="E17" s="58">
        <v>8.2325999999999997</v>
      </c>
      <c r="F17" s="58"/>
    </row>
    <row r="18" spans="1:6" ht="18.75" customHeight="1" x14ac:dyDescent="0.25">
      <c r="A18" s="7">
        <v>65</v>
      </c>
      <c r="B18" s="57">
        <v>15.568</v>
      </c>
      <c r="C18" s="51">
        <v>2465</v>
      </c>
      <c r="D18" s="51">
        <v>2620.6999999999998</v>
      </c>
      <c r="E18" s="58">
        <v>8.2611000000000008</v>
      </c>
      <c r="F18" s="58"/>
    </row>
    <row r="19" spans="1:6" ht="18.75" customHeight="1" x14ac:dyDescent="0.25">
      <c r="A19" s="7">
        <v>70</v>
      </c>
      <c r="B19" s="57">
        <v>15.801</v>
      </c>
      <c r="C19" s="51">
        <v>2472.3000000000002</v>
      </c>
      <c r="D19" s="51">
        <v>2630.3</v>
      </c>
      <c r="E19" s="58">
        <v>8.2890999999999995</v>
      </c>
      <c r="F19" s="58"/>
    </row>
    <row r="20" spans="1:6" ht="18.75" customHeight="1" x14ac:dyDescent="0.25">
      <c r="A20" s="7">
        <v>75</v>
      </c>
      <c r="B20" s="57">
        <v>16.033999999999999</v>
      </c>
      <c r="C20" s="51">
        <v>2479.5</v>
      </c>
      <c r="D20" s="51">
        <v>2639.8</v>
      </c>
      <c r="E20" s="58">
        <v>8.3167000000000009</v>
      </c>
      <c r="F20" s="58"/>
    </row>
    <row r="21" spans="1:6" ht="18.75" customHeight="1" x14ac:dyDescent="0.25">
      <c r="A21" s="7">
        <v>80</v>
      </c>
      <c r="B21" s="57">
        <v>16.266999999999999</v>
      </c>
      <c r="C21" s="51">
        <v>2486.6</v>
      </c>
      <c r="D21" s="51">
        <v>2649.3</v>
      </c>
      <c r="E21" s="58">
        <v>8.3438999999999997</v>
      </c>
      <c r="F21" s="58"/>
    </row>
    <row r="22" spans="1:6" ht="20.25" customHeight="1" x14ac:dyDescent="0.25">
      <c r="A22" s="7">
        <v>85</v>
      </c>
      <c r="B22" s="57">
        <v>16.5</v>
      </c>
      <c r="C22" s="51">
        <v>2493.9</v>
      </c>
      <c r="D22" s="51">
        <v>2658.9</v>
      </c>
      <c r="E22" s="58">
        <v>8.3706999999999994</v>
      </c>
      <c r="F22" s="58"/>
    </row>
    <row r="23" spans="1:6" ht="20.25" customHeight="1" x14ac:dyDescent="0.25">
      <c r="A23" s="7">
        <v>90</v>
      </c>
      <c r="B23" s="57">
        <v>16.731999999999999</v>
      </c>
      <c r="C23" s="51">
        <v>2501.1</v>
      </c>
      <c r="D23" s="51">
        <v>2668.4</v>
      </c>
      <c r="E23" s="58">
        <v>8.3971</v>
      </c>
      <c r="F23" s="58"/>
    </row>
    <row r="24" spans="1:6" ht="18.75" customHeight="1" x14ac:dyDescent="0.25">
      <c r="A24" s="7">
        <v>95</v>
      </c>
      <c r="B24" s="57">
        <v>16.963999999999999</v>
      </c>
      <c r="C24" s="51">
        <v>2508.3000000000002</v>
      </c>
      <c r="D24" s="51">
        <v>2677.9</v>
      </c>
      <c r="E24" s="58">
        <v>8.4231999999999996</v>
      </c>
      <c r="F24" s="58"/>
    </row>
    <row r="25" spans="1:6" ht="18.75" customHeight="1" x14ac:dyDescent="0.25">
      <c r="A25" s="7">
        <v>100</v>
      </c>
      <c r="B25" s="57">
        <v>17.196000000000002</v>
      </c>
      <c r="C25" s="51">
        <v>2515.5</v>
      </c>
      <c r="D25" s="51">
        <v>2687.5</v>
      </c>
      <c r="E25" s="58">
        <v>8.4489000000000001</v>
      </c>
      <c r="F25" s="58"/>
    </row>
    <row r="26" spans="1:6" ht="18.75" customHeight="1" x14ac:dyDescent="0.25">
      <c r="A26" s="7">
        <v>105</v>
      </c>
      <c r="B26" s="57">
        <v>17.428000000000001</v>
      </c>
      <c r="C26" s="51">
        <v>2522.6999999999998</v>
      </c>
      <c r="D26" s="51">
        <v>2697</v>
      </c>
      <c r="E26" s="58">
        <v>8.4741999999999997</v>
      </c>
      <c r="F26" s="58"/>
    </row>
    <row r="27" spans="1:6" ht="18.75" customHeight="1" x14ac:dyDescent="0.25">
      <c r="A27" s="7">
        <v>110</v>
      </c>
      <c r="B27" s="57">
        <v>17.66</v>
      </c>
      <c r="C27" s="51">
        <v>2529.9</v>
      </c>
      <c r="D27" s="51">
        <v>2706.5</v>
      </c>
      <c r="E27" s="58">
        <v>8.4992999999999999</v>
      </c>
      <c r="F27" s="58"/>
    </row>
    <row r="28" spans="1:6" ht="18.75" customHeight="1" x14ac:dyDescent="0.25">
      <c r="A28" s="7">
        <v>115</v>
      </c>
      <c r="B28" s="57">
        <v>17.891999999999999</v>
      </c>
      <c r="C28" s="51">
        <v>2537.1999999999998</v>
      </c>
      <c r="D28" s="51">
        <v>2716.1</v>
      </c>
      <c r="E28" s="58">
        <v>8.5239999999999991</v>
      </c>
      <c r="F28" s="58"/>
    </row>
    <row r="29" spans="1:6" ht="18.75" customHeight="1" x14ac:dyDescent="0.25">
      <c r="A29" s="7">
        <v>120</v>
      </c>
      <c r="B29" s="57">
        <v>18.123999999999999</v>
      </c>
      <c r="C29" s="51">
        <v>2544.4</v>
      </c>
      <c r="D29" s="51">
        <v>2725.6</v>
      </c>
      <c r="E29" s="58">
        <v>8.5484000000000009</v>
      </c>
      <c r="F29" s="58"/>
    </row>
    <row r="30" spans="1:6" ht="18.75" customHeight="1" x14ac:dyDescent="0.25">
      <c r="A30" s="7">
        <v>125</v>
      </c>
      <c r="B30" s="57">
        <v>18.356000000000002</v>
      </c>
      <c r="C30" s="51">
        <v>2551.6</v>
      </c>
      <c r="D30" s="51">
        <v>2735.2</v>
      </c>
      <c r="E30" s="58">
        <v>8.5725999999999996</v>
      </c>
      <c r="F30" s="58"/>
    </row>
    <row r="31" spans="1:6" ht="18.75" customHeight="1" x14ac:dyDescent="0.25">
      <c r="A31" s="7">
        <v>130</v>
      </c>
      <c r="B31" s="57">
        <v>18.587</v>
      </c>
      <c r="C31" s="51">
        <v>2558.8000000000002</v>
      </c>
      <c r="D31" s="51">
        <v>2744.7</v>
      </c>
      <c r="E31" s="58">
        <v>8.5963999999999992</v>
      </c>
      <c r="F31" s="58"/>
    </row>
    <row r="32" spans="1:6" ht="27.3" customHeight="1" x14ac:dyDescent="0.25">
      <c r="A32" s="7">
        <v>135</v>
      </c>
      <c r="B32" s="57">
        <v>18.818999999999999</v>
      </c>
      <c r="C32" s="51">
        <v>2566.1</v>
      </c>
      <c r="D32" s="51">
        <v>2754.3</v>
      </c>
      <c r="E32" s="58">
        <v>8.6199999999999992</v>
      </c>
      <c r="F32" s="58"/>
    </row>
    <row r="33" spans="1:6" ht="18.75" customHeight="1" x14ac:dyDescent="0.25">
      <c r="A33" s="7">
        <v>140</v>
      </c>
      <c r="B33" s="57">
        <v>19.05</v>
      </c>
      <c r="C33" s="51">
        <v>2573.4</v>
      </c>
      <c r="D33" s="51">
        <v>2763.9</v>
      </c>
      <c r="E33" s="58">
        <v>8.6433999999999997</v>
      </c>
      <c r="F33" s="58"/>
    </row>
    <row r="34" spans="1:6" ht="21.6" customHeight="1" x14ac:dyDescent="0.25">
      <c r="A34" s="7">
        <v>145</v>
      </c>
      <c r="B34" s="57">
        <v>19.282</v>
      </c>
      <c r="C34" s="51">
        <v>2580.6</v>
      </c>
      <c r="D34" s="51">
        <v>2773.4</v>
      </c>
      <c r="E34" s="58">
        <v>8.6663999999999994</v>
      </c>
      <c r="F34" s="58"/>
    </row>
    <row r="35" spans="1:6" ht="13.8" x14ac:dyDescent="0.25">
      <c r="A35" s="7">
        <v>150</v>
      </c>
      <c r="B35" s="57">
        <v>19.513000000000002</v>
      </c>
      <c r="C35" s="51">
        <v>2587.9</v>
      </c>
      <c r="D35" s="51">
        <v>2783</v>
      </c>
      <c r="E35" s="58">
        <v>8.6891999999999996</v>
      </c>
      <c r="F35" s="58"/>
    </row>
    <row r="36" spans="1:6" ht="13.8" x14ac:dyDescent="0.25">
      <c r="A36" s="7">
        <v>155</v>
      </c>
      <c r="B36" s="57">
        <v>19.745000000000001</v>
      </c>
      <c r="C36" s="51">
        <v>2595.1999999999998</v>
      </c>
      <c r="D36" s="51">
        <v>2792.6</v>
      </c>
      <c r="E36" s="58">
        <v>8.7118000000000002</v>
      </c>
      <c r="F36" s="58"/>
    </row>
    <row r="37" spans="1:6" ht="13.8" x14ac:dyDescent="0.25">
      <c r="A37" s="7">
        <v>160</v>
      </c>
      <c r="B37" s="57">
        <v>19.975999999999999</v>
      </c>
      <c r="C37" s="51">
        <v>2602.5</v>
      </c>
      <c r="D37" s="51">
        <v>2802.3</v>
      </c>
      <c r="E37" s="58">
        <v>8.7340999999999998</v>
      </c>
      <c r="F37" s="58"/>
    </row>
    <row r="38" spans="1:6" ht="13.8" x14ac:dyDescent="0.25">
      <c r="A38" s="7">
        <v>165</v>
      </c>
      <c r="B38" s="57">
        <v>20.207000000000001</v>
      </c>
      <c r="C38" s="51">
        <v>2609.8000000000002</v>
      </c>
      <c r="D38" s="51">
        <v>2811.9</v>
      </c>
      <c r="E38" s="58">
        <v>8.7561999999999998</v>
      </c>
      <c r="F38" s="58"/>
    </row>
    <row r="39" spans="1:6" ht="13.8" x14ac:dyDescent="0.25">
      <c r="A39" s="7">
        <v>170</v>
      </c>
      <c r="B39" s="57">
        <v>20.437999999999999</v>
      </c>
      <c r="C39" s="51">
        <v>2617.1</v>
      </c>
      <c r="D39" s="51">
        <v>2821.5</v>
      </c>
      <c r="E39" s="58">
        <v>8.7781000000000002</v>
      </c>
      <c r="F39" s="58"/>
    </row>
    <row r="40" spans="1:6" ht="13.8" x14ac:dyDescent="0.25">
      <c r="A40" s="7">
        <v>175</v>
      </c>
      <c r="B40" s="57">
        <v>20.67</v>
      </c>
      <c r="C40" s="51">
        <v>2624.5</v>
      </c>
      <c r="D40" s="51">
        <v>2831.2</v>
      </c>
      <c r="E40" s="58">
        <v>8.7996999999999996</v>
      </c>
      <c r="F40" s="58"/>
    </row>
    <row r="41" spans="1:6" ht="13.8" x14ac:dyDescent="0.25">
      <c r="A41" s="7">
        <v>180</v>
      </c>
      <c r="B41" s="57">
        <v>20.901</v>
      </c>
      <c r="C41" s="51">
        <v>2631.8</v>
      </c>
      <c r="D41" s="51">
        <v>2840.8</v>
      </c>
      <c r="E41" s="58">
        <v>8.8211999999999993</v>
      </c>
      <c r="F41" s="58"/>
    </row>
    <row r="42" spans="1:6" ht="13.8" x14ac:dyDescent="0.25">
      <c r="A42" s="7">
        <v>185</v>
      </c>
      <c r="B42" s="57">
        <v>21.132000000000001</v>
      </c>
      <c r="C42" s="51">
        <v>2639.2</v>
      </c>
      <c r="D42" s="51">
        <v>2850.5</v>
      </c>
      <c r="E42" s="58">
        <v>8.8423999999999996</v>
      </c>
      <c r="F42" s="58"/>
    </row>
    <row r="43" spans="1:6" ht="13.8" x14ac:dyDescent="0.25">
      <c r="A43" s="7">
        <v>190</v>
      </c>
      <c r="B43" s="57">
        <v>21.363</v>
      </c>
      <c r="C43" s="51">
        <v>2646.6</v>
      </c>
      <c r="D43" s="51">
        <v>2860.2</v>
      </c>
      <c r="E43" s="58">
        <v>8.8634000000000004</v>
      </c>
      <c r="F43" s="58"/>
    </row>
    <row r="44" spans="1:6" ht="13.8" x14ac:dyDescent="0.25">
      <c r="A44" s="7">
        <v>195</v>
      </c>
      <c r="B44" s="57">
        <v>21.594000000000001</v>
      </c>
      <c r="C44" s="51">
        <v>2654</v>
      </c>
      <c r="D44" s="51">
        <v>2869.9</v>
      </c>
      <c r="E44" s="58">
        <v>8.8842999999999996</v>
      </c>
      <c r="F44" s="58"/>
    </row>
    <row r="45" spans="1:6" ht="13.8" x14ac:dyDescent="0.25">
      <c r="A45" s="7">
        <v>200</v>
      </c>
      <c r="B45" s="57">
        <v>21.826000000000001</v>
      </c>
      <c r="C45" s="51">
        <v>2661.3</v>
      </c>
      <c r="D45" s="51">
        <v>2879.6</v>
      </c>
      <c r="E45" s="58">
        <v>8.9048999999999996</v>
      </c>
      <c r="F45" s="58"/>
    </row>
    <row r="46" spans="1:6" ht="13.8" x14ac:dyDescent="0.25">
      <c r="A46" s="7">
        <v>210</v>
      </c>
      <c r="B46" s="57">
        <v>22.288</v>
      </c>
      <c r="C46" s="51">
        <v>2676.2</v>
      </c>
      <c r="D46" s="51">
        <v>2899.1</v>
      </c>
      <c r="E46" s="58">
        <v>8.9456000000000007</v>
      </c>
      <c r="F46" s="58"/>
    </row>
    <row r="47" spans="1:6" ht="13.8" x14ac:dyDescent="0.25">
      <c r="A47" s="7">
        <v>220</v>
      </c>
      <c r="B47" s="57">
        <v>22.75</v>
      </c>
      <c r="C47" s="51">
        <v>2691.1</v>
      </c>
      <c r="D47" s="51">
        <v>2918.6</v>
      </c>
      <c r="E47" s="58">
        <v>8.9855999999999998</v>
      </c>
      <c r="F47" s="58"/>
    </row>
    <row r="48" spans="1:6" ht="13.8" x14ac:dyDescent="0.25">
      <c r="A48" s="7">
        <v>230</v>
      </c>
      <c r="B48" s="57">
        <v>23.212</v>
      </c>
      <c r="C48" s="51">
        <v>2706</v>
      </c>
      <c r="D48" s="51">
        <v>2938.1</v>
      </c>
      <c r="E48" s="58">
        <v>9.0248000000000008</v>
      </c>
      <c r="F48" s="58"/>
    </row>
    <row r="49" spans="1:6" ht="13.8" x14ac:dyDescent="0.25">
      <c r="A49" s="7">
        <v>240</v>
      </c>
      <c r="B49" s="57">
        <v>23.673999999999999</v>
      </c>
      <c r="C49" s="51">
        <v>2721.1</v>
      </c>
      <c r="D49" s="51">
        <v>2957.8</v>
      </c>
      <c r="E49" s="58">
        <v>9.0634999999999994</v>
      </c>
      <c r="F49" s="58"/>
    </row>
    <row r="50" spans="1:6" ht="13.8" x14ac:dyDescent="0.25">
      <c r="A50" s="7">
        <v>250</v>
      </c>
      <c r="B50" s="57">
        <v>24.135999999999999</v>
      </c>
      <c r="C50" s="51">
        <v>2736</v>
      </c>
      <c r="D50" s="51">
        <v>2977.4</v>
      </c>
      <c r="E50" s="58">
        <v>9.1014999999999997</v>
      </c>
      <c r="F50" s="58"/>
    </row>
    <row r="51" spans="1:6" ht="13.8" x14ac:dyDescent="0.25">
      <c r="A51" s="7">
        <v>260</v>
      </c>
      <c r="B51" s="57">
        <v>24.597999999999999</v>
      </c>
      <c r="C51" s="51">
        <v>2751.2</v>
      </c>
      <c r="D51" s="51">
        <v>2997.2</v>
      </c>
      <c r="E51" s="58">
        <v>9.1387999999999998</v>
      </c>
      <c r="F51" s="58"/>
    </row>
    <row r="52" spans="1:6" ht="13.8" x14ac:dyDescent="0.25">
      <c r="A52" s="7">
        <v>270</v>
      </c>
      <c r="B52" s="57">
        <v>25.06</v>
      </c>
      <c r="C52" s="51">
        <v>2766.4</v>
      </c>
      <c r="D52" s="51">
        <v>3017</v>
      </c>
      <c r="E52" s="58">
        <v>9.1755999999999993</v>
      </c>
      <c r="F52" s="58"/>
    </row>
    <row r="53" spans="1:6" ht="13.8" x14ac:dyDescent="0.25">
      <c r="A53" s="7">
        <v>280</v>
      </c>
      <c r="B53" s="57">
        <v>25.521999999999998</v>
      </c>
      <c r="C53" s="51">
        <v>2781.6</v>
      </c>
      <c r="D53" s="51">
        <v>3036.8</v>
      </c>
      <c r="E53" s="58">
        <v>9.2118000000000002</v>
      </c>
      <c r="F53" s="58"/>
    </row>
    <row r="54" spans="1:6" ht="13.8" x14ac:dyDescent="0.25">
      <c r="A54" s="7">
        <v>290</v>
      </c>
      <c r="B54" s="57">
        <v>25.984000000000002</v>
      </c>
      <c r="C54" s="51">
        <v>2797</v>
      </c>
      <c r="D54" s="51">
        <v>3056.8</v>
      </c>
      <c r="E54" s="58">
        <v>9.2475000000000005</v>
      </c>
      <c r="F54" s="58"/>
    </row>
    <row r="55" spans="1:6" ht="13.8" x14ac:dyDescent="0.25">
      <c r="A55" s="7">
        <v>300</v>
      </c>
      <c r="B55" s="57">
        <v>26.446000000000002</v>
      </c>
      <c r="C55" s="51">
        <v>2812.2</v>
      </c>
      <c r="D55" s="51">
        <v>3076.7</v>
      </c>
      <c r="E55" s="58">
        <v>9.2827000000000002</v>
      </c>
      <c r="F55" s="58"/>
    </row>
    <row r="56" spans="1:6" ht="13.8" x14ac:dyDescent="0.25">
      <c r="A56" s="7">
        <v>310</v>
      </c>
      <c r="B56" s="57">
        <v>26.907</v>
      </c>
      <c r="C56" s="51">
        <v>2827.7</v>
      </c>
      <c r="D56" s="51">
        <v>3096.8</v>
      </c>
      <c r="E56" s="58">
        <v>9.3172999999999995</v>
      </c>
      <c r="F56" s="58"/>
    </row>
    <row r="57" spans="1:6" ht="13.8" x14ac:dyDescent="0.25">
      <c r="A57" s="7">
        <v>320</v>
      </c>
      <c r="B57" s="57">
        <v>27.369</v>
      </c>
      <c r="C57" s="51">
        <v>2843.2</v>
      </c>
      <c r="D57" s="51">
        <v>3116.9</v>
      </c>
      <c r="E57" s="58">
        <v>9.3514999999999997</v>
      </c>
      <c r="F57" s="58"/>
    </row>
    <row r="58" spans="1:6" ht="13.8" x14ac:dyDescent="0.25">
      <c r="A58" s="7">
        <v>330</v>
      </c>
      <c r="B58" s="57">
        <v>27.831</v>
      </c>
      <c r="C58" s="51">
        <v>2858.7</v>
      </c>
      <c r="D58" s="51">
        <v>3137</v>
      </c>
      <c r="E58" s="58">
        <v>9.3851999999999993</v>
      </c>
      <c r="F58" s="58"/>
    </row>
    <row r="59" spans="1:6" ht="13.8" x14ac:dyDescent="0.25">
      <c r="A59" s="7">
        <v>340</v>
      </c>
      <c r="B59" s="57">
        <v>28.292999999999999</v>
      </c>
      <c r="C59" s="51">
        <v>2874.4</v>
      </c>
      <c r="D59" s="51">
        <v>3157.3</v>
      </c>
      <c r="E59" s="58">
        <v>9.4184999999999999</v>
      </c>
      <c r="F59" s="58"/>
    </row>
    <row r="60" spans="1:6" ht="13.8" x14ac:dyDescent="0.25">
      <c r="A60" s="7">
        <v>350</v>
      </c>
      <c r="B60" s="57">
        <v>28.754999999999999</v>
      </c>
      <c r="C60" s="51">
        <v>2889.9</v>
      </c>
      <c r="D60" s="51">
        <v>3177.5</v>
      </c>
      <c r="E60" s="58">
        <v>9.4512999999999998</v>
      </c>
      <c r="F60" s="58"/>
    </row>
    <row r="61" spans="1:6" ht="13.8" x14ac:dyDescent="0.25">
      <c r="A61" s="7">
        <v>360</v>
      </c>
      <c r="B61" s="57">
        <v>29.216000000000001</v>
      </c>
      <c r="C61" s="51">
        <v>2905.7</v>
      </c>
      <c r="D61" s="51">
        <v>3197.9</v>
      </c>
      <c r="E61" s="58">
        <v>9.4837000000000007</v>
      </c>
      <c r="F61" s="58"/>
    </row>
    <row r="62" spans="1:6" ht="13.8" x14ac:dyDescent="0.25">
      <c r="A62" s="7">
        <v>370</v>
      </c>
      <c r="B62" s="57">
        <v>29.678000000000001</v>
      </c>
      <c r="C62" s="51">
        <v>2921.5</v>
      </c>
      <c r="D62" s="51">
        <v>3218.3</v>
      </c>
      <c r="E62" s="58">
        <v>9.5157000000000007</v>
      </c>
      <c r="F62" s="58"/>
    </row>
    <row r="63" spans="1:6" ht="13.8" x14ac:dyDescent="0.25">
      <c r="A63" s="7">
        <v>380</v>
      </c>
      <c r="B63" s="57">
        <v>30.14</v>
      </c>
      <c r="C63" s="51">
        <v>2937.4</v>
      </c>
      <c r="D63" s="51">
        <v>3238.8</v>
      </c>
      <c r="E63" s="58">
        <v>9.5472999999999999</v>
      </c>
      <c r="F63" s="58"/>
    </row>
    <row r="64" spans="1:6" ht="13.8" x14ac:dyDescent="0.25">
      <c r="A64" s="7">
        <v>390</v>
      </c>
      <c r="B64" s="57">
        <v>30.600999999999999</v>
      </c>
      <c r="C64" s="51">
        <v>2953.3</v>
      </c>
      <c r="D64" s="51">
        <v>3259.3</v>
      </c>
      <c r="E64" s="58">
        <v>9.5785</v>
      </c>
      <c r="F64" s="58"/>
    </row>
    <row r="65" spans="1:6" ht="13.8" x14ac:dyDescent="0.25">
      <c r="A65" s="7">
        <v>400</v>
      </c>
      <c r="B65" s="57">
        <v>31.062999999999999</v>
      </c>
      <c r="C65" s="51">
        <v>2969.3</v>
      </c>
      <c r="D65" s="51">
        <v>3279.9</v>
      </c>
      <c r="E65" s="58">
        <v>9.6094000000000008</v>
      </c>
      <c r="F65" s="58"/>
    </row>
    <row r="66" spans="1:6" ht="13.8" x14ac:dyDescent="0.25">
      <c r="A66" s="7">
        <v>410</v>
      </c>
      <c r="B66" s="57">
        <v>31.524999999999999</v>
      </c>
      <c r="C66" s="51">
        <v>2985.4</v>
      </c>
      <c r="D66" s="51">
        <v>3300.6</v>
      </c>
      <c r="E66" s="58">
        <v>9.6397999999999993</v>
      </c>
      <c r="F66" s="58"/>
    </row>
    <row r="67" spans="1:6" ht="13.8" x14ac:dyDescent="0.25">
      <c r="A67" s="7">
        <v>420</v>
      </c>
      <c r="B67" s="57">
        <v>31.986000000000001</v>
      </c>
      <c r="C67" s="51">
        <v>3001.5</v>
      </c>
      <c r="D67" s="51">
        <v>3321.4</v>
      </c>
      <c r="E67" s="58">
        <v>9.67</v>
      </c>
      <c r="F67" s="58"/>
    </row>
    <row r="68" spans="1:6" ht="13.8" x14ac:dyDescent="0.25">
      <c r="A68" s="7">
        <v>430</v>
      </c>
      <c r="B68" s="57">
        <v>32.448</v>
      </c>
      <c r="C68" s="51">
        <v>3017.7</v>
      </c>
      <c r="D68" s="51">
        <v>3342.2</v>
      </c>
      <c r="E68" s="58">
        <v>9.6997999999999998</v>
      </c>
      <c r="F68" s="58"/>
    </row>
    <row r="69" spans="1:6" ht="13.8" x14ac:dyDescent="0.25">
      <c r="A69" s="7">
        <v>440</v>
      </c>
      <c r="B69" s="57">
        <v>32.909999999999997</v>
      </c>
      <c r="C69" s="51">
        <v>3033.9</v>
      </c>
      <c r="D69" s="51">
        <v>3363</v>
      </c>
      <c r="E69" s="58">
        <v>9.7293000000000003</v>
      </c>
      <c r="F69" s="58"/>
    </row>
    <row r="70" spans="1:6" ht="13.8" x14ac:dyDescent="0.25">
      <c r="A70" s="7">
        <v>450</v>
      </c>
      <c r="B70" s="57">
        <v>33.371000000000002</v>
      </c>
      <c r="C70" s="51">
        <v>3050.3</v>
      </c>
      <c r="D70" s="51">
        <v>3384</v>
      </c>
      <c r="E70" s="58">
        <v>9.7584</v>
      </c>
      <c r="F70" s="58"/>
    </row>
    <row r="71" spans="1:6" ht="13.8" x14ac:dyDescent="0.25">
      <c r="A71" s="7">
        <v>460</v>
      </c>
      <c r="B71" s="57">
        <v>33.832999999999998</v>
      </c>
      <c r="C71" s="51">
        <v>3066.7</v>
      </c>
      <c r="D71" s="51">
        <v>3405</v>
      </c>
      <c r="E71" s="58">
        <v>9.7873000000000001</v>
      </c>
      <c r="F71" s="58"/>
    </row>
    <row r="72" spans="1:6" ht="13.8" x14ac:dyDescent="0.25">
      <c r="A72" s="7">
        <v>470</v>
      </c>
      <c r="B72" s="57">
        <v>34.295000000000002</v>
      </c>
      <c r="C72" s="51">
        <v>3083.2</v>
      </c>
      <c r="D72" s="51">
        <v>3426.1</v>
      </c>
      <c r="E72" s="58">
        <v>9.8157999999999994</v>
      </c>
      <c r="F72" s="58"/>
    </row>
    <row r="73" spans="1:6" ht="13.8" x14ac:dyDescent="0.25">
      <c r="A73" s="7">
        <v>480</v>
      </c>
      <c r="B73" s="57">
        <v>34.756</v>
      </c>
      <c r="C73" s="51">
        <v>3099.6</v>
      </c>
      <c r="D73" s="51">
        <v>3447.2</v>
      </c>
      <c r="E73" s="58">
        <v>9.8440999999999992</v>
      </c>
      <c r="F73" s="58"/>
    </row>
    <row r="74" spans="1:6" ht="13.8" x14ac:dyDescent="0.25">
      <c r="A74" s="7">
        <v>490</v>
      </c>
      <c r="B74" s="57">
        <v>35.218000000000004</v>
      </c>
      <c r="C74" s="51">
        <v>3116.2</v>
      </c>
      <c r="D74" s="51">
        <v>3468.4</v>
      </c>
      <c r="E74" s="58">
        <v>9.8720999999999997</v>
      </c>
      <c r="F74" s="58"/>
    </row>
    <row r="75" spans="1:6" ht="13.8" x14ac:dyDescent="0.25">
      <c r="A75" s="7">
        <v>500</v>
      </c>
      <c r="B75" s="57">
        <v>35.68</v>
      </c>
      <c r="C75" s="51">
        <v>3132.9</v>
      </c>
      <c r="D75" s="51">
        <v>3489.7</v>
      </c>
      <c r="E75" s="58">
        <v>9.8998000000000008</v>
      </c>
      <c r="F75" s="58"/>
    </row>
    <row r="76" spans="1:6" ht="13.8" x14ac:dyDescent="0.25">
      <c r="A76" s="7">
        <v>520</v>
      </c>
      <c r="B76" s="57">
        <v>36.603000000000002</v>
      </c>
      <c r="C76" s="51">
        <v>3166.5</v>
      </c>
      <c r="D76" s="51">
        <v>3532.5</v>
      </c>
      <c r="E76" s="58">
        <v>9.9543999999999997</v>
      </c>
      <c r="F76" s="58"/>
    </row>
    <row r="77" spans="1:6" ht="13.8" x14ac:dyDescent="0.25">
      <c r="A77" s="7">
        <v>540</v>
      </c>
      <c r="B77" s="57">
        <v>37.526000000000003</v>
      </c>
      <c r="C77" s="51">
        <v>3200.2</v>
      </c>
      <c r="D77" s="51">
        <v>3575.5</v>
      </c>
      <c r="E77" s="57">
        <v>10.007999999999999</v>
      </c>
      <c r="F77" s="57"/>
    </row>
    <row r="78" spans="1:6" ht="13.8" x14ac:dyDescent="0.25">
      <c r="A78" s="7">
        <v>560</v>
      </c>
      <c r="B78" s="57">
        <v>38.448999999999998</v>
      </c>
      <c r="C78" s="51">
        <v>3234.3</v>
      </c>
      <c r="D78" s="51">
        <v>3618.8</v>
      </c>
      <c r="E78" s="57">
        <v>10.061</v>
      </c>
      <c r="F78" s="57"/>
    </row>
    <row r="79" spans="1:6" ht="13.8" x14ac:dyDescent="0.25">
      <c r="A79" s="7">
        <v>580</v>
      </c>
      <c r="B79" s="57">
        <v>39.372</v>
      </c>
      <c r="C79" s="51">
        <v>3268.7</v>
      </c>
      <c r="D79" s="51">
        <v>3662.4</v>
      </c>
      <c r="E79" s="57">
        <v>10.112</v>
      </c>
      <c r="F79" s="57"/>
    </row>
    <row r="80" spans="1:6" ht="13.8" x14ac:dyDescent="0.25">
      <c r="A80" s="7">
        <v>600</v>
      </c>
      <c r="B80" s="57">
        <v>40.295999999999999</v>
      </c>
      <c r="C80" s="51">
        <v>3303.3</v>
      </c>
      <c r="D80" s="51">
        <v>3706.3</v>
      </c>
      <c r="E80" s="57">
        <v>10.163</v>
      </c>
      <c r="F80" s="57"/>
    </row>
    <row r="81" spans="1:6" ht="13.8" x14ac:dyDescent="0.25">
      <c r="A81" s="7">
        <v>620</v>
      </c>
      <c r="B81" s="57">
        <v>41.219000000000001</v>
      </c>
      <c r="C81" s="51">
        <v>3338.2</v>
      </c>
      <c r="D81" s="51">
        <v>3750.4</v>
      </c>
      <c r="E81" s="57">
        <v>10.212999999999999</v>
      </c>
      <c r="F81" s="57"/>
    </row>
    <row r="82" spans="1:6" ht="13.8" x14ac:dyDescent="0.25">
      <c r="A82" s="7">
        <v>640</v>
      </c>
      <c r="B82" s="57">
        <v>42.142000000000003</v>
      </c>
      <c r="C82" s="51">
        <v>3373.5</v>
      </c>
      <c r="D82" s="51">
        <v>3794.9</v>
      </c>
      <c r="E82" s="57">
        <v>10.262</v>
      </c>
      <c r="F82" s="57"/>
    </row>
    <row r="83" spans="1:6" ht="13.8" x14ac:dyDescent="0.25">
      <c r="A83" s="7">
        <v>660</v>
      </c>
      <c r="B83" s="57">
        <v>43.064999999999998</v>
      </c>
      <c r="C83" s="51">
        <v>3409</v>
      </c>
      <c r="D83" s="51">
        <v>3839.6</v>
      </c>
      <c r="E83" s="57">
        <v>10.311</v>
      </c>
      <c r="F83" s="57"/>
    </row>
    <row r="84" spans="1:6" ht="13.8" x14ac:dyDescent="0.25">
      <c r="A84" s="7">
        <v>680</v>
      </c>
      <c r="B84" s="57">
        <v>43.988</v>
      </c>
      <c r="C84" s="51">
        <v>3444.7</v>
      </c>
      <c r="D84" s="51">
        <v>3884.6</v>
      </c>
      <c r="E84" s="57">
        <v>10.358000000000001</v>
      </c>
      <c r="F84" s="57"/>
    </row>
    <row r="85" spans="1:6" ht="13.8" x14ac:dyDescent="0.25">
      <c r="A85" s="7">
        <v>700</v>
      </c>
      <c r="B85" s="57">
        <v>44.911000000000001</v>
      </c>
      <c r="C85" s="51">
        <v>3480.8</v>
      </c>
      <c r="D85" s="51">
        <v>3929.9</v>
      </c>
      <c r="E85" s="57">
        <v>10.406000000000001</v>
      </c>
      <c r="F85" s="57"/>
    </row>
    <row r="86" spans="1:6" ht="13.8" x14ac:dyDescent="0.25">
      <c r="A86" s="7">
        <v>720</v>
      </c>
      <c r="B86" s="57">
        <v>45.834000000000003</v>
      </c>
      <c r="C86" s="51">
        <v>3517.2</v>
      </c>
      <c r="D86" s="51">
        <v>3975.5</v>
      </c>
      <c r="E86" s="57">
        <v>10.452</v>
      </c>
      <c r="F86" s="57"/>
    </row>
    <row r="87" spans="1:6" ht="13.8" x14ac:dyDescent="0.25">
      <c r="A87" s="7">
        <v>740</v>
      </c>
      <c r="B87" s="57">
        <v>46.758000000000003</v>
      </c>
      <c r="C87" s="51">
        <v>3553.7</v>
      </c>
      <c r="D87" s="51">
        <v>4021.3</v>
      </c>
      <c r="E87" s="57">
        <v>10.497999999999999</v>
      </c>
      <c r="F87" s="57"/>
    </row>
    <row r="88" spans="1:6" ht="13.8" x14ac:dyDescent="0.25">
      <c r="A88" s="7">
        <v>760</v>
      </c>
      <c r="B88" s="57">
        <v>47.680999999999997</v>
      </c>
      <c r="C88" s="51">
        <v>3590.7</v>
      </c>
      <c r="D88" s="51">
        <v>4067.5</v>
      </c>
      <c r="E88" s="57">
        <v>10.542999999999999</v>
      </c>
      <c r="F88" s="57"/>
    </row>
    <row r="89" spans="1:6" ht="13.8" x14ac:dyDescent="0.25">
      <c r="A89" s="7">
        <v>780</v>
      </c>
      <c r="B89" s="57">
        <v>48.603999999999999</v>
      </c>
      <c r="C89" s="51">
        <v>3627.9</v>
      </c>
      <c r="D89" s="51">
        <v>4113.8999999999996</v>
      </c>
      <c r="E89" s="57">
        <v>10.587</v>
      </c>
      <c r="F89" s="57"/>
    </row>
    <row r="90" spans="1:6" ht="13.8" x14ac:dyDescent="0.25">
      <c r="A90" s="7">
        <v>800</v>
      </c>
      <c r="B90" s="57">
        <v>49.527000000000001</v>
      </c>
      <c r="C90" s="51">
        <v>3665.3</v>
      </c>
      <c r="D90" s="51">
        <v>4160.6000000000004</v>
      </c>
      <c r="E90" s="57">
        <v>10.631</v>
      </c>
      <c r="F90" s="57"/>
    </row>
    <row r="91" spans="1:6" ht="13.8" x14ac:dyDescent="0.25">
      <c r="A91" s="7">
        <v>820</v>
      </c>
      <c r="B91" s="57">
        <v>50.45</v>
      </c>
      <c r="C91" s="51">
        <v>3703.1</v>
      </c>
      <c r="D91" s="51">
        <v>4207.6000000000004</v>
      </c>
      <c r="E91" s="57">
        <v>10.675000000000001</v>
      </c>
      <c r="F91" s="57"/>
    </row>
    <row r="92" spans="1:6" ht="13.8" x14ac:dyDescent="0.25">
      <c r="A92" s="7">
        <v>840</v>
      </c>
      <c r="B92" s="57">
        <v>51.372999999999998</v>
      </c>
      <c r="C92" s="51">
        <v>3741.2</v>
      </c>
      <c r="D92" s="51">
        <v>4254.8999999999996</v>
      </c>
      <c r="E92" s="57">
        <v>10.717000000000001</v>
      </c>
      <c r="F92" s="57"/>
    </row>
    <row r="93" spans="1:6" ht="13.8" x14ac:dyDescent="0.25">
      <c r="A93" s="7">
        <v>860</v>
      </c>
      <c r="B93" s="57">
        <v>52.295999999999999</v>
      </c>
      <c r="C93" s="51">
        <v>3779.4</v>
      </c>
      <c r="D93" s="51">
        <v>4302.3999999999996</v>
      </c>
      <c r="E93" s="57">
        <v>10.76</v>
      </c>
      <c r="F93" s="57"/>
    </row>
    <row r="94" spans="1:6" ht="13.8" x14ac:dyDescent="0.25">
      <c r="A94" s="7">
        <v>880</v>
      </c>
      <c r="B94" s="57">
        <v>53.219000000000001</v>
      </c>
      <c r="C94" s="51">
        <v>3818</v>
      </c>
      <c r="D94" s="51">
        <v>4350.2</v>
      </c>
      <c r="E94" s="57">
        <v>10.802</v>
      </c>
      <c r="F94" s="57"/>
    </row>
    <row r="95" spans="1:6" ht="13.8" x14ac:dyDescent="0.25">
      <c r="A95" s="7">
        <v>900</v>
      </c>
      <c r="B95" s="57">
        <v>54.142000000000003</v>
      </c>
      <c r="C95" s="51">
        <v>3856.9</v>
      </c>
      <c r="D95" s="51">
        <v>4398.3</v>
      </c>
      <c r="E95" s="57">
        <v>10.843</v>
      </c>
      <c r="F95" s="57"/>
    </row>
    <row r="96" spans="1:6" ht="13.8" x14ac:dyDescent="0.25">
      <c r="A96" s="7">
        <v>920</v>
      </c>
      <c r="B96" s="57">
        <v>55.064999999999998</v>
      </c>
      <c r="C96" s="51">
        <v>3896.1</v>
      </c>
      <c r="D96" s="51">
        <v>4446.7</v>
      </c>
      <c r="E96" s="57">
        <v>10.884</v>
      </c>
      <c r="F96" s="57"/>
    </row>
    <row r="97" spans="1:6" ht="13.8" x14ac:dyDescent="0.25">
      <c r="A97" s="7">
        <v>940</v>
      </c>
      <c r="B97" s="57">
        <v>55.988999999999997</v>
      </c>
      <c r="C97" s="51">
        <v>3935.4</v>
      </c>
      <c r="D97" s="51">
        <v>4495.3</v>
      </c>
      <c r="E97" s="57">
        <v>10.923999999999999</v>
      </c>
      <c r="F97" s="57"/>
    </row>
    <row r="98" spans="1:6" ht="13.8" x14ac:dyDescent="0.25">
      <c r="A98" s="7">
        <v>960</v>
      </c>
      <c r="B98" s="57">
        <v>56.911999999999999</v>
      </c>
      <c r="C98" s="51">
        <v>3975.1</v>
      </c>
      <c r="D98" s="51">
        <v>4544.2</v>
      </c>
      <c r="E98" s="57">
        <v>10.964</v>
      </c>
      <c r="F98" s="57"/>
    </row>
    <row r="99" spans="1:6" ht="13.8" x14ac:dyDescent="0.25">
      <c r="A99" s="7">
        <v>980</v>
      </c>
      <c r="B99" s="57">
        <v>57.835000000000001</v>
      </c>
      <c r="C99" s="51">
        <v>4015</v>
      </c>
      <c r="D99" s="51">
        <v>4593.3999999999996</v>
      </c>
      <c r="E99" s="57">
        <v>11.004</v>
      </c>
      <c r="F99" s="57"/>
    </row>
    <row r="100" spans="1:6" ht="13.8" x14ac:dyDescent="0.25">
      <c r="A100" s="7">
        <v>1000</v>
      </c>
      <c r="B100" s="57">
        <v>58.758000000000003</v>
      </c>
      <c r="C100" s="51">
        <v>4055.2</v>
      </c>
      <c r="D100" s="51">
        <v>4642.8</v>
      </c>
      <c r="E100" s="57">
        <v>11.042999999999999</v>
      </c>
      <c r="F100" s="57"/>
    </row>
  </sheetData>
  <mergeCells count="1">
    <mergeCell ref="A1:L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00"/>
  <sheetViews>
    <sheetView workbookViewId="0">
      <selection activeCell="A18" sqref="A18:XFD18"/>
    </sheetView>
  </sheetViews>
  <sheetFormatPr defaultRowHeight="13.2" x14ac:dyDescent="0.25"/>
  <cols>
    <col min="1" max="1" width="9.77734375" customWidth="1"/>
    <col min="2" max="2" width="12.21875" customWidth="1"/>
    <col min="3" max="3" width="6.88671875" customWidth="1"/>
    <col min="4" max="4" width="6.6640625" customWidth="1"/>
    <col min="5" max="5" width="10.5546875" customWidth="1"/>
    <col min="6" max="6" width="8.5546875" customWidth="1"/>
    <col min="7" max="7" width="12.88671875" customWidth="1"/>
    <col min="8" max="8" width="76.88671875" customWidth="1"/>
  </cols>
  <sheetData>
    <row r="1" spans="1:8" ht="18.75" customHeight="1" x14ac:dyDescent="0.25">
      <c r="A1" s="193" t="s">
        <v>33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20</v>
      </c>
    </row>
    <row r="3" spans="1:8" ht="18.75" customHeight="1" x14ac:dyDescent="0.25">
      <c r="A3" s="6" t="s">
        <v>26</v>
      </c>
      <c r="B3" s="6" t="s">
        <v>27</v>
      </c>
      <c r="C3" s="65" t="s">
        <v>28</v>
      </c>
      <c r="D3" s="65" t="s">
        <v>29</v>
      </c>
      <c r="E3" s="65" t="s">
        <v>30</v>
      </c>
      <c r="F3" s="65"/>
      <c r="G3" s="28"/>
    </row>
    <row r="4" spans="1:8" ht="18.75" customHeight="1" x14ac:dyDescent="0.25">
      <c r="A4" s="15" t="s">
        <v>31</v>
      </c>
      <c r="B4" s="15" t="s">
        <v>18</v>
      </c>
      <c r="C4" s="66" t="s">
        <v>19</v>
      </c>
      <c r="D4" s="66" t="s">
        <v>19</v>
      </c>
      <c r="E4" s="66" t="s">
        <v>32</v>
      </c>
      <c r="F4" s="66"/>
      <c r="G4" s="28"/>
    </row>
    <row r="5" spans="1:8" ht="18.75" customHeight="1" x14ac:dyDescent="0.25">
      <c r="A5" s="30">
        <v>0</v>
      </c>
      <c r="B5" s="8">
        <v>1.0001999999999999E-3</v>
      </c>
      <c r="C5" s="63">
        <v>-0.04</v>
      </c>
      <c r="D5" s="63">
        <v>-0.02</v>
      </c>
      <c r="E5" s="61">
        <v>-1.4999999999999999E-4</v>
      </c>
      <c r="F5" s="61"/>
      <c r="G5" s="28"/>
    </row>
    <row r="6" spans="1:8" ht="18.75" customHeight="1" x14ac:dyDescent="0.25">
      <c r="A6" s="7">
        <v>5</v>
      </c>
      <c r="B6" s="8">
        <v>1.00007E-3</v>
      </c>
      <c r="C6" s="63">
        <v>21.02</v>
      </c>
      <c r="D6" s="63">
        <v>21.04</v>
      </c>
      <c r="E6" s="61">
        <v>7.6249999999999998E-2</v>
      </c>
      <c r="F6" s="61"/>
      <c r="G6" s="28"/>
    </row>
    <row r="7" spans="1:8" ht="18.75" customHeight="1" x14ac:dyDescent="0.25">
      <c r="A7" s="7">
        <v>10</v>
      </c>
      <c r="B7" s="8">
        <v>1.00034E-3</v>
      </c>
      <c r="C7" s="63">
        <v>42.02</v>
      </c>
      <c r="D7" s="63">
        <v>42.04</v>
      </c>
      <c r="E7" s="61">
        <v>0.15107999999999999</v>
      </c>
      <c r="F7" s="61"/>
      <c r="G7" s="28"/>
    </row>
    <row r="8" spans="1:8" ht="18.75" customHeight="1" x14ac:dyDescent="0.25">
      <c r="A8" s="7">
        <v>15</v>
      </c>
      <c r="B8" s="8">
        <v>1.0009400000000001E-3</v>
      </c>
      <c r="C8" s="63">
        <v>62.98</v>
      </c>
      <c r="D8" s="63">
        <v>63</v>
      </c>
      <c r="E8" s="61">
        <v>0.22445999999999999</v>
      </c>
      <c r="F8" s="61"/>
      <c r="G8" s="28"/>
    </row>
    <row r="9" spans="1:8" ht="18.75" customHeight="1" x14ac:dyDescent="0.25">
      <c r="A9" s="7">
        <v>20</v>
      </c>
      <c r="B9" s="8">
        <v>1.00183E-3</v>
      </c>
      <c r="C9" s="63">
        <v>83.91</v>
      </c>
      <c r="D9" s="63">
        <v>83.93</v>
      </c>
      <c r="E9" s="61">
        <v>0.29648000000000002</v>
      </c>
      <c r="F9" s="61"/>
      <c r="G9" s="28"/>
    </row>
    <row r="10" spans="1:8" ht="18.75" customHeight="1" x14ac:dyDescent="0.25">
      <c r="A10" s="7">
        <v>25</v>
      </c>
      <c r="B10" s="8">
        <v>1.003E-3</v>
      </c>
      <c r="C10" s="63">
        <v>104.82</v>
      </c>
      <c r="D10" s="63">
        <v>104.84</v>
      </c>
      <c r="E10" s="61">
        <v>0.36721999999999999</v>
      </c>
      <c r="F10" s="61"/>
      <c r="G10" s="28"/>
    </row>
    <row r="11" spans="1:8" ht="18.75" customHeight="1" x14ac:dyDescent="0.25">
      <c r="A11" s="7">
        <v>30</v>
      </c>
      <c r="B11" s="8">
        <v>1.0044100000000001E-3</v>
      </c>
      <c r="C11" s="63">
        <v>125.73</v>
      </c>
      <c r="D11" s="63">
        <v>125.75</v>
      </c>
      <c r="E11" s="61">
        <v>0.43675000000000003</v>
      </c>
      <c r="F11" s="61"/>
      <c r="G11" s="28"/>
    </row>
    <row r="12" spans="1:8" ht="18.75" customHeight="1" x14ac:dyDescent="0.25">
      <c r="A12" s="7">
        <v>35</v>
      </c>
      <c r="B12" s="8">
        <v>1.0060399999999999E-3</v>
      </c>
      <c r="C12" s="63">
        <v>146.63</v>
      </c>
      <c r="D12" s="63">
        <v>146.65</v>
      </c>
      <c r="E12" s="61">
        <v>0.50512999999999997</v>
      </c>
      <c r="F12" s="61"/>
      <c r="G12" s="28"/>
    </row>
    <row r="13" spans="1:8" ht="18.75" customHeight="1" x14ac:dyDescent="0.25">
      <c r="A13" s="7">
        <v>40</v>
      </c>
      <c r="B13" s="8">
        <v>1.0078800000000001E-3</v>
      </c>
      <c r="C13" s="63">
        <v>167.52</v>
      </c>
      <c r="D13" s="63">
        <v>167.54</v>
      </c>
      <c r="E13" s="61">
        <v>0.57240000000000002</v>
      </c>
      <c r="F13" s="61"/>
      <c r="G13" s="28"/>
    </row>
    <row r="14" spans="1:8" ht="18.75" customHeight="1" x14ac:dyDescent="0.25">
      <c r="A14" s="7">
        <v>45</v>
      </c>
      <c r="B14" s="8">
        <v>1.0099200000000001E-3</v>
      </c>
      <c r="C14" s="63">
        <v>188.42</v>
      </c>
      <c r="D14" s="63">
        <v>188.44</v>
      </c>
      <c r="E14" s="61">
        <v>0.63861000000000001</v>
      </c>
      <c r="F14" s="61"/>
      <c r="G14" s="28"/>
    </row>
    <row r="15" spans="1:8" ht="18.75" customHeight="1" x14ac:dyDescent="0.25">
      <c r="A15" s="7">
        <v>50</v>
      </c>
      <c r="B15" s="8">
        <v>1.0121500000000001E-3</v>
      </c>
      <c r="C15" s="63">
        <v>209.33</v>
      </c>
      <c r="D15" s="63">
        <v>209.35</v>
      </c>
      <c r="E15" s="61">
        <v>0.70381000000000005</v>
      </c>
      <c r="F15" s="61"/>
      <c r="G15" s="28"/>
    </row>
    <row r="16" spans="1:8" ht="18.75" customHeight="1" x14ac:dyDescent="0.25">
      <c r="A16" s="7">
        <v>55</v>
      </c>
      <c r="B16" s="8">
        <v>1.0145499999999999E-3</v>
      </c>
      <c r="C16" s="63">
        <v>230.24</v>
      </c>
      <c r="D16" s="63">
        <v>230.26</v>
      </c>
      <c r="E16" s="61">
        <v>0.76802000000000004</v>
      </c>
      <c r="F16" s="61"/>
      <c r="G16" s="28"/>
    </row>
    <row r="17" spans="1:7" ht="18.75" customHeight="1" x14ac:dyDescent="0.25">
      <c r="A17" s="7">
        <v>60</v>
      </c>
      <c r="B17" s="8">
        <v>1.01713E-3</v>
      </c>
      <c r="C17" s="63">
        <v>251.16</v>
      </c>
      <c r="D17" s="63">
        <v>251.18</v>
      </c>
      <c r="E17" s="61">
        <v>0.83128999999999997</v>
      </c>
      <c r="F17" s="61"/>
      <c r="G17" s="28"/>
    </row>
    <row r="18" spans="1:7" ht="18.75" customHeight="1" x14ac:dyDescent="0.25">
      <c r="A18" s="7">
        <v>65</v>
      </c>
      <c r="B18" s="19">
        <v>7.7648000000000001</v>
      </c>
      <c r="C18" s="60">
        <v>2463.3000000000002</v>
      </c>
      <c r="D18" s="60">
        <v>2618.6</v>
      </c>
      <c r="E18" s="59">
        <v>7.9359999999999999</v>
      </c>
      <c r="F18" s="59"/>
      <c r="G18" s="28"/>
    </row>
    <row r="19" spans="1:7" ht="18.75" customHeight="1" x14ac:dyDescent="0.25">
      <c r="A19" s="7">
        <v>70</v>
      </c>
      <c r="B19" s="19">
        <v>7.8826000000000001</v>
      </c>
      <c r="C19" s="60">
        <v>2470.6</v>
      </c>
      <c r="D19" s="60">
        <v>2628.3</v>
      </c>
      <c r="E19" s="59">
        <v>7.9645999999999999</v>
      </c>
      <c r="F19" s="59"/>
      <c r="G19" s="28"/>
    </row>
    <row r="20" spans="1:7" ht="18.75" customHeight="1" x14ac:dyDescent="0.25">
      <c r="A20" s="7">
        <v>75</v>
      </c>
      <c r="B20" s="19">
        <v>8.0001999999999995</v>
      </c>
      <c r="C20" s="60">
        <v>2478</v>
      </c>
      <c r="D20" s="60">
        <v>2638</v>
      </c>
      <c r="E20" s="59">
        <v>7.9927000000000001</v>
      </c>
      <c r="F20" s="59"/>
      <c r="G20" s="28"/>
    </row>
    <row r="21" spans="1:7" ht="18.75" customHeight="1" x14ac:dyDescent="0.25">
      <c r="A21" s="7">
        <v>80</v>
      </c>
      <c r="B21" s="19">
        <v>8.1175999999999995</v>
      </c>
      <c r="C21" s="60">
        <v>2485.3000000000002</v>
      </c>
      <c r="D21" s="60">
        <v>2647.7</v>
      </c>
      <c r="E21" s="59">
        <v>8.0202000000000009</v>
      </c>
      <c r="F21" s="59"/>
      <c r="G21" s="28"/>
    </row>
    <row r="22" spans="1:7" ht="18.75" customHeight="1" x14ac:dyDescent="0.25">
      <c r="A22" s="7">
        <v>85</v>
      </c>
      <c r="B22" s="19">
        <v>8.2347999999999999</v>
      </c>
      <c r="C22" s="60">
        <v>2492.6999999999998</v>
      </c>
      <c r="D22" s="60">
        <v>2657.4</v>
      </c>
      <c r="E22" s="59">
        <v>8.0473999999999997</v>
      </c>
      <c r="F22" s="59"/>
      <c r="G22" s="28"/>
    </row>
    <row r="23" spans="1:7" ht="18.75" customHeight="1" x14ac:dyDescent="0.25">
      <c r="A23" s="7">
        <v>90</v>
      </c>
      <c r="B23" s="19">
        <v>8.3518000000000008</v>
      </c>
      <c r="C23" s="60">
        <v>2500</v>
      </c>
      <c r="D23" s="60">
        <v>2667</v>
      </c>
      <c r="E23" s="59">
        <v>8.0740999999999996</v>
      </c>
      <c r="F23" s="59"/>
      <c r="G23" s="28"/>
    </row>
    <row r="24" spans="1:7" ht="18.75" customHeight="1" x14ac:dyDescent="0.25">
      <c r="A24" s="7">
        <v>95</v>
      </c>
      <c r="B24" s="19">
        <v>8.4687000000000001</v>
      </c>
      <c r="C24" s="60">
        <v>2507.1999999999998</v>
      </c>
      <c r="D24" s="60">
        <v>2676.6</v>
      </c>
      <c r="E24" s="59">
        <v>8.1004000000000005</v>
      </c>
      <c r="F24" s="59"/>
      <c r="G24" s="28"/>
    </row>
    <row r="25" spans="1:7" ht="18.75" customHeight="1" x14ac:dyDescent="0.25">
      <c r="A25" s="7">
        <v>100</v>
      </c>
      <c r="B25" s="19">
        <v>8.5854999999999997</v>
      </c>
      <c r="C25" s="60">
        <v>2514.5</v>
      </c>
      <c r="D25" s="60">
        <v>2686.2</v>
      </c>
      <c r="E25" s="59">
        <v>8.1263000000000005</v>
      </c>
      <c r="F25" s="59"/>
      <c r="G25" s="28"/>
    </row>
    <row r="26" spans="1:7" ht="18.75" customHeight="1" x14ac:dyDescent="0.25">
      <c r="A26" s="7">
        <v>105</v>
      </c>
      <c r="B26" s="19">
        <v>8.7021999999999995</v>
      </c>
      <c r="C26" s="60">
        <v>2521.8000000000002</v>
      </c>
      <c r="D26" s="60">
        <v>2695.8</v>
      </c>
      <c r="E26" s="59">
        <v>8.1518999999999995</v>
      </c>
      <c r="F26" s="59"/>
      <c r="G26" s="28"/>
    </row>
    <row r="27" spans="1:7" ht="18.75" customHeight="1" x14ac:dyDescent="0.25">
      <c r="A27" s="7">
        <v>110</v>
      </c>
      <c r="B27" s="19">
        <v>8.8186999999999998</v>
      </c>
      <c r="C27" s="60">
        <v>2529</v>
      </c>
      <c r="D27" s="60">
        <v>2705.4</v>
      </c>
      <c r="E27" s="59">
        <v>8.1770999999999994</v>
      </c>
      <c r="F27" s="59"/>
      <c r="G27" s="28"/>
    </row>
    <row r="28" spans="1:7" ht="18.75" customHeight="1" x14ac:dyDescent="0.25">
      <c r="A28" s="7">
        <v>115</v>
      </c>
      <c r="B28" s="19">
        <v>8.9352</v>
      </c>
      <c r="C28" s="60">
        <v>2536.3000000000002</v>
      </c>
      <c r="D28" s="60">
        <v>2715</v>
      </c>
      <c r="E28" s="59">
        <v>8.202</v>
      </c>
      <c r="F28" s="59"/>
      <c r="G28" s="28"/>
    </row>
    <row r="29" spans="1:7" ht="18.75" customHeight="1" x14ac:dyDescent="0.25">
      <c r="A29" s="7">
        <v>120</v>
      </c>
      <c r="B29" s="19">
        <v>9.0516000000000005</v>
      </c>
      <c r="C29" s="60">
        <v>2543.6</v>
      </c>
      <c r="D29" s="60">
        <v>2724.6</v>
      </c>
      <c r="E29" s="59">
        <v>8.2265999999999995</v>
      </c>
      <c r="F29" s="59"/>
      <c r="G29" s="28"/>
    </row>
    <row r="30" spans="1:7" ht="18.75" customHeight="1" x14ac:dyDescent="0.25">
      <c r="A30" s="7">
        <v>125</v>
      </c>
      <c r="B30" s="19">
        <v>9.1678999999999995</v>
      </c>
      <c r="C30" s="60">
        <v>2550.8000000000002</v>
      </c>
      <c r="D30" s="60">
        <v>2734.2</v>
      </c>
      <c r="E30" s="59">
        <v>8.2508999999999997</v>
      </c>
      <c r="F30" s="59"/>
      <c r="G30" s="28"/>
    </row>
    <row r="31" spans="1:7" ht="18.75" customHeight="1" x14ac:dyDescent="0.25">
      <c r="A31" s="7">
        <v>130</v>
      </c>
      <c r="B31" s="19">
        <v>9.2841000000000005</v>
      </c>
      <c r="C31" s="60">
        <v>2558.1999999999998</v>
      </c>
      <c r="D31" s="60">
        <v>2743.9</v>
      </c>
      <c r="E31" s="59">
        <v>8.2749000000000006</v>
      </c>
      <c r="F31" s="59"/>
      <c r="G31" s="28"/>
    </row>
    <row r="32" spans="1:7" ht="18.75" customHeight="1" x14ac:dyDescent="0.25">
      <c r="A32" s="7">
        <v>135</v>
      </c>
      <c r="B32" s="19">
        <v>9.4002999999999997</v>
      </c>
      <c r="C32" s="60">
        <v>2565.5</v>
      </c>
      <c r="D32" s="60">
        <v>2753.5</v>
      </c>
      <c r="E32" s="59">
        <v>8.2986000000000004</v>
      </c>
      <c r="F32" s="59"/>
      <c r="G32" s="28"/>
    </row>
    <row r="33" spans="1:7" ht="18.75" customHeight="1" x14ac:dyDescent="0.25">
      <c r="A33" s="7">
        <v>140</v>
      </c>
      <c r="B33" s="19">
        <v>9.5164000000000009</v>
      </c>
      <c r="C33" s="60">
        <v>2572.8000000000002</v>
      </c>
      <c r="D33" s="60">
        <v>2763.1</v>
      </c>
      <c r="E33" s="59">
        <v>8.3219999999999992</v>
      </c>
      <c r="F33" s="59"/>
      <c r="G33" s="28"/>
    </row>
    <row r="34" spans="1:7" ht="18.75" customHeight="1" x14ac:dyDescent="0.25">
      <c r="A34" s="7">
        <v>145</v>
      </c>
      <c r="B34" s="19">
        <v>9.6325000000000003</v>
      </c>
      <c r="C34" s="60">
        <v>2580.1</v>
      </c>
      <c r="D34" s="60">
        <v>2772.7</v>
      </c>
      <c r="E34" s="59">
        <v>8.3451000000000004</v>
      </c>
      <c r="F34" s="59"/>
      <c r="G34" s="28"/>
    </row>
    <row r="35" spans="1:7" ht="18.75" customHeight="1" x14ac:dyDescent="0.25">
      <c r="A35" s="7">
        <v>150</v>
      </c>
      <c r="B35" s="19">
        <v>9.7485999999999997</v>
      </c>
      <c r="C35" s="60">
        <v>2587.3000000000002</v>
      </c>
      <c r="D35" s="60">
        <v>2782.3</v>
      </c>
      <c r="E35" s="59">
        <v>8.3680000000000003</v>
      </c>
      <c r="F35" s="59"/>
      <c r="G35" s="28"/>
    </row>
    <row r="36" spans="1:7" ht="18.75" customHeight="1" x14ac:dyDescent="0.25">
      <c r="A36" s="7">
        <v>155</v>
      </c>
      <c r="B36" s="19">
        <v>9.8645999999999994</v>
      </c>
      <c r="C36" s="60">
        <v>2594.6999999999998</v>
      </c>
      <c r="D36" s="60">
        <v>2792</v>
      </c>
      <c r="E36" s="59">
        <v>8.3907000000000007</v>
      </c>
      <c r="F36" s="59"/>
      <c r="G36" s="28"/>
    </row>
    <row r="37" spans="1:7" ht="18.75" customHeight="1" x14ac:dyDescent="0.25">
      <c r="A37" s="7">
        <v>160</v>
      </c>
      <c r="B37" s="19">
        <v>9.9804999999999993</v>
      </c>
      <c r="C37" s="60">
        <v>2602</v>
      </c>
      <c r="D37" s="60">
        <v>2801.6</v>
      </c>
      <c r="E37" s="59">
        <v>8.4131</v>
      </c>
      <c r="F37" s="59"/>
      <c r="G37" s="28"/>
    </row>
    <row r="38" spans="1:7" ht="18.75" customHeight="1" x14ac:dyDescent="0.25">
      <c r="A38" s="7">
        <v>165</v>
      </c>
      <c r="B38" s="9">
        <v>10.096</v>
      </c>
      <c r="C38" s="60">
        <v>2609.4</v>
      </c>
      <c r="D38" s="60">
        <v>2811.3</v>
      </c>
      <c r="E38" s="59">
        <v>8.4352</v>
      </c>
      <c r="F38" s="59"/>
      <c r="G38" s="28"/>
    </row>
    <row r="39" spans="1:7" ht="18.75" customHeight="1" x14ac:dyDescent="0.25">
      <c r="A39" s="7">
        <v>170</v>
      </c>
      <c r="B39" s="9">
        <v>10.212</v>
      </c>
      <c r="C39" s="60">
        <v>2616.6999999999998</v>
      </c>
      <c r="D39" s="60">
        <v>2820.9</v>
      </c>
      <c r="E39" s="59">
        <v>8.4572000000000003</v>
      </c>
      <c r="F39" s="59"/>
      <c r="G39" s="28"/>
    </row>
    <row r="40" spans="1:7" ht="18.75" customHeight="1" x14ac:dyDescent="0.25">
      <c r="A40" s="7">
        <v>175</v>
      </c>
      <c r="B40" s="9">
        <v>10.327999999999999</v>
      </c>
      <c r="C40" s="60">
        <v>2624</v>
      </c>
      <c r="D40" s="60">
        <v>2830.6</v>
      </c>
      <c r="E40" s="59">
        <v>8.4788999999999994</v>
      </c>
      <c r="F40" s="59"/>
      <c r="G40" s="28"/>
    </row>
    <row r="41" spans="1:7" ht="18.75" customHeight="1" x14ac:dyDescent="0.25">
      <c r="A41" s="7">
        <v>180</v>
      </c>
      <c r="B41" s="9">
        <v>10.444000000000001</v>
      </c>
      <c r="C41" s="60">
        <v>2631.4</v>
      </c>
      <c r="D41" s="60">
        <v>2840.3</v>
      </c>
      <c r="E41" s="59">
        <v>8.5004000000000008</v>
      </c>
      <c r="F41" s="59"/>
      <c r="G41" s="28"/>
    </row>
    <row r="42" spans="1:7" ht="18.75" customHeight="1" x14ac:dyDescent="0.25">
      <c r="A42" s="7">
        <v>185</v>
      </c>
      <c r="B42" s="9">
        <v>10.56</v>
      </c>
      <c r="C42" s="60">
        <v>2638.8</v>
      </c>
      <c r="D42" s="60">
        <v>2850</v>
      </c>
      <c r="E42" s="59">
        <v>8.5215999999999994</v>
      </c>
      <c r="F42" s="59"/>
      <c r="G42" s="28"/>
    </row>
    <row r="43" spans="1:7" ht="18.75" customHeight="1" x14ac:dyDescent="0.25">
      <c r="A43" s="7">
        <v>190</v>
      </c>
      <c r="B43" s="9">
        <v>10.676</v>
      </c>
      <c r="C43" s="60">
        <v>2646.2</v>
      </c>
      <c r="D43" s="60">
        <v>2859.7</v>
      </c>
      <c r="E43" s="59">
        <v>8.5427</v>
      </c>
      <c r="F43" s="59"/>
      <c r="G43" s="28"/>
    </row>
    <row r="44" spans="1:7" ht="18.75" customHeight="1" x14ac:dyDescent="0.25">
      <c r="A44" s="7">
        <v>195</v>
      </c>
      <c r="B44" s="9">
        <v>10.791</v>
      </c>
      <c r="C44" s="60">
        <v>2653.6</v>
      </c>
      <c r="D44" s="60">
        <v>2869.4</v>
      </c>
      <c r="E44" s="59">
        <v>8.5635999999999992</v>
      </c>
      <c r="F44" s="59"/>
      <c r="G44" s="28"/>
    </row>
    <row r="45" spans="1:7" ht="18.75" customHeight="1" x14ac:dyDescent="0.25">
      <c r="A45" s="7">
        <v>200</v>
      </c>
      <c r="B45" s="9">
        <v>10.907</v>
      </c>
      <c r="C45" s="60">
        <v>2661</v>
      </c>
      <c r="D45" s="60">
        <v>2879.1</v>
      </c>
      <c r="E45" s="59">
        <v>8.5843000000000007</v>
      </c>
      <c r="F45" s="59"/>
      <c r="G45" s="28"/>
    </row>
    <row r="46" spans="1:7" ht="18.75" customHeight="1" x14ac:dyDescent="0.25">
      <c r="A46" s="7">
        <v>210</v>
      </c>
      <c r="B46" s="9">
        <v>11.138999999999999</v>
      </c>
      <c r="C46" s="60">
        <v>2675.8</v>
      </c>
      <c r="D46" s="60">
        <v>2898.6</v>
      </c>
      <c r="E46" s="59">
        <v>8.625</v>
      </c>
      <c r="F46" s="59"/>
      <c r="G46" s="28"/>
    </row>
    <row r="47" spans="1:7" ht="18.75" customHeight="1" x14ac:dyDescent="0.25">
      <c r="A47" s="7">
        <v>220</v>
      </c>
      <c r="B47" s="9">
        <v>11.37</v>
      </c>
      <c r="C47" s="60">
        <v>2690.8</v>
      </c>
      <c r="D47" s="60">
        <v>2918.2</v>
      </c>
      <c r="E47" s="59">
        <v>8.6651000000000007</v>
      </c>
      <c r="F47" s="59"/>
      <c r="G47" s="28"/>
    </row>
    <row r="48" spans="1:7" ht="18.75" customHeight="1" x14ac:dyDescent="0.25">
      <c r="A48" s="7">
        <v>230</v>
      </c>
      <c r="B48" s="9">
        <v>11.601000000000001</v>
      </c>
      <c r="C48" s="60">
        <v>2705.8</v>
      </c>
      <c r="D48" s="60">
        <v>2937.8</v>
      </c>
      <c r="E48" s="59">
        <v>8.7043999999999997</v>
      </c>
      <c r="F48" s="59"/>
      <c r="G48" s="28"/>
    </row>
    <row r="49" spans="1:7" ht="18.75" customHeight="1" x14ac:dyDescent="0.25">
      <c r="A49" s="7">
        <v>240</v>
      </c>
      <c r="B49" s="9">
        <v>11.833</v>
      </c>
      <c r="C49" s="60">
        <v>2720.7</v>
      </c>
      <c r="D49" s="60">
        <v>2957.4</v>
      </c>
      <c r="E49" s="59">
        <v>8.7431000000000001</v>
      </c>
      <c r="F49" s="59"/>
      <c r="G49" s="28"/>
    </row>
    <row r="50" spans="1:7" ht="18.75" customHeight="1" x14ac:dyDescent="0.25">
      <c r="A50" s="7">
        <v>250</v>
      </c>
      <c r="B50" s="9">
        <v>12.064</v>
      </c>
      <c r="C50" s="60">
        <v>2735.8</v>
      </c>
      <c r="D50" s="60">
        <v>2977.1</v>
      </c>
      <c r="E50" s="59">
        <v>8.7811000000000003</v>
      </c>
      <c r="F50" s="59"/>
      <c r="G50" s="28"/>
    </row>
    <row r="51" spans="1:7" ht="18.75" customHeight="1" x14ac:dyDescent="0.25">
      <c r="A51" s="7">
        <v>260</v>
      </c>
      <c r="B51" s="9">
        <v>12.295</v>
      </c>
      <c r="C51" s="60">
        <v>2751</v>
      </c>
      <c r="D51" s="60">
        <v>2996.9</v>
      </c>
      <c r="E51" s="59">
        <v>8.8185000000000002</v>
      </c>
      <c r="F51" s="59"/>
      <c r="G51" s="28"/>
    </row>
    <row r="52" spans="1:7" ht="18.75" customHeight="1" x14ac:dyDescent="0.25">
      <c r="A52" s="7">
        <v>270</v>
      </c>
      <c r="B52" s="9">
        <v>12.526</v>
      </c>
      <c r="C52" s="60">
        <v>2766.2</v>
      </c>
      <c r="D52" s="60">
        <v>3016.7</v>
      </c>
      <c r="E52" s="59">
        <v>8.8552999999999997</v>
      </c>
      <c r="F52" s="59"/>
      <c r="G52" s="28"/>
    </row>
    <row r="53" spans="1:7" ht="18.75" customHeight="1" x14ac:dyDescent="0.25">
      <c r="A53" s="7">
        <v>280</v>
      </c>
      <c r="B53" s="9">
        <v>12.757</v>
      </c>
      <c r="C53" s="60">
        <v>2781.5</v>
      </c>
      <c r="D53" s="60">
        <v>3036.6</v>
      </c>
      <c r="E53" s="59">
        <v>8.8916000000000004</v>
      </c>
      <c r="F53" s="59"/>
      <c r="G53" s="28"/>
    </row>
    <row r="54" spans="1:7" ht="18.75" customHeight="1" x14ac:dyDescent="0.25">
      <c r="A54" s="7">
        <v>290</v>
      </c>
      <c r="B54" s="9">
        <v>12.989000000000001</v>
      </c>
      <c r="C54" s="60">
        <v>2796.7</v>
      </c>
      <c r="D54" s="60">
        <v>3056.5</v>
      </c>
      <c r="E54" s="59">
        <v>8.9273000000000007</v>
      </c>
      <c r="F54" s="59"/>
      <c r="G54" s="28"/>
    </row>
    <row r="55" spans="1:7" ht="18.75" customHeight="1" x14ac:dyDescent="0.25">
      <c r="A55" s="7">
        <v>300</v>
      </c>
      <c r="B55" s="9">
        <v>13.22</v>
      </c>
      <c r="C55" s="60">
        <v>2812.1</v>
      </c>
      <c r="D55" s="60">
        <v>3076.5</v>
      </c>
      <c r="E55" s="59">
        <v>8.9625000000000004</v>
      </c>
      <c r="F55" s="59"/>
      <c r="G55" s="28"/>
    </row>
    <row r="56" spans="1:7" ht="18.75" customHeight="1" x14ac:dyDescent="0.25">
      <c r="A56" s="7">
        <v>310</v>
      </c>
      <c r="B56" s="9">
        <v>13.451000000000001</v>
      </c>
      <c r="C56" s="60">
        <v>2827.5</v>
      </c>
      <c r="D56" s="60">
        <v>3096.5</v>
      </c>
      <c r="E56" s="59">
        <v>8.9971999999999994</v>
      </c>
      <c r="F56" s="59"/>
      <c r="G56" s="28"/>
    </row>
    <row r="57" spans="1:7" ht="18.75" customHeight="1" x14ac:dyDescent="0.25">
      <c r="A57" s="7">
        <v>320</v>
      </c>
      <c r="B57" s="9">
        <v>13.682</v>
      </c>
      <c r="C57" s="60">
        <v>2843.1</v>
      </c>
      <c r="D57" s="60">
        <v>3116.7</v>
      </c>
      <c r="E57" s="59">
        <v>9.0313999999999997</v>
      </c>
      <c r="F57" s="59"/>
      <c r="G57" s="28"/>
    </row>
    <row r="58" spans="1:7" ht="18.75" customHeight="1" x14ac:dyDescent="0.25">
      <c r="A58" s="7">
        <v>330</v>
      </c>
      <c r="B58" s="9">
        <v>13.913</v>
      </c>
      <c r="C58" s="60">
        <v>2858.5</v>
      </c>
      <c r="D58" s="60">
        <v>3136.8</v>
      </c>
      <c r="E58" s="59">
        <v>9.0650999999999993</v>
      </c>
      <c r="F58" s="59"/>
      <c r="G58" s="28"/>
    </row>
    <row r="59" spans="1:7" ht="18.75" customHeight="1" x14ac:dyDescent="0.25">
      <c r="A59" s="7">
        <v>340</v>
      </c>
      <c r="B59" s="9">
        <v>14.144</v>
      </c>
      <c r="C59" s="60">
        <v>2874.2</v>
      </c>
      <c r="D59" s="60">
        <v>3157.1</v>
      </c>
      <c r="E59" s="59">
        <v>9.0983000000000001</v>
      </c>
      <c r="F59" s="59"/>
      <c r="G59" s="28"/>
    </row>
    <row r="60" spans="1:7" ht="18.75" customHeight="1" x14ac:dyDescent="0.25">
      <c r="A60" s="7">
        <v>350</v>
      </c>
      <c r="B60" s="9">
        <v>14.375</v>
      </c>
      <c r="C60" s="60">
        <v>2889.9</v>
      </c>
      <c r="D60" s="60">
        <v>3177.4</v>
      </c>
      <c r="E60" s="59">
        <v>9.1311999999999998</v>
      </c>
      <c r="F60" s="59"/>
      <c r="G60" s="28"/>
    </row>
    <row r="61" spans="1:7" ht="18.75" customHeight="1" x14ac:dyDescent="0.25">
      <c r="A61" s="7">
        <v>360</v>
      </c>
      <c r="B61" s="9">
        <v>14.606</v>
      </c>
      <c r="C61" s="60">
        <v>2905.6</v>
      </c>
      <c r="D61" s="60">
        <v>3197.7</v>
      </c>
      <c r="E61" s="59">
        <v>9.1636000000000006</v>
      </c>
      <c r="F61" s="59"/>
      <c r="G61" s="28"/>
    </row>
    <row r="62" spans="1:7" ht="18.75" customHeight="1" x14ac:dyDescent="0.25">
      <c r="A62" s="7">
        <v>370</v>
      </c>
      <c r="B62" s="9">
        <v>14.837</v>
      </c>
      <c r="C62" s="60">
        <v>2921.4</v>
      </c>
      <c r="D62" s="60">
        <v>3218.1</v>
      </c>
      <c r="E62" s="59">
        <v>9.1956000000000007</v>
      </c>
      <c r="F62" s="59"/>
      <c r="G62" s="28"/>
    </row>
    <row r="63" spans="1:7" ht="18.75" customHeight="1" x14ac:dyDescent="0.25">
      <c r="A63" s="7">
        <v>380</v>
      </c>
      <c r="B63" s="9">
        <v>15.068</v>
      </c>
      <c r="C63" s="60">
        <v>2937.2</v>
      </c>
      <c r="D63" s="60">
        <v>3238.6</v>
      </c>
      <c r="E63" s="59">
        <v>9.2271999999999998</v>
      </c>
      <c r="F63" s="59"/>
      <c r="G63" s="28"/>
    </row>
    <row r="64" spans="1:7" ht="18.75" customHeight="1" x14ac:dyDescent="0.25">
      <c r="A64" s="7">
        <v>390</v>
      </c>
      <c r="B64" s="9">
        <v>15.298999999999999</v>
      </c>
      <c r="C64" s="60">
        <v>2953.2</v>
      </c>
      <c r="D64" s="60">
        <v>3259.2</v>
      </c>
      <c r="E64" s="59">
        <v>9.2584</v>
      </c>
      <c r="F64" s="59"/>
      <c r="G64" s="28"/>
    </row>
    <row r="65" spans="1:7" ht="18.75" customHeight="1" x14ac:dyDescent="0.25">
      <c r="A65" s="7">
        <v>400</v>
      </c>
      <c r="B65" s="9">
        <v>15.53</v>
      </c>
      <c r="C65" s="60">
        <v>2969.2</v>
      </c>
      <c r="D65" s="60">
        <v>3279.8</v>
      </c>
      <c r="E65" s="59">
        <v>9.2893000000000008</v>
      </c>
      <c r="F65" s="59"/>
      <c r="G65" s="28"/>
    </row>
    <row r="66" spans="1:7" ht="18.75" customHeight="1" x14ac:dyDescent="0.25">
      <c r="A66" s="7">
        <v>410</v>
      </c>
      <c r="B66" s="9">
        <v>15.76</v>
      </c>
      <c r="C66" s="60">
        <v>2985.3</v>
      </c>
      <c r="D66" s="60">
        <v>3300.5</v>
      </c>
      <c r="E66" s="59">
        <v>9.3198000000000008</v>
      </c>
      <c r="F66" s="59"/>
      <c r="G66" s="28"/>
    </row>
    <row r="67" spans="1:7" ht="18.75" customHeight="1" x14ac:dyDescent="0.25">
      <c r="A67" s="7">
        <v>420</v>
      </c>
      <c r="B67" s="9">
        <v>15.991</v>
      </c>
      <c r="C67" s="60">
        <v>3001.4</v>
      </c>
      <c r="D67" s="60">
        <v>3321.2</v>
      </c>
      <c r="E67" s="59">
        <v>9.3498999999999999</v>
      </c>
      <c r="F67" s="59"/>
      <c r="G67" s="28"/>
    </row>
    <row r="68" spans="1:7" ht="18.75" customHeight="1" x14ac:dyDescent="0.25">
      <c r="A68" s="7">
        <v>430</v>
      </c>
      <c r="B68" s="9">
        <v>16.222000000000001</v>
      </c>
      <c r="C68" s="60">
        <v>3017.6</v>
      </c>
      <c r="D68" s="60">
        <v>3342</v>
      </c>
      <c r="E68" s="59">
        <v>9.3796999999999997</v>
      </c>
      <c r="F68" s="59"/>
      <c r="G68" s="28"/>
    </row>
    <row r="69" spans="1:7" ht="18.75" customHeight="1" x14ac:dyDescent="0.25">
      <c r="A69" s="7">
        <v>440</v>
      </c>
      <c r="B69" s="9">
        <v>16.452999999999999</v>
      </c>
      <c r="C69" s="60">
        <v>3033.8</v>
      </c>
      <c r="D69" s="60">
        <v>3362.9</v>
      </c>
      <c r="E69" s="59">
        <v>9.4092000000000002</v>
      </c>
      <c r="F69" s="59"/>
      <c r="G69" s="28"/>
    </row>
    <row r="70" spans="1:7" ht="18.75" customHeight="1" x14ac:dyDescent="0.25">
      <c r="A70" s="7">
        <v>450</v>
      </c>
      <c r="B70" s="9">
        <v>16.684000000000001</v>
      </c>
      <c r="C70" s="60">
        <v>3050.2</v>
      </c>
      <c r="D70" s="60">
        <v>3383.9</v>
      </c>
      <c r="E70" s="59">
        <v>9.4383999999999997</v>
      </c>
      <c r="F70" s="59"/>
      <c r="G70" s="28"/>
    </row>
    <row r="71" spans="1:7" ht="18.75" customHeight="1" x14ac:dyDescent="0.25">
      <c r="A71" s="7">
        <v>460</v>
      </c>
      <c r="B71" s="9">
        <v>16.914999999999999</v>
      </c>
      <c r="C71" s="60">
        <v>3066.6</v>
      </c>
      <c r="D71" s="60">
        <v>3404.9</v>
      </c>
      <c r="E71" s="59">
        <v>9.4672000000000001</v>
      </c>
      <c r="F71" s="59"/>
      <c r="G71" s="28"/>
    </row>
    <row r="72" spans="1:7" ht="18.75" customHeight="1" x14ac:dyDescent="0.25">
      <c r="A72" s="7">
        <v>470</v>
      </c>
      <c r="B72" s="9">
        <v>17.146000000000001</v>
      </c>
      <c r="C72" s="60">
        <v>3083</v>
      </c>
      <c r="D72" s="60">
        <v>3425.9</v>
      </c>
      <c r="E72" s="59">
        <v>9.4957999999999991</v>
      </c>
      <c r="F72" s="59"/>
      <c r="G72" s="28"/>
    </row>
    <row r="73" spans="1:7" ht="18.75" customHeight="1" x14ac:dyDescent="0.25">
      <c r="A73" s="7">
        <v>480</v>
      </c>
      <c r="B73" s="9">
        <v>17.376999999999999</v>
      </c>
      <c r="C73" s="60">
        <v>3099.6</v>
      </c>
      <c r="D73" s="60">
        <v>3447.1</v>
      </c>
      <c r="E73" s="59">
        <v>9.5241000000000007</v>
      </c>
      <c r="F73" s="59"/>
      <c r="G73" s="28"/>
    </row>
    <row r="74" spans="1:7" ht="18.75" customHeight="1" x14ac:dyDescent="0.25">
      <c r="A74" s="7">
        <v>490</v>
      </c>
      <c r="B74" s="9">
        <v>17.608000000000001</v>
      </c>
      <c r="C74" s="60">
        <v>3116.1</v>
      </c>
      <c r="D74" s="60">
        <v>3468.3</v>
      </c>
      <c r="E74" s="59">
        <v>9.5519999999999996</v>
      </c>
      <c r="F74" s="59"/>
      <c r="G74" s="28"/>
    </row>
    <row r="75" spans="1:7" ht="18.75" customHeight="1" x14ac:dyDescent="0.25">
      <c r="A75" s="7">
        <v>500</v>
      </c>
      <c r="B75" s="9">
        <v>17.838000000000001</v>
      </c>
      <c r="C75" s="60">
        <v>3132.8</v>
      </c>
      <c r="D75" s="60">
        <v>3489.6</v>
      </c>
      <c r="E75" s="59">
        <v>9.5798000000000005</v>
      </c>
      <c r="F75" s="59"/>
      <c r="G75" s="28"/>
    </row>
    <row r="76" spans="1:7" ht="18.75" customHeight="1" x14ac:dyDescent="0.25">
      <c r="A76" s="7">
        <v>520</v>
      </c>
      <c r="B76" s="9">
        <v>18.3</v>
      </c>
      <c r="C76" s="60">
        <v>3166.4</v>
      </c>
      <c r="D76" s="60">
        <v>3532.4</v>
      </c>
      <c r="E76" s="59">
        <v>9.6343999999999994</v>
      </c>
      <c r="F76" s="59"/>
      <c r="G76" s="28"/>
    </row>
    <row r="77" spans="1:7" ht="18.75" customHeight="1" x14ac:dyDescent="0.25">
      <c r="A77" s="7">
        <v>540</v>
      </c>
      <c r="B77" s="9">
        <v>18.762</v>
      </c>
      <c r="C77" s="60">
        <v>3200.2</v>
      </c>
      <c r="D77" s="60">
        <v>3575.4</v>
      </c>
      <c r="E77" s="59">
        <v>9.6880000000000006</v>
      </c>
      <c r="F77" s="59"/>
      <c r="G77" s="28"/>
    </row>
    <row r="78" spans="1:7" ht="18.75" customHeight="1" x14ac:dyDescent="0.25">
      <c r="A78" s="7">
        <v>560</v>
      </c>
      <c r="B78" s="9">
        <v>19.224</v>
      </c>
      <c r="C78" s="60">
        <v>3234.2</v>
      </c>
      <c r="D78" s="60">
        <v>3618.7</v>
      </c>
      <c r="E78" s="59">
        <v>9.7406000000000006</v>
      </c>
      <c r="F78" s="59"/>
      <c r="G78" s="28"/>
    </row>
    <row r="79" spans="1:7" ht="18.75" customHeight="1" x14ac:dyDescent="0.25">
      <c r="A79" s="7">
        <v>580</v>
      </c>
      <c r="B79" s="9">
        <v>19.684999999999999</v>
      </c>
      <c r="C79" s="60">
        <v>3268.6</v>
      </c>
      <c r="D79" s="60">
        <v>3662.3</v>
      </c>
      <c r="E79" s="59">
        <v>9.7922999999999991</v>
      </c>
      <c r="F79" s="59"/>
      <c r="G79" s="28"/>
    </row>
    <row r="80" spans="1:7" ht="18.75" customHeight="1" x14ac:dyDescent="0.25">
      <c r="A80" s="7">
        <v>600</v>
      </c>
      <c r="B80" s="9">
        <v>20.146999999999998</v>
      </c>
      <c r="C80" s="60">
        <v>3303.3</v>
      </c>
      <c r="D80" s="60">
        <v>3706.2</v>
      </c>
      <c r="E80" s="59">
        <v>9.8430999999999997</v>
      </c>
      <c r="F80" s="59"/>
      <c r="G80" s="28"/>
    </row>
    <row r="81" spans="1:7" ht="18.75" customHeight="1" x14ac:dyDescent="0.25">
      <c r="A81" s="7">
        <v>620</v>
      </c>
      <c r="B81" s="9">
        <v>20.609000000000002</v>
      </c>
      <c r="C81" s="60">
        <v>3338.2</v>
      </c>
      <c r="D81" s="60">
        <v>3750.4</v>
      </c>
      <c r="E81" s="59">
        <v>9.8932000000000002</v>
      </c>
      <c r="F81" s="59"/>
      <c r="G81" s="28"/>
    </row>
    <row r="82" spans="1:7" ht="18.75" customHeight="1" x14ac:dyDescent="0.25">
      <c r="A82" s="7">
        <v>640</v>
      </c>
      <c r="B82" s="9">
        <v>21.07</v>
      </c>
      <c r="C82" s="60">
        <v>3373.4</v>
      </c>
      <c r="D82" s="60">
        <v>3794.8</v>
      </c>
      <c r="E82" s="59">
        <v>9.9423999999999992</v>
      </c>
      <c r="F82" s="59"/>
      <c r="G82" s="28"/>
    </row>
    <row r="83" spans="1:7" ht="18.75" customHeight="1" x14ac:dyDescent="0.25">
      <c r="A83" s="7">
        <v>660</v>
      </c>
      <c r="B83" s="9">
        <v>21.532</v>
      </c>
      <c r="C83" s="60">
        <v>3408.9</v>
      </c>
      <c r="D83" s="60">
        <v>3839.5</v>
      </c>
      <c r="E83" s="59">
        <v>9.9908000000000001</v>
      </c>
      <c r="F83" s="59"/>
      <c r="G83" s="28"/>
    </row>
    <row r="84" spans="1:7" ht="18.75" customHeight="1" x14ac:dyDescent="0.25">
      <c r="A84" s="7">
        <v>680</v>
      </c>
      <c r="B84" s="9">
        <v>21.992999999999999</v>
      </c>
      <c r="C84" s="60">
        <v>3444.6</v>
      </c>
      <c r="D84" s="60">
        <v>3884.5</v>
      </c>
      <c r="E84" s="46">
        <v>10.039</v>
      </c>
      <c r="F84" s="46"/>
      <c r="G84" s="28"/>
    </row>
    <row r="85" spans="1:7" ht="18.75" customHeight="1" x14ac:dyDescent="0.25">
      <c r="A85" s="7">
        <v>700</v>
      </c>
      <c r="B85" s="9">
        <v>22.454999999999998</v>
      </c>
      <c r="C85" s="60">
        <v>3480.7</v>
      </c>
      <c r="D85" s="60">
        <v>3929.8</v>
      </c>
      <c r="E85" s="46">
        <v>10.086</v>
      </c>
      <c r="F85" s="46"/>
      <c r="G85" s="28"/>
    </row>
    <row r="86" spans="1:7" ht="18.75" customHeight="1" x14ac:dyDescent="0.25">
      <c r="A86" s="7">
        <v>720</v>
      </c>
      <c r="B86" s="9">
        <v>22.917000000000002</v>
      </c>
      <c r="C86" s="60">
        <v>3517.1</v>
      </c>
      <c r="D86" s="60">
        <v>3975.4</v>
      </c>
      <c r="E86" s="46">
        <v>10.132</v>
      </c>
      <c r="F86" s="46"/>
      <c r="G86" s="28"/>
    </row>
    <row r="87" spans="1:7" ht="18.75" customHeight="1" x14ac:dyDescent="0.25">
      <c r="A87" s="7">
        <v>740</v>
      </c>
      <c r="B87" s="9">
        <v>23.378</v>
      </c>
      <c r="C87" s="60">
        <v>3553.7</v>
      </c>
      <c r="D87" s="60">
        <v>4021.3</v>
      </c>
      <c r="E87" s="46">
        <v>10.178000000000001</v>
      </c>
      <c r="F87" s="46"/>
      <c r="G87" s="28"/>
    </row>
    <row r="88" spans="1:7" ht="18.75" customHeight="1" x14ac:dyDescent="0.25">
      <c r="A88" s="7">
        <v>760</v>
      </c>
      <c r="B88" s="9">
        <v>23.84</v>
      </c>
      <c r="C88" s="60">
        <v>3590.6</v>
      </c>
      <c r="D88" s="60">
        <v>4067.4</v>
      </c>
      <c r="E88" s="46">
        <v>10.223000000000001</v>
      </c>
      <c r="F88" s="46"/>
      <c r="G88" s="28"/>
    </row>
    <row r="89" spans="1:7" ht="18.75" customHeight="1" x14ac:dyDescent="0.25">
      <c r="A89" s="7">
        <v>780</v>
      </c>
      <c r="B89" s="9">
        <v>24.300999999999998</v>
      </c>
      <c r="C89" s="60">
        <v>3627.9</v>
      </c>
      <c r="D89" s="60">
        <v>4113.8999999999996</v>
      </c>
      <c r="E89" s="46">
        <v>10.266999999999999</v>
      </c>
      <c r="F89" s="46"/>
      <c r="G89" s="28"/>
    </row>
    <row r="90" spans="1:7" ht="18.75" customHeight="1" x14ac:dyDescent="0.25">
      <c r="A90" s="7">
        <v>800</v>
      </c>
      <c r="B90" s="9">
        <v>24.763000000000002</v>
      </c>
      <c r="C90" s="60">
        <v>3665.3</v>
      </c>
      <c r="D90" s="60">
        <v>4160.6000000000004</v>
      </c>
      <c r="E90" s="46">
        <v>10.311</v>
      </c>
      <c r="F90" s="46"/>
      <c r="G90" s="28"/>
    </row>
    <row r="91" spans="1:7" ht="18.75" customHeight="1" x14ac:dyDescent="0.25">
      <c r="A91" s="7">
        <v>820</v>
      </c>
      <c r="B91" s="9">
        <v>25.225000000000001</v>
      </c>
      <c r="C91" s="60">
        <v>3703.1</v>
      </c>
      <c r="D91" s="60">
        <v>4207.6000000000004</v>
      </c>
      <c r="E91" s="46">
        <v>10.355</v>
      </c>
      <c r="F91" s="46"/>
      <c r="G91" s="28"/>
    </row>
    <row r="92" spans="1:7" ht="18.75" customHeight="1" x14ac:dyDescent="0.25">
      <c r="A92" s="7">
        <v>840</v>
      </c>
      <c r="B92" s="9">
        <v>25.686</v>
      </c>
      <c r="C92" s="60">
        <v>3741.1</v>
      </c>
      <c r="D92" s="60">
        <v>4254.8</v>
      </c>
      <c r="E92" s="46">
        <v>10.397</v>
      </c>
      <c r="F92" s="46"/>
      <c r="G92" s="28"/>
    </row>
    <row r="93" spans="1:7" ht="18.75" customHeight="1" x14ac:dyDescent="0.25">
      <c r="A93" s="7">
        <v>860</v>
      </c>
      <c r="B93" s="9">
        <v>26.148</v>
      </c>
      <c r="C93" s="60">
        <v>3779.4</v>
      </c>
      <c r="D93" s="60">
        <v>4302.3999999999996</v>
      </c>
      <c r="E93" s="46">
        <v>10.44</v>
      </c>
      <c r="F93" s="46"/>
      <c r="G93" s="28"/>
    </row>
    <row r="94" spans="1:7" ht="18.75" customHeight="1" x14ac:dyDescent="0.25">
      <c r="A94" s="7">
        <v>880</v>
      </c>
      <c r="B94" s="9">
        <v>26.609000000000002</v>
      </c>
      <c r="C94" s="60">
        <v>3818</v>
      </c>
      <c r="D94" s="60">
        <v>4350.2</v>
      </c>
      <c r="E94" s="46">
        <v>10.481999999999999</v>
      </c>
      <c r="F94" s="46"/>
      <c r="G94" s="28"/>
    </row>
    <row r="95" spans="1:7" ht="18.75" customHeight="1" x14ac:dyDescent="0.25">
      <c r="A95" s="7">
        <v>900</v>
      </c>
      <c r="B95" s="9">
        <v>27.071000000000002</v>
      </c>
      <c r="C95" s="60">
        <v>3856.9</v>
      </c>
      <c r="D95" s="60">
        <v>4398.3</v>
      </c>
      <c r="E95" s="46">
        <v>10.523</v>
      </c>
      <c r="F95" s="46"/>
      <c r="G95" s="28"/>
    </row>
    <row r="96" spans="1:7" ht="18.75" customHeight="1" x14ac:dyDescent="0.25">
      <c r="A96" s="7">
        <v>920</v>
      </c>
      <c r="B96" s="9">
        <v>27.532</v>
      </c>
      <c r="C96" s="60">
        <v>3896.1</v>
      </c>
      <c r="D96" s="60">
        <v>4446.7</v>
      </c>
      <c r="E96" s="46">
        <v>10.564</v>
      </c>
      <c r="F96" s="46"/>
      <c r="G96" s="28"/>
    </row>
    <row r="97" spans="1:7" ht="18.75" customHeight="1" x14ac:dyDescent="0.25">
      <c r="A97" s="7">
        <v>940</v>
      </c>
      <c r="B97" s="9">
        <v>27.994</v>
      </c>
      <c r="C97" s="60">
        <v>3935.4</v>
      </c>
      <c r="D97" s="60">
        <v>4495.3</v>
      </c>
      <c r="E97" s="46">
        <v>10.603999999999999</v>
      </c>
      <c r="F97" s="46"/>
      <c r="G97" s="28"/>
    </row>
    <row r="98" spans="1:7" ht="18.75" customHeight="1" x14ac:dyDescent="0.25">
      <c r="A98" s="7">
        <v>960</v>
      </c>
      <c r="B98" s="9">
        <v>28.456</v>
      </c>
      <c r="C98" s="60">
        <v>3975.1</v>
      </c>
      <c r="D98" s="60">
        <v>4544.2</v>
      </c>
      <c r="E98" s="46">
        <v>10.644</v>
      </c>
      <c r="F98" s="46"/>
      <c r="G98" s="28"/>
    </row>
    <row r="99" spans="1:7" ht="18.75" customHeight="1" x14ac:dyDescent="0.25">
      <c r="A99" s="7">
        <v>980</v>
      </c>
      <c r="B99" s="9">
        <v>28.917000000000002</v>
      </c>
      <c r="C99" s="60">
        <v>4015.1</v>
      </c>
      <c r="D99" s="60">
        <v>4593.3999999999996</v>
      </c>
      <c r="E99" s="46">
        <v>10.683999999999999</v>
      </c>
      <c r="F99" s="46"/>
      <c r="G99" s="28"/>
    </row>
    <row r="100" spans="1:7" ht="13.8" x14ac:dyDescent="0.25">
      <c r="A100" s="7">
        <v>1000</v>
      </c>
      <c r="B100" s="9">
        <v>29.396999999999998</v>
      </c>
      <c r="C100" s="60">
        <v>4055.2</v>
      </c>
      <c r="D100" s="60">
        <v>4642.8</v>
      </c>
      <c r="E100" s="46">
        <v>10.723000000000001</v>
      </c>
      <c r="F100" s="46"/>
      <c r="G100" s="28"/>
    </row>
  </sheetData>
  <mergeCells count="1">
    <mergeCell ref="A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00"/>
  <sheetViews>
    <sheetView workbookViewId="0">
      <selection activeCell="A19" sqref="A19:XFD19"/>
    </sheetView>
  </sheetViews>
  <sheetFormatPr defaultRowHeight="13.2" x14ac:dyDescent="0.25"/>
  <cols>
    <col min="1" max="1" width="6.21875" customWidth="1"/>
    <col min="2" max="2" width="19.66406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93" t="s">
        <v>34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30</v>
      </c>
      <c r="F2" s="65"/>
      <c r="G2" s="28"/>
    </row>
    <row r="3" spans="1:8" ht="18.75" customHeight="1" x14ac:dyDescent="0.25">
      <c r="A3" s="39" t="s">
        <v>26</v>
      </c>
      <c r="B3" s="65" t="s">
        <v>27</v>
      </c>
      <c r="C3" s="65" t="s">
        <v>28</v>
      </c>
      <c r="D3" s="65" t="s">
        <v>29</v>
      </c>
      <c r="E3" s="65" t="s">
        <v>30</v>
      </c>
      <c r="F3" s="66"/>
      <c r="G3" s="28"/>
    </row>
    <row r="4" spans="1:8" ht="18.75" customHeight="1" x14ac:dyDescent="0.25">
      <c r="A4" s="36" t="s">
        <v>31</v>
      </c>
      <c r="B4" s="64" t="s">
        <v>18</v>
      </c>
      <c r="C4" s="66" t="s">
        <v>19</v>
      </c>
      <c r="D4" s="66" t="s">
        <v>19</v>
      </c>
      <c r="E4" s="66" t="s">
        <v>32</v>
      </c>
      <c r="F4" s="61"/>
      <c r="G4" s="28"/>
    </row>
    <row r="5" spans="1:8" ht="18.75" customHeight="1" x14ac:dyDescent="0.25">
      <c r="A5" s="38">
        <v>0</v>
      </c>
      <c r="B5" s="62">
        <v>1.00019E-3</v>
      </c>
      <c r="C5" s="63">
        <v>-0.04</v>
      </c>
      <c r="D5" s="63">
        <v>-0.01</v>
      </c>
      <c r="E5" s="61">
        <v>-1.4999999999999999E-4</v>
      </c>
      <c r="F5" s="61"/>
      <c r="G5" s="28"/>
    </row>
    <row r="6" spans="1:8" ht="18.75" customHeight="1" x14ac:dyDescent="0.25">
      <c r="A6" s="7">
        <v>5</v>
      </c>
      <c r="B6" s="62">
        <v>1.00007E-3</v>
      </c>
      <c r="C6" s="63">
        <v>21.02</v>
      </c>
      <c r="D6" s="63">
        <v>21.05</v>
      </c>
      <c r="E6" s="61">
        <v>7.6249999999999998E-2</v>
      </c>
      <c r="F6" s="61"/>
      <c r="G6" s="28"/>
    </row>
    <row r="7" spans="1:8" ht="18.75" customHeight="1" x14ac:dyDescent="0.25">
      <c r="A7" s="7">
        <v>10</v>
      </c>
      <c r="B7" s="62">
        <v>1.00033E-3</v>
      </c>
      <c r="C7" s="63">
        <v>42.02</v>
      </c>
      <c r="D7" s="63">
        <v>42.05</v>
      </c>
      <c r="E7" s="61">
        <v>0.15107999999999999</v>
      </c>
      <c r="F7" s="61"/>
      <c r="G7" s="28"/>
    </row>
    <row r="8" spans="1:8" ht="18.75" customHeight="1" x14ac:dyDescent="0.25">
      <c r="A8" s="7">
        <v>15</v>
      </c>
      <c r="B8" s="62">
        <v>1.0009299999999999E-3</v>
      </c>
      <c r="C8" s="63">
        <v>62.98</v>
      </c>
      <c r="D8" s="63">
        <v>63.01</v>
      </c>
      <c r="E8" s="61">
        <v>0.22445999999999999</v>
      </c>
      <c r="F8" s="61"/>
      <c r="G8" s="28"/>
    </row>
    <row r="9" spans="1:8" ht="18.75" customHeight="1" x14ac:dyDescent="0.25">
      <c r="A9" s="7">
        <v>20</v>
      </c>
      <c r="B9" s="62">
        <v>1.00183E-3</v>
      </c>
      <c r="C9" s="63">
        <v>83.91</v>
      </c>
      <c r="D9" s="63">
        <v>83.94</v>
      </c>
      <c r="E9" s="61">
        <v>0.29648000000000002</v>
      </c>
      <c r="F9" s="61"/>
      <c r="G9" s="28"/>
    </row>
    <row r="10" spans="1:8" ht="18.75" customHeight="1" x14ac:dyDescent="0.25">
      <c r="A10" s="7">
        <v>25</v>
      </c>
      <c r="B10" s="62">
        <v>1.00299E-3</v>
      </c>
      <c r="C10" s="63">
        <v>104.82</v>
      </c>
      <c r="D10" s="63">
        <v>104.85</v>
      </c>
      <c r="E10" s="61">
        <v>0.36721999999999999</v>
      </c>
      <c r="F10" s="61"/>
      <c r="G10" s="28"/>
    </row>
    <row r="11" spans="1:8" ht="18.75" customHeight="1" x14ac:dyDescent="0.25">
      <c r="A11" s="7">
        <v>30</v>
      </c>
      <c r="B11" s="62">
        <v>1.0043999999999999E-3</v>
      </c>
      <c r="C11" s="63">
        <v>125.73</v>
      </c>
      <c r="D11" s="63">
        <v>125.76</v>
      </c>
      <c r="E11" s="61">
        <v>0.43675000000000003</v>
      </c>
      <c r="F11" s="61"/>
      <c r="G11" s="28"/>
    </row>
    <row r="12" spans="1:8" ht="18.75" customHeight="1" x14ac:dyDescent="0.25">
      <c r="A12" s="7">
        <v>35</v>
      </c>
      <c r="B12" s="62">
        <v>1.00603E-3</v>
      </c>
      <c r="C12" s="63">
        <v>146.63</v>
      </c>
      <c r="D12" s="63">
        <v>146.66</v>
      </c>
      <c r="E12" s="61">
        <v>0.50512000000000001</v>
      </c>
      <c r="F12" s="61"/>
      <c r="G12" s="28"/>
    </row>
    <row r="13" spans="1:8" ht="18.75" customHeight="1" x14ac:dyDescent="0.25">
      <c r="A13" s="7">
        <v>40</v>
      </c>
      <c r="B13" s="62">
        <v>1.0078800000000001E-3</v>
      </c>
      <c r="C13" s="63">
        <v>167.52</v>
      </c>
      <c r="D13" s="63">
        <v>167.55</v>
      </c>
      <c r="E13" s="61">
        <v>0.57238999999999995</v>
      </c>
      <c r="F13" s="61"/>
      <c r="G13" s="28"/>
    </row>
    <row r="14" spans="1:8" ht="18.75" customHeight="1" x14ac:dyDescent="0.25">
      <c r="A14" s="7">
        <v>45</v>
      </c>
      <c r="B14" s="62">
        <v>1.0099200000000001E-3</v>
      </c>
      <c r="C14" s="63">
        <v>188.42</v>
      </c>
      <c r="D14" s="63">
        <v>188.45</v>
      </c>
      <c r="E14" s="61">
        <v>0.63861000000000001</v>
      </c>
      <c r="F14" s="61"/>
      <c r="G14" s="28"/>
    </row>
    <row r="15" spans="1:8" ht="18.75" customHeight="1" x14ac:dyDescent="0.25">
      <c r="A15" s="7">
        <v>50</v>
      </c>
      <c r="B15" s="62">
        <v>1.0121399999999999E-3</v>
      </c>
      <c r="C15" s="63">
        <v>209.33</v>
      </c>
      <c r="D15" s="63">
        <v>209.36</v>
      </c>
      <c r="E15" s="61">
        <v>0.70379999999999998</v>
      </c>
      <c r="F15" s="61"/>
      <c r="G15" s="28"/>
    </row>
    <row r="16" spans="1:8" ht="18.75" customHeight="1" x14ac:dyDescent="0.25">
      <c r="A16" s="7">
        <v>55</v>
      </c>
      <c r="B16" s="62">
        <v>1.0145499999999999E-3</v>
      </c>
      <c r="C16" s="63">
        <v>230.24</v>
      </c>
      <c r="D16" s="63">
        <v>230.27</v>
      </c>
      <c r="E16" s="61">
        <v>0.76802000000000004</v>
      </c>
      <c r="F16" s="61"/>
      <c r="G16" s="28"/>
    </row>
    <row r="17" spans="1:7" ht="18.75" customHeight="1" x14ac:dyDescent="0.25">
      <c r="A17" s="7">
        <v>60</v>
      </c>
      <c r="B17" s="62">
        <v>1.01712E-3</v>
      </c>
      <c r="C17" s="63">
        <v>251.16</v>
      </c>
      <c r="D17" s="63">
        <v>251.19</v>
      </c>
      <c r="E17" s="61">
        <v>0.83128999999999997</v>
      </c>
      <c r="F17" s="61"/>
      <c r="G17" s="28"/>
    </row>
    <row r="18" spans="1:7" ht="18.75" customHeight="1" x14ac:dyDescent="0.25">
      <c r="A18" s="7">
        <v>65</v>
      </c>
      <c r="B18" s="62">
        <v>1.01987E-3</v>
      </c>
      <c r="C18" s="63">
        <v>272.08999999999997</v>
      </c>
      <c r="D18" s="63">
        <v>272.12</v>
      </c>
      <c r="E18" s="61">
        <v>0.89365000000000006</v>
      </c>
      <c r="F18" s="61"/>
      <c r="G18" s="28"/>
    </row>
    <row r="19" spans="1:7" ht="18.75" customHeight="1" x14ac:dyDescent="0.25">
      <c r="A19" s="7">
        <v>70</v>
      </c>
      <c r="B19" s="59">
        <v>5.2427999999999999</v>
      </c>
      <c r="C19" s="60">
        <v>2469</v>
      </c>
      <c r="D19" s="60">
        <v>2626.3</v>
      </c>
      <c r="E19" s="59">
        <v>7.7727000000000004</v>
      </c>
      <c r="F19" s="59"/>
      <c r="G19" s="28"/>
    </row>
    <row r="20" spans="1:7" ht="18.75" customHeight="1" x14ac:dyDescent="0.25">
      <c r="A20" s="7">
        <v>75</v>
      </c>
      <c r="B20" s="59">
        <v>5.3220000000000001</v>
      </c>
      <c r="C20" s="60">
        <v>2476.5</v>
      </c>
      <c r="D20" s="60">
        <v>2636.2</v>
      </c>
      <c r="E20" s="59">
        <v>7.8013000000000003</v>
      </c>
      <c r="F20" s="59"/>
      <c r="G20" s="28"/>
    </row>
    <row r="21" spans="1:7" ht="18.75" customHeight="1" x14ac:dyDescent="0.25">
      <c r="A21" s="7">
        <v>80</v>
      </c>
      <c r="B21" s="59">
        <v>5.4009999999999998</v>
      </c>
      <c r="C21" s="60">
        <v>2484</v>
      </c>
      <c r="D21" s="60">
        <v>2646</v>
      </c>
      <c r="E21" s="59">
        <v>7.8292000000000002</v>
      </c>
      <c r="F21" s="59"/>
      <c r="G21" s="28"/>
    </row>
    <row r="22" spans="1:7" ht="18.75" customHeight="1" x14ac:dyDescent="0.25">
      <c r="A22" s="7">
        <v>85</v>
      </c>
      <c r="B22" s="59">
        <v>5.4797000000000002</v>
      </c>
      <c r="C22" s="60">
        <v>2491.4</v>
      </c>
      <c r="D22" s="60">
        <v>2655.8</v>
      </c>
      <c r="E22" s="59">
        <v>7.8567</v>
      </c>
      <c r="F22" s="59"/>
      <c r="G22" s="28"/>
    </row>
    <row r="23" spans="1:7" ht="18.75" customHeight="1" x14ac:dyDescent="0.25">
      <c r="A23" s="7">
        <v>90</v>
      </c>
      <c r="B23" s="59">
        <v>5.5583</v>
      </c>
      <c r="C23" s="60">
        <v>2498.8000000000002</v>
      </c>
      <c r="D23" s="60">
        <v>2665.5</v>
      </c>
      <c r="E23" s="59">
        <v>7.8837000000000002</v>
      </c>
      <c r="F23" s="59"/>
      <c r="G23" s="28"/>
    </row>
    <row r="24" spans="1:7" ht="18.75" customHeight="1" x14ac:dyDescent="0.25">
      <c r="A24" s="7">
        <v>95</v>
      </c>
      <c r="B24" s="59">
        <v>5.6368</v>
      </c>
      <c r="C24" s="60">
        <v>2506.1999999999998</v>
      </c>
      <c r="D24" s="60">
        <v>2675.3</v>
      </c>
      <c r="E24" s="59">
        <v>7.9103000000000003</v>
      </c>
      <c r="F24" s="59"/>
      <c r="G24" s="28"/>
    </row>
    <row r="25" spans="1:7" ht="18.75" customHeight="1" x14ac:dyDescent="0.25">
      <c r="A25" s="7">
        <v>100</v>
      </c>
      <c r="B25" s="59">
        <v>5.7150999999999996</v>
      </c>
      <c r="C25" s="60">
        <v>2513.5</v>
      </c>
      <c r="D25" s="60">
        <v>2685</v>
      </c>
      <c r="E25" s="59">
        <v>7.9364999999999997</v>
      </c>
      <c r="F25" s="59"/>
      <c r="G25" s="28"/>
    </row>
    <row r="26" spans="1:7" ht="18.75" customHeight="1" x14ac:dyDescent="0.25">
      <c r="A26" s="7">
        <v>105</v>
      </c>
      <c r="B26" s="59">
        <v>5.7933000000000003</v>
      </c>
      <c r="C26" s="60">
        <v>2520.9</v>
      </c>
      <c r="D26" s="60">
        <v>2694.7</v>
      </c>
      <c r="E26" s="59">
        <v>7.9622999999999999</v>
      </c>
      <c r="F26" s="59"/>
      <c r="G26" s="28"/>
    </row>
    <row r="27" spans="1:7" ht="18.75" customHeight="1" x14ac:dyDescent="0.25">
      <c r="A27" s="7">
        <v>110</v>
      </c>
      <c r="B27" s="59">
        <v>5.8714000000000004</v>
      </c>
      <c r="C27" s="60">
        <v>2528.1999999999998</v>
      </c>
      <c r="D27" s="60">
        <v>2704.3</v>
      </c>
      <c r="E27" s="59">
        <v>7.9877000000000002</v>
      </c>
      <c r="F27" s="59"/>
      <c r="G27" s="28"/>
    </row>
    <row r="28" spans="1:7" ht="18.75" customHeight="1" x14ac:dyDescent="0.25">
      <c r="A28" s="7">
        <v>115</v>
      </c>
      <c r="B28" s="59">
        <v>5.9494999999999996</v>
      </c>
      <c r="C28" s="60">
        <v>2535.5</v>
      </c>
      <c r="D28" s="60">
        <v>2714</v>
      </c>
      <c r="E28" s="59">
        <v>8.0128000000000004</v>
      </c>
      <c r="F28" s="59"/>
      <c r="G28" s="28"/>
    </row>
    <row r="29" spans="1:7" ht="18.75" customHeight="1" x14ac:dyDescent="0.25">
      <c r="A29" s="7">
        <v>120</v>
      </c>
      <c r="B29" s="59">
        <v>6.0274000000000001</v>
      </c>
      <c r="C29" s="60">
        <v>2542.9</v>
      </c>
      <c r="D29" s="60">
        <v>2723.7</v>
      </c>
      <c r="E29" s="59">
        <v>8.0374999999999996</v>
      </c>
      <c r="F29" s="59"/>
      <c r="G29" s="28"/>
    </row>
    <row r="30" spans="1:7" ht="18.75" customHeight="1" x14ac:dyDescent="0.25">
      <c r="A30" s="7">
        <v>125</v>
      </c>
      <c r="B30" s="59">
        <v>6.1052999999999997</v>
      </c>
      <c r="C30" s="60">
        <v>2550.1</v>
      </c>
      <c r="D30" s="60">
        <v>2733.3</v>
      </c>
      <c r="E30" s="59">
        <v>8.0619999999999994</v>
      </c>
      <c r="F30" s="59"/>
      <c r="G30" s="28"/>
    </row>
    <row r="31" spans="1:7" ht="18.75" customHeight="1" x14ac:dyDescent="0.25">
      <c r="A31" s="7">
        <v>130</v>
      </c>
      <c r="B31" s="59">
        <v>6.1829999999999998</v>
      </c>
      <c r="C31" s="60">
        <v>2557.5</v>
      </c>
      <c r="D31" s="60">
        <v>2743</v>
      </c>
      <c r="E31" s="59">
        <v>8.0861000000000001</v>
      </c>
      <c r="F31" s="59"/>
      <c r="G31" s="28"/>
    </row>
    <row r="32" spans="1:7" ht="18.75" customHeight="1" x14ac:dyDescent="0.25">
      <c r="A32" s="7">
        <v>135</v>
      </c>
      <c r="B32" s="59">
        <v>6.2607999999999997</v>
      </c>
      <c r="C32" s="60">
        <v>2564.8000000000002</v>
      </c>
      <c r="D32" s="60">
        <v>2752.6</v>
      </c>
      <c r="E32" s="59">
        <v>8.1098999999999997</v>
      </c>
      <c r="F32" s="59"/>
      <c r="G32" s="28"/>
    </row>
    <row r="33" spans="1:7" ht="18.75" customHeight="1" x14ac:dyDescent="0.25">
      <c r="A33" s="7">
        <v>140</v>
      </c>
      <c r="B33" s="59">
        <v>6.3384999999999998</v>
      </c>
      <c r="C33" s="60">
        <v>2572.1</v>
      </c>
      <c r="D33" s="60">
        <v>2762.3</v>
      </c>
      <c r="E33" s="59">
        <v>8.1334</v>
      </c>
      <c r="F33" s="59"/>
      <c r="G33" s="28"/>
    </row>
    <row r="34" spans="1:7" ht="18.75" customHeight="1" x14ac:dyDescent="0.25">
      <c r="A34" s="7">
        <v>145</v>
      </c>
      <c r="B34" s="59">
        <v>6.4161000000000001</v>
      </c>
      <c r="C34" s="60">
        <v>2579.5</v>
      </c>
      <c r="D34" s="60">
        <v>2772</v>
      </c>
      <c r="E34" s="59">
        <v>8.1565999999999992</v>
      </c>
      <c r="F34" s="59"/>
      <c r="G34" s="28"/>
    </row>
    <row r="35" spans="1:7" ht="18.75" customHeight="1" x14ac:dyDescent="0.25">
      <c r="A35" s="7">
        <v>150</v>
      </c>
      <c r="B35" s="59">
        <v>6.4936999999999996</v>
      </c>
      <c r="C35" s="60">
        <v>2586.8000000000002</v>
      </c>
      <c r="D35" s="60">
        <v>2781.6</v>
      </c>
      <c r="E35" s="59">
        <v>8.1796000000000006</v>
      </c>
      <c r="F35" s="59"/>
      <c r="G35" s="28"/>
    </row>
    <row r="36" spans="1:7" ht="18.75" customHeight="1" x14ac:dyDescent="0.25">
      <c r="A36" s="7">
        <v>155</v>
      </c>
      <c r="B36" s="59">
        <v>6.5712000000000002</v>
      </c>
      <c r="C36" s="60">
        <v>2594.1999999999998</v>
      </c>
      <c r="D36" s="60">
        <v>2791.3</v>
      </c>
      <c r="E36" s="59">
        <v>8.2022999999999993</v>
      </c>
      <c r="F36" s="59"/>
      <c r="G36" s="28"/>
    </row>
    <row r="37" spans="1:7" ht="18.75" customHeight="1" x14ac:dyDescent="0.25">
      <c r="A37" s="7">
        <v>160</v>
      </c>
      <c r="B37" s="59">
        <v>6.6486999999999998</v>
      </c>
      <c r="C37" s="60">
        <v>2601.5</v>
      </c>
      <c r="D37" s="60">
        <v>2801</v>
      </c>
      <c r="E37" s="59">
        <v>8.2248000000000001</v>
      </c>
      <c r="F37" s="59"/>
      <c r="G37" s="28"/>
    </row>
    <row r="38" spans="1:7" ht="18.75" customHeight="1" x14ac:dyDescent="0.25">
      <c r="A38" s="7">
        <v>165</v>
      </c>
      <c r="B38" s="59">
        <v>6.7262000000000004</v>
      </c>
      <c r="C38" s="60">
        <v>2608.9</v>
      </c>
      <c r="D38" s="60">
        <v>2810.7</v>
      </c>
      <c r="E38" s="59">
        <v>8.2469999999999999</v>
      </c>
      <c r="F38" s="59"/>
      <c r="G38" s="28"/>
    </row>
    <row r="39" spans="1:7" ht="18.75" customHeight="1" x14ac:dyDescent="0.25">
      <c r="A39" s="7">
        <v>170</v>
      </c>
      <c r="B39" s="59">
        <v>6.8036000000000003</v>
      </c>
      <c r="C39" s="60">
        <v>2616.3000000000002</v>
      </c>
      <c r="D39" s="60">
        <v>2820.4</v>
      </c>
      <c r="E39" s="59">
        <v>8.2690000000000001</v>
      </c>
      <c r="F39" s="59"/>
      <c r="G39" s="28"/>
    </row>
    <row r="40" spans="1:7" ht="18.75" customHeight="1" x14ac:dyDescent="0.25">
      <c r="A40" s="7">
        <v>175</v>
      </c>
      <c r="B40" s="59">
        <v>6.8811</v>
      </c>
      <c r="C40" s="60">
        <v>2623.7</v>
      </c>
      <c r="D40" s="60">
        <v>2830.1</v>
      </c>
      <c r="E40" s="59">
        <v>8.2908000000000008</v>
      </c>
      <c r="F40" s="59"/>
      <c r="G40" s="28"/>
    </row>
    <row r="41" spans="1:7" ht="18.75" customHeight="1" x14ac:dyDescent="0.25">
      <c r="A41" s="7">
        <v>180</v>
      </c>
      <c r="B41" s="59">
        <v>6.9584000000000001</v>
      </c>
      <c r="C41" s="60">
        <v>2631</v>
      </c>
      <c r="D41" s="60">
        <v>2839.8</v>
      </c>
      <c r="E41" s="59">
        <v>8.3123000000000005</v>
      </c>
      <c r="F41" s="59"/>
      <c r="G41" s="28"/>
    </row>
    <row r="42" spans="1:7" ht="18.75" customHeight="1" x14ac:dyDescent="0.25">
      <c r="A42" s="7">
        <v>185</v>
      </c>
      <c r="B42" s="59">
        <v>7.0358000000000001</v>
      </c>
      <c r="C42" s="60">
        <v>2638.4</v>
      </c>
      <c r="D42" s="60">
        <v>2849.5</v>
      </c>
      <c r="E42" s="59">
        <v>8.3337000000000003</v>
      </c>
      <c r="F42" s="59"/>
      <c r="G42" s="28"/>
    </row>
    <row r="43" spans="1:7" ht="18.75" customHeight="1" x14ac:dyDescent="0.25">
      <c r="A43" s="7">
        <v>190</v>
      </c>
      <c r="B43" s="59">
        <v>7.1131000000000002</v>
      </c>
      <c r="C43" s="60">
        <v>2645.8</v>
      </c>
      <c r="D43" s="60">
        <v>2859.2</v>
      </c>
      <c r="E43" s="59">
        <v>8.3547999999999991</v>
      </c>
      <c r="F43" s="59"/>
      <c r="G43" s="28"/>
    </row>
    <row r="44" spans="1:7" ht="18.75" customHeight="1" x14ac:dyDescent="0.25">
      <c r="A44" s="7">
        <v>195</v>
      </c>
      <c r="B44" s="59">
        <v>7.1905000000000001</v>
      </c>
      <c r="C44" s="60">
        <v>2653.2</v>
      </c>
      <c r="D44" s="60">
        <v>2868.9</v>
      </c>
      <c r="E44" s="59">
        <v>8.3757000000000001</v>
      </c>
      <c r="F44" s="59"/>
      <c r="G44" s="28"/>
    </row>
    <row r="45" spans="1:7" ht="18.75" customHeight="1" x14ac:dyDescent="0.25">
      <c r="A45" s="7">
        <v>200</v>
      </c>
      <c r="B45" s="59">
        <v>7.2676999999999996</v>
      </c>
      <c r="C45" s="60">
        <v>2660.7</v>
      </c>
      <c r="D45" s="60">
        <v>2878.7</v>
      </c>
      <c r="E45" s="59">
        <v>8.3963999999999999</v>
      </c>
      <c r="F45" s="59"/>
      <c r="G45" s="28"/>
    </row>
    <row r="46" spans="1:7" ht="18.75" customHeight="1" x14ac:dyDescent="0.25">
      <c r="A46" s="7">
        <v>210</v>
      </c>
      <c r="B46" s="59">
        <v>7.4222999999999999</v>
      </c>
      <c r="C46" s="60">
        <v>2675.5</v>
      </c>
      <c r="D46" s="60">
        <v>2898.2</v>
      </c>
      <c r="E46" s="59">
        <v>8.4372000000000007</v>
      </c>
      <c r="F46" s="59"/>
      <c r="G46" s="28"/>
    </row>
    <row r="47" spans="1:7" ht="18.75" customHeight="1" x14ac:dyDescent="0.25">
      <c r="A47" s="7">
        <v>220</v>
      </c>
      <c r="B47" s="59">
        <v>7.5768000000000004</v>
      </c>
      <c r="C47" s="60">
        <v>2690.5</v>
      </c>
      <c r="D47" s="60">
        <v>2917.8</v>
      </c>
      <c r="E47" s="59">
        <v>8.4772999999999996</v>
      </c>
      <c r="F47" s="59"/>
      <c r="G47" s="28"/>
    </row>
    <row r="48" spans="1:7" ht="18.75" customHeight="1" x14ac:dyDescent="0.25">
      <c r="A48" s="7">
        <v>230</v>
      </c>
      <c r="B48" s="59">
        <v>7.7312000000000003</v>
      </c>
      <c r="C48" s="60">
        <v>2705.5</v>
      </c>
      <c r="D48" s="60">
        <v>2937.4</v>
      </c>
      <c r="E48" s="59">
        <v>8.5167000000000002</v>
      </c>
      <c r="F48" s="59"/>
      <c r="G48" s="28"/>
    </row>
    <row r="49" spans="1:7" ht="18.75" customHeight="1" x14ac:dyDescent="0.25">
      <c r="A49" s="7">
        <v>240</v>
      </c>
      <c r="B49" s="59">
        <v>7.8855000000000004</v>
      </c>
      <c r="C49" s="60">
        <v>2720.5</v>
      </c>
      <c r="D49" s="60">
        <v>2957.1</v>
      </c>
      <c r="E49" s="59">
        <v>8.5554000000000006</v>
      </c>
      <c r="F49" s="59"/>
      <c r="G49" s="28"/>
    </row>
    <row r="50" spans="1:7" ht="18.75" customHeight="1" x14ac:dyDescent="0.25">
      <c r="A50" s="7">
        <v>250</v>
      </c>
      <c r="B50" s="59">
        <v>8.0398999999999994</v>
      </c>
      <c r="C50" s="60">
        <v>2735.6</v>
      </c>
      <c r="D50" s="60">
        <v>2976.8</v>
      </c>
      <c r="E50" s="59">
        <v>8.5935000000000006</v>
      </c>
      <c r="F50" s="59"/>
      <c r="G50" s="28"/>
    </row>
    <row r="51" spans="1:7" ht="18.75" customHeight="1" x14ac:dyDescent="0.25">
      <c r="A51" s="7">
        <v>260</v>
      </c>
      <c r="B51" s="59">
        <v>8.1941000000000006</v>
      </c>
      <c r="C51" s="60">
        <v>2750.8</v>
      </c>
      <c r="D51" s="60">
        <v>2996.6</v>
      </c>
      <c r="E51" s="59">
        <v>8.6309000000000005</v>
      </c>
      <c r="F51" s="59"/>
      <c r="G51" s="28"/>
    </row>
    <row r="52" spans="1:7" ht="18.75" customHeight="1" x14ac:dyDescent="0.25">
      <c r="A52" s="7">
        <v>270</v>
      </c>
      <c r="B52" s="59">
        <v>8.3483999999999998</v>
      </c>
      <c r="C52" s="60">
        <v>2765.9</v>
      </c>
      <c r="D52" s="60">
        <v>3016.4</v>
      </c>
      <c r="E52" s="59">
        <v>8.6677999999999997</v>
      </c>
      <c r="F52" s="59"/>
      <c r="G52" s="28"/>
    </row>
    <row r="53" spans="1:7" ht="18.75" customHeight="1" x14ac:dyDescent="0.25">
      <c r="A53" s="7">
        <v>280</v>
      </c>
      <c r="B53" s="59">
        <v>8.5025999999999993</v>
      </c>
      <c r="C53" s="60">
        <v>2781.2</v>
      </c>
      <c r="D53" s="60">
        <v>3036.3</v>
      </c>
      <c r="E53" s="59">
        <v>8.7041000000000004</v>
      </c>
      <c r="F53" s="59"/>
      <c r="G53" s="28"/>
    </row>
    <row r="54" spans="1:7" ht="18.75" customHeight="1" x14ac:dyDescent="0.25">
      <c r="A54" s="7">
        <v>290</v>
      </c>
      <c r="B54" s="59">
        <v>8.6568000000000005</v>
      </c>
      <c r="C54" s="60">
        <v>2796.5</v>
      </c>
      <c r="D54" s="60">
        <v>3056.2</v>
      </c>
      <c r="E54" s="59">
        <v>8.7398000000000007</v>
      </c>
      <c r="F54" s="59"/>
      <c r="G54" s="28"/>
    </row>
    <row r="55" spans="1:7" ht="18.75" customHeight="1" x14ac:dyDescent="0.25">
      <c r="A55" s="7">
        <v>300</v>
      </c>
      <c r="B55" s="59">
        <v>8.8109999999999999</v>
      </c>
      <c r="C55" s="60">
        <v>2811.9</v>
      </c>
      <c r="D55" s="60">
        <v>3076.2</v>
      </c>
      <c r="E55" s="59">
        <v>8.7750000000000004</v>
      </c>
      <c r="F55" s="59"/>
      <c r="G55" s="28"/>
    </row>
    <row r="56" spans="1:7" ht="18.75" customHeight="1" x14ac:dyDescent="0.25">
      <c r="A56" s="7">
        <v>310</v>
      </c>
      <c r="B56" s="59">
        <v>8.9650999999999996</v>
      </c>
      <c r="C56" s="60">
        <v>2827.3</v>
      </c>
      <c r="D56" s="60">
        <v>3096.3</v>
      </c>
      <c r="E56" s="59">
        <v>8.8096999999999994</v>
      </c>
      <c r="F56" s="59"/>
      <c r="G56" s="28"/>
    </row>
    <row r="57" spans="1:7" ht="18.75" customHeight="1" x14ac:dyDescent="0.25">
      <c r="A57" s="7">
        <v>320</v>
      </c>
      <c r="B57" s="59">
        <v>9.1191999999999993</v>
      </c>
      <c r="C57" s="60">
        <v>2842.8</v>
      </c>
      <c r="D57" s="60">
        <v>3116.4</v>
      </c>
      <c r="E57" s="59">
        <v>8.8438999999999997</v>
      </c>
      <c r="F57" s="59"/>
      <c r="G57" s="28"/>
    </row>
    <row r="58" spans="1:7" ht="18.75" customHeight="1" x14ac:dyDescent="0.25">
      <c r="A58" s="7">
        <v>330</v>
      </c>
      <c r="B58" s="59">
        <v>9.2733000000000008</v>
      </c>
      <c r="C58" s="60">
        <v>2858.4</v>
      </c>
      <c r="D58" s="60">
        <v>3136.6</v>
      </c>
      <c r="E58" s="59">
        <v>8.8777000000000008</v>
      </c>
      <c r="F58" s="59"/>
      <c r="G58" s="28"/>
    </row>
    <row r="59" spans="1:7" ht="18.75" customHeight="1" x14ac:dyDescent="0.25">
      <c r="A59" s="7">
        <v>340</v>
      </c>
      <c r="B59" s="59">
        <v>9.4274000000000004</v>
      </c>
      <c r="C59" s="60">
        <v>2874.1</v>
      </c>
      <c r="D59" s="60">
        <v>3156.9</v>
      </c>
      <c r="E59" s="59">
        <v>8.9109999999999996</v>
      </c>
      <c r="F59" s="59"/>
      <c r="G59" s="28"/>
    </row>
    <row r="60" spans="1:7" ht="18.75" customHeight="1" x14ac:dyDescent="0.25">
      <c r="A60" s="7">
        <v>350</v>
      </c>
      <c r="B60" s="59">
        <v>9.5815000000000001</v>
      </c>
      <c r="C60" s="60">
        <v>2889.8</v>
      </c>
      <c r="D60" s="60">
        <v>3177.2</v>
      </c>
      <c r="E60" s="59">
        <v>8.9437999999999995</v>
      </c>
      <c r="F60" s="59"/>
      <c r="G60" s="28"/>
    </row>
    <row r="61" spans="1:7" ht="18.75" customHeight="1" x14ac:dyDescent="0.25">
      <c r="A61" s="7">
        <v>360</v>
      </c>
      <c r="B61" s="59">
        <v>9.7355999999999998</v>
      </c>
      <c r="C61" s="60">
        <v>2905.4</v>
      </c>
      <c r="D61" s="60">
        <v>3197.5</v>
      </c>
      <c r="E61" s="59">
        <v>8.9763000000000002</v>
      </c>
      <c r="F61" s="59"/>
      <c r="G61" s="28"/>
    </row>
    <row r="62" spans="1:7" ht="18.75" customHeight="1" x14ac:dyDescent="0.25">
      <c r="A62" s="7">
        <v>370</v>
      </c>
      <c r="B62" s="59">
        <v>9.8895999999999997</v>
      </c>
      <c r="C62" s="60">
        <v>2921.3</v>
      </c>
      <c r="D62" s="60">
        <v>3218</v>
      </c>
      <c r="E62" s="59">
        <v>9.0083000000000002</v>
      </c>
      <c r="F62" s="59"/>
      <c r="G62" s="28"/>
    </row>
    <row r="63" spans="1:7" ht="18.75" customHeight="1" x14ac:dyDescent="0.25">
      <c r="A63" s="7">
        <v>380</v>
      </c>
      <c r="B63" s="46">
        <v>10.044</v>
      </c>
      <c r="C63" s="60">
        <v>2937.2</v>
      </c>
      <c r="D63" s="60">
        <v>3238.5</v>
      </c>
      <c r="E63" s="59">
        <v>9.0398999999999994</v>
      </c>
      <c r="F63" s="59"/>
      <c r="G63" s="28"/>
    </row>
    <row r="64" spans="1:7" ht="18.75" customHeight="1" x14ac:dyDescent="0.25">
      <c r="A64" s="7">
        <v>390</v>
      </c>
      <c r="B64" s="46">
        <v>10.198</v>
      </c>
      <c r="C64" s="60">
        <v>2953.1</v>
      </c>
      <c r="D64" s="60">
        <v>3259</v>
      </c>
      <c r="E64" s="59">
        <v>9.0710999999999995</v>
      </c>
      <c r="F64" s="59"/>
      <c r="G64" s="28"/>
    </row>
    <row r="65" spans="1:7" ht="18.75" customHeight="1" x14ac:dyDescent="0.25">
      <c r="A65" s="7">
        <v>400</v>
      </c>
      <c r="B65" s="46">
        <v>10.352</v>
      </c>
      <c r="C65" s="60">
        <v>2969</v>
      </c>
      <c r="D65" s="60">
        <v>3279.6</v>
      </c>
      <c r="E65" s="59">
        <v>9.1020000000000003</v>
      </c>
      <c r="F65" s="59"/>
      <c r="G65" s="28"/>
    </row>
    <row r="66" spans="1:7" ht="18.75" customHeight="1" x14ac:dyDescent="0.25">
      <c r="A66" s="7">
        <v>410</v>
      </c>
      <c r="B66" s="46">
        <v>10.506</v>
      </c>
      <c r="C66" s="60">
        <v>2985.1</v>
      </c>
      <c r="D66" s="60">
        <v>3300.3</v>
      </c>
      <c r="E66" s="59">
        <v>9.1325000000000003</v>
      </c>
      <c r="F66" s="59"/>
      <c r="G66" s="28"/>
    </row>
    <row r="67" spans="1:7" ht="18.75" customHeight="1" x14ac:dyDescent="0.25">
      <c r="A67" s="7">
        <v>420</v>
      </c>
      <c r="B67" s="46">
        <v>10.66</v>
      </c>
      <c r="C67" s="60">
        <v>3001.3</v>
      </c>
      <c r="D67" s="60">
        <v>3321.1</v>
      </c>
      <c r="E67" s="59">
        <v>9.1626999999999992</v>
      </c>
      <c r="F67" s="59"/>
      <c r="G67" s="28"/>
    </row>
    <row r="68" spans="1:7" ht="18.75" customHeight="1" x14ac:dyDescent="0.25">
      <c r="A68" s="7">
        <v>430</v>
      </c>
      <c r="B68" s="46">
        <v>10.814</v>
      </c>
      <c r="C68" s="60">
        <v>3017.5</v>
      </c>
      <c r="D68" s="60">
        <v>3341.9</v>
      </c>
      <c r="E68" s="59">
        <v>9.1925000000000008</v>
      </c>
      <c r="F68" s="59"/>
      <c r="G68" s="28"/>
    </row>
    <row r="69" spans="1:7" ht="18.75" customHeight="1" x14ac:dyDescent="0.25">
      <c r="A69" s="7">
        <v>440</v>
      </c>
      <c r="B69" s="46">
        <v>10.968</v>
      </c>
      <c r="C69" s="60">
        <v>3033.8</v>
      </c>
      <c r="D69" s="60">
        <v>3362.8</v>
      </c>
      <c r="E69" s="59">
        <v>9.2219999999999995</v>
      </c>
      <c r="F69" s="59"/>
      <c r="G69" s="28"/>
    </row>
    <row r="70" spans="1:7" ht="18.75" customHeight="1" x14ac:dyDescent="0.25">
      <c r="A70" s="7">
        <v>450</v>
      </c>
      <c r="B70" s="46">
        <v>11.122</v>
      </c>
      <c r="C70" s="60">
        <v>3050</v>
      </c>
      <c r="D70" s="60">
        <v>3383.7</v>
      </c>
      <c r="E70" s="59">
        <v>9.2510999999999992</v>
      </c>
      <c r="F70" s="59"/>
      <c r="G70" s="28"/>
    </row>
    <row r="71" spans="1:7" ht="18.75" customHeight="1" x14ac:dyDescent="0.25">
      <c r="A71" s="7">
        <v>460</v>
      </c>
      <c r="B71" s="46">
        <v>11.276</v>
      </c>
      <c r="C71" s="60">
        <v>3066.4</v>
      </c>
      <c r="D71" s="60">
        <v>3404.7</v>
      </c>
      <c r="E71" s="59">
        <v>9.2799999999999994</v>
      </c>
      <c r="F71" s="59"/>
      <c r="G71" s="28"/>
    </row>
    <row r="72" spans="1:7" ht="18.75" customHeight="1" x14ac:dyDescent="0.25">
      <c r="A72" s="7">
        <v>470</v>
      </c>
      <c r="B72" s="46">
        <v>11.43</v>
      </c>
      <c r="C72" s="60">
        <v>3082.9</v>
      </c>
      <c r="D72" s="60">
        <v>3425.8</v>
      </c>
      <c r="E72" s="59">
        <v>9.3086000000000002</v>
      </c>
      <c r="F72" s="59"/>
      <c r="G72" s="28"/>
    </row>
    <row r="73" spans="1:7" ht="18.75" customHeight="1" x14ac:dyDescent="0.25">
      <c r="A73" s="7">
        <v>480</v>
      </c>
      <c r="B73" s="46">
        <v>11.584</v>
      </c>
      <c r="C73" s="60">
        <v>3099.5</v>
      </c>
      <c r="D73" s="60">
        <v>3447</v>
      </c>
      <c r="E73" s="59">
        <v>9.3368000000000002</v>
      </c>
      <c r="F73" s="59"/>
      <c r="G73" s="28"/>
    </row>
    <row r="74" spans="1:7" ht="18.75" customHeight="1" x14ac:dyDescent="0.25">
      <c r="A74" s="7">
        <v>490</v>
      </c>
      <c r="B74" s="46">
        <v>11.737</v>
      </c>
      <c r="C74" s="60">
        <v>3116.1</v>
      </c>
      <c r="D74" s="60">
        <v>3468.2</v>
      </c>
      <c r="E74" s="59">
        <v>9.3648000000000007</v>
      </c>
      <c r="F74" s="59"/>
      <c r="G74" s="28"/>
    </row>
    <row r="75" spans="1:7" ht="18.75" customHeight="1" x14ac:dyDescent="0.25">
      <c r="A75" s="7">
        <v>500</v>
      </c>
      <c r="B75" s="46">
        <v>11.891</v>
      </c>
      <c r="C75" s="60">
        <v>3132.8</v>
      </c>
      <c r="D75" s="60">
        <v>3489.5</v>
      </c>
      <c r="E75" s="59">
        <v>9.3925000000000001</v>
      </c>
      <c r="F75" s="59"/>
      <c r="G75" s="28"/>
    </row>
    <row r="76" spans="1:7" ht="18.75" customHeight="1" x14ac:dyDescent="0.25">
      <c r="A76" s="7">
        <v>520</v>
      </c>
      <c r="B76" s="46">
        <v>12.199</v>
      </c>
      <c r="C76" s="60">
        <v>3166.3</v>
      </c>
      <c r="D76" s="60">
        <v>3532.3</v>
      </c>
      <c r="E76" s="59">
        <v>9.4471000000000007</v>
      </c>
      <c r="F76" s="59"/>
      <c r="G76" s="28"/>
    </row>
    <row r="77" spans="1:7" ht="18.75" customHeight="1" x14ac:dyDescent="0.25">
      <c r="A77" s="7">
        <v>540</v>
      </c>
      <c r="B77" s="46">
        <v>12.507</v>
      </c>
      <c r="C77" s="60">
        <v>3200.1</v>
      </c>
      <c r="D77" s="60">
        <v>3575.3</v>
      </c>
      <c r="E77" s="59">
        <v>9.5007000000000001</v>
      </c>
      <c r="F77" s="59"/>
      <c r="G77" s="28"/>
    </row>
    <row r="78" spans="1:7" ht="18.75" customHeight="1" x14ac:dyDescent="0.25">
      <c r="A78" s="7">
        <v>560</v>
      </c>
      <c r="B78" s="46">
        <v>12.815</v>
      </c>
      <c r="C78" s="60">
        <v>3234.2</v>
      </c>
      <c r="D78" s="60">
        <v>3618.6</v>
      </c>
      <c r="E78" s="59">
        <v>9.5533999999999999</v>
      </c>
      <c r="F78" s="59"/>
      <c r="G78" s="28"/>
    </row>
    <row r="79" spans="1:7" ht="18.75" customHeight="1" x14ac:dyDescent="0.25">
      <c r="A79" s="7">
        <v>580</v>
      </c>
      <c r="B79" s="46">
        <v>13.122999999999999</v>
      </c>
      <c r="C79" s="60">
        <v>3268.5</v>
      </c>
      <c r="D79" s="60">
        <v>3662.2</v>
      </c>
      <c r="E79" s="59">
        <v>9.6051000000000002</v>
      </c>
      <c r="F79" s="59"/>
      <c r="G79" s="28"/>
    </row>
    <row r="80" spans="1:7" ht="18.75" customHeight="1" x14ac:dyDescent="0.25">
      <c r="A80" s="7">
        <v>600</v>
      </c>
      <c r="B80" s="46">
        <v>13.430999999999999</v>
      </c>
      <c r="C80" s="60">
        <v>3303.2</v>
      </c>
      <c r="D80" s="60">
        <v>3706.1</v>
      </c>
      <c r="E80" s="59">
        <v>9.6559000000000008</v>
      </c>
      <c r="F80" s="59"/>
      <c r="G80" s="28"/>
    </row>
    <row r="81" spans="1:7" ht="18.75" customHeight="1" x14ac:dyDescent="0.25">
      <c r="A81" s="7">
        <v>620</v>
      </c>
      <c r="B81" s="46">
        <v>13.738</v>
      </c>
      <c r="C81" s="60">
        <v>3338.2</v>
      </c>
      <c r="D81" s="60">
        <v>3750.3</v>
      </c>
      <c r="E81" s="59">
        <v>9.7059999999999995</v>
      </c>
      <c r="F81" s="59"/>
      <c r="G81" s="28"/>
    </row>
    <row r="82" spans="1:7" ht="18.75" customHeight="1" x14ac:dyDescent="0.25">
      <c r="A82" s="7">
        <v>640</v>
      </c>
      <c r="B82" s="46">
        <v>14.045999999999999</v>
      </c>
      <c r="C82" s="60">
        <v>3373.3</v>
      </c>
      <c r="D82" s="60">
        <v>3794.7</v>
      </c>
      <c r="E82" s="59">
        <v>9.7552000000000003</v>
      </c>
      <c r="F82" s="59"/>
      <c r="G82" s="28"/>
    </row>
    <row r="83" spans="1:7" ht="18.75" customHeight="1" x14ac:dyDescent="0.25">
      <c r="A83" s="7">
        <v>660</v>
      </c>
      <c r="B83" s="46">
        <v>14.353999999999999</v>
      </c>
      <c r="C83" s="60">
        <v>3408.9</v>
      </c>
      <c r="D83" s="60">
        <v>3839.5</v>
      </c>
      <c r="E83" s="59">
        <v>9.8035999999999994</v>
      </c>
      <c r="F83" s="59"/>
      <c r="G83" s="28"/>
    </row>
    <row r="84" spans="1:7" ht="18.75" customHeight="1" x14ac:dyDescent="0.25">
      <c r="A84" s="7">
        <v>680</v>
      </c>
      <c r="B84" s="46">
        <v>14.662000000000001</v>
      </c>
      <c r="C84" s="60">
        <v>3444.6</v>
      </c>
      <c r="D84" s="60">
        <v>3884.5</v>
      </c>
      <c r="E84" s="59">
        <v>9.8513999999999999</v>
      </c>
      <c r="F84" s="59"/>
      <c r="G84" s="28"/>
    </row>
    <row r="85" spans="1:7" ht="18.75" customHeight="1" x14ac:dyDescent="0.25">
      <c r="A85" s="7">
        <v>700</v>
      </c>
      <c r="B85" s="46">
        <v>14.97</v>
      </c>
      <c r="C85" s="60">
        <v>3480.7</v>
      </c>
      <c r="D85" s="60">
        <v>3929.8</v>
      </c>
      <c r="E85" s="59">
        <v>9.8984000000000005</v>
      </c>
      <c r="F85" s="59"/>
      <c r="G85" s="28"/>
    </row>
    <row r="86" spans="1:7" ht="18.75" customHeight="1" x14ac:dyDescent="0.25">
      <c r="A86" s="7">
        <v>720</v>
      </c>
      <c r="B86" s="46">
        <v>15.276999999999999</v>
      </c>
      <c r="C86" s="60">
        <v>3517.1</v>
      </c>
      <c r="D86" s="60">
        <v>3975.4</v>
      </c>
      <c r="E86" s="59">
        <v>9.9448000000000008</v>
      </c>
      <c r="F86" s="59"/>
      <c r="G86" s="28"/>
    </row>
    <row r="87" spans="1:7" ht="18.75" customHeight="1" x14ac:dyDescent="0.25">
      <c r="A87" s="7">
        <v>740</v>
      </c>
      <c r="B87" s="46">
        <v>15.585000000000001</v>
      </c>
      <c r="C87" s="60">
        <v>3553.6</v>
      </c>
      <c r="D87" s="60">
        <v>4021.2</v>
      </c>
      <c r="E87" s="59">
        <v>9.9905000000000008</v>
      </c>
      <c r="F87" s="46"/>
      <c r="G87" s="28"/>
    </row>
    <row r="88" spans="1:7" ht="18.75" customHeight="1" x14ac:dyDescent="0.25">
      <c r="A88" s="7">
        <v>760</v>
      </c>
      <c r="B88" s="46">
        <v>15.893000000000001</v>
      </c>
      <c r="C88" s="60">
        <v>3590.6</v>
      </c>
      <c r="D88" s="60">
        <v>4067.4</v>
      </c>
      <c r="E88" s="46">
        <v>10.036</v>
      </c>
      <c r="F88" s="46"/>
      <c r="G88" s="28"/>
    </row>
    <row r="89" spans="1:7" ht="18.75" customHeight="1" x14ac:dyDescent="0.25">
      <c r="A89" s="7">
        <v>780</v>
      </c>
      <c r="B89" s="46">
        <v>16.201000000000001</v>
      </c>
      <c r="C89" s="60">
        <v>3627.8</v>
      </c>
      <c r="D89" s="60">
        <v>4113.8</v>
      </c>
      <c r="E89" s="46">
        <v>10.08</v>
      </c>
      <c r="F89" s="46"/>
      <c r="G89" s="28"/>
    </row>
    <row r="90" spans="1:7" ht="18.75" customHeight="1" x14ac:dyDescent="0.25">
      <c r="A90" s="7">
        <v>800</v>
      </c>
      <c r="B90" s="46">
        <v>16.507999999999999</v>
      </c>
      <c r="C90" s="60">
        <v>3665.3</v>
      </c>
      <c r="D90" s="60">
        <v>4160.5</v>
      </c>
      <c r="E90" s="46">
        <v>10.124000000000001</v>
      </c>
      <c r="F90" s="46"/>
      <c r="G90" s="28"/>
    </row>
    <row r="91" spans="1:7" ht="18.75" customHeight="1" x14ac:dyDescent="0.25">
      <c r="A91" s="7">
        <v>820</v>
      </c>
      <c r="B91" s="46">
        <v>16.815999999999999</v>
      </c>
      <c r="C91" s="60">
        <v>3703</v>
      </c>
      <c r="D91" s="60">
        <v>4207.5</v>
      </c>
      <c r="E91" s="46">
        <v>10.167</v>
      </c>
      <c r="F91" s="46"/>
      <c r="G91" s="28"/>
    </row>
    <row r="92" spans="1:7" ht="18.75" customHeight="1" x14ac:dyDescent="0.25">
      <c r="A92" s="7">
        <v>840</v>
      </c>
      <c r="B92" s="46">
        <v>17.123999999999999</v>
      </c>
      <c r="C92" s="60">
        <v>3741.1</v>
      </c>
      <c r="D92" s="60">
        <v>4254.8</v>
      </c>
      <c r="E92" s="46">
        <v>10.210000000000001</v>
      </c>
      <c r="F92" s="46"/>
      <c r="G92" s="28"/>
    </row>
    <row r="93" spans="1:7" ht="18.75" customHeight="1" x14ac:dyDescent="0.25">
      <c r="A93" s="7">
        <v>860</v>
      </c>
      <c r="B93" s="46">
        <v>17.431999999999999</v>
      </c>
      <c r="C93" s="60">
        <v>3779.3</v>
      </c>
      <c r="D93" s="60">
        <v>4302.3</v>
      </c>
      <c r="E93" s="46">
        <v>10.253</v>
      </c>
      <c r="F93" s="46"/>
      <c r="G93" s="28"/>
    </row>
    <row r="94" spans="1:7" ht="18.75" customHeight="1" x14ac:dyDescent="0.25">
      <c r="A94" s="7">
        <v>880</v>
      </c>
      <c r="B94" s="46">
        <v>17.739000000000001</v>
      </c>
      <c r="C94" s="60">
        <v>3818</v>
      </c>
      <c r="D94" s="60">
        <v>4350.2</v>
      </c>
      <c r="E94" s="46">
        <v>10.294</v>
      </c>
      <c r="F94" s="46"/>
      <c r="G94" s="28"/>
    </row>
    <row r="95" spans="1:7" ht="18.75" customHeight="1" x14ac:dyDescent="0.25">
      <c r="A95" s="7">
        <v>900</v>
      </c>
      <c r="B95" s="46">
        <v>18.047000000000001</v>
      </c>
      <c r="C95" s="60">
        <v>3856.9</v>
      </c>
      <c r="D95" s="60">
        <v>4398.3</v>
      </c>
      <c r="E95" s="46">
        <v>10.336</v>
      </c>
      <c r="F95" s="46"/>
      <c r="G95" s="28"/>
    </row>
    <row r="96" spans="1:7" ht="18.75" customHeight="1" x14ac:dyDescent="0.25">
      <c r="A96" s="7">
        <v>920</v>
      </c>
      <c r="B96" s="46">
        <v>18.355</v>
      </c>
      <c r="C96" s="60">
        <v>3896</v>
      </c>
      <c r="D96" s="60">
        <v>4446.6000000000004</v>
      </c>
      <c r="E96" s="46">
        <v>10.377000000000001</v>
      </c>
      <c r="F96" s="46"/>
      <c r="G96" s="28"/>
    </row>
    <row r="97" spans="1:7" ht="18.75" customHeight="1" x14ac:dyDescent="0.25">
      <c r="A97" s="7">
        <v>940</v>
      </c>
      <c r="B97" s="46">
        <v>18.663</v>
      </c>
      <c r="C97" s="60">
        <v>3935.4</v>
      </c>
      <c r="D97" s="60">
        <v>4495.3</v>
      </c>
      <c r="E97" s="46">
        <v>10.417</v>
      </c>
      <c r="F97" s="46"/>
      <c r="G97" s="28"/>
    </row>
    <row r="98" spans="1:7" ht="18.75" customHeight="1" x14ac:dyDescent="0.25">
      <c r="A98" s="7">
        <v>960</v>
      </c>
      <c r="B98" s="46">
        <v>18.97</v>
      </c>
      <c r="C98" s="60">
        <v>3975.1</v>
      </c>
      <c r="D98" s="60">
        <v>4544.2</v>
      </c>
      <c r="E98" s="46">
        <v>10.457000000000001</v>
      </c>
      <c r="F98" s="46"/>
      <c r="G98" s="28"/>
    </row>
    <row r="99" spans="1:7" ht="18.75" customHeight="1" x14ac:dyDescent="0.25">
      <c r="A99" s="7">
        <v>980</v>
      </c>
      <c r="B99" s="46">
        <v>19.277999999999999</v>
      </c>
      <c r="C99" s="60">
        <v>4015</v>
      </c>
      <c r="D99" s="60">
        <v>4593.3</v>
      </c>
      <c r="E99" s="46">
        <v>10.497</v>
      </c>
      <c r="F99" s="46"/>
      <c r="G99" s="28"/>
    </row>
    <row r="100" spans="1:7" ht="13.8" x14ac:dyDescent="0.25">
      <c r="A100" s="7">
        <v>1000</v>
      </c>
      <c r="B100" s="46">
        <v>19.585999999999999</v>
      </c>
      <c r="C100" s="60">
        <v>4055.2</v>
      </c>
      <c r="D100" s="60">
        <v>4642.8</v>
      </c>
      <c r="E100" s="46">
        <v>10.536</v>
      </c>
    </row>
  </sheetData>
  <mergeCells count="1">
    <mergeCell ref="A1:H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00"/>
  <sheetViews>
    <sheetView workbookViewId="0">
      <selection activeCell="A21" sqref="A21:XFD21"/>
    </sheetView>
  </sheetViews>
  <sheetFormatPr defaultRowHeight="13.2" x14ac:dyDescent="0.25"/>
  <cols>
    <col min="1" max="1" width="6.21875" customWidth="1"/>
    <col min="2" max="2" width="10.109375" customWidth="1"/>
    <col min="3" max="3" width="8.664062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93" t="s">
        <v>35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40</v>
      </c>
      <c r="F2" s="65"/>
      <c r="G2" s="28"/>
    </row>
    <row r="3" spans="1:8" ht="18.75" customHeight="1" x14ac:dyDescent="0.25">
      <c r="A3" s="39" t="s">
        <v>26</v>
      </c>
      <c r="B3" s="65" t="s">
        <v>27</v>
      </c>
      <c r="C3" s="65" t="s">
        <v>28</v>
      </c>
      <c r="D3" s="65" t="s">
        <v>29</v>
      </c>
      <c r="E3" s="65" t="s">
        <v>30</v>
      </c>
      <c r="F3" s="66"/>
      <c r="G3" s="28"/>
    </row>
    <row r="4" spans="1:8" ht="18.75" customHeight="1" x14ac:dyDescent="0.25">
      <c r="A4" s="36" t="s">
        <v>31</v>
      </c>
      <c r="B4" s="64" t="s">
        <v>18</v>
      </c>
      <c r="C4" s="66" t="s">
        <v>19</v>
      </c>
      <c r="D4" s="66" t="s">
        <v>19</v>
      </c>
      <c r="E4" s="66" t="s">
        <v>32</v>
      </c>
      <c r="F4" s="61"/>
      <c r="G4" s="28"/>
    </row>
    <row r="5" spans="1:8" ht="18.75" customHeight="1" x14ac:dyDescent="0.25">
      <c r="A5" s="38">
        <v>0</v>
      </c>
      <c r="B5" s="62">
        <v>1.00019E-3</v>
      </c>
      <c r="C5" s="63">
        <v>-0.04</v>
      </c>
      <c r="D5" s="63">
        <v>0</v>
      </c>
      <c r="E5" s="61">
        <v>-1.4999999999999999E-4</v>
      </c>
      <c r="F5" s="61"/>
      <c r="G5" s="28"/>
    </row>
    <row r="6" spans="1:8" ht="18.75" customHeight="1" x14ac:dyDescent="0.25">
      <c r="A6" s="7">
        <v>5</v>
      </c>
      <c r="B6" s="62">
        <v>1.0000600000000001E-3</v>
      </c>
      <c r="C6" s="63">
        <v>21.02</v>
      </c>
      <c r="D6" s="63">
        <v>21.06</v>
      </c>
      <c r="E6" s="61">
        <v>7.6249999999999998E-2</v>
      </c>
      <c r="F6" s="61"/>
      <c r="G6" s="28"/>
    </row>
    <row r="7" spans="1:8" ht="18.75" customHeight="1" x14ac:dyDescent="0.25">
      <c r="A7" s="7">
        <v>10</v>
      </c>
      <c r="B7" s="62">
        <v>1.00033E-3</v>
      </c>
      <c r="C7" s="63">
        <v>42.02</v>
      </c>
      <c r="D7" s="63">
        <v>42.06</v>
      </c>
      <c r="E7" s="61">
        <v>0.15107999999999999</v>
      </c>
      <c r="F7" s="61"/>
      <c r="G7" s="28"/>
    </row>
    <row r="8" spans="1:8" ht="18.75" customHeight="1" x14ac:dyDescent="0.25">
      <c r="A8" s="7">
        <v>15</v>
      </c>
      <c r="B8" s="62">
        <v>1.0009299999999999E-3</v>
      </c>
      <c r="C8" s="63">
        <v>62.98</v>
      </c>
      <c r="D8" s="63">
        <v>63.02</v>
      </c>
      <c r="E8" s="61">
        <v>0.22445999999999999</v>
      </c>
      <c r="F8" s="61"/>
      <c r="G8" s="28"/>
    </row>
    <row r="9" spans="1:8" ht="18.75" customHeight="1" x14ac:dyDescent="0.25">
      <c r="A9" s="7">
        <v>20</v>
      </c>
      <c r="B9" s="62">
        <v>1.0018200000000001E-3</v>
      </c>
      <c r="C9" s="63">
        <v>83.91</v>
      </c>
      <c r="D9" s="63">
        <v>83.95</v>
      </c>
      <c r="E9" s="61">
        <v>0.29648000000000002</v>
      </c>
      <c r="F9" s="61"/>
      <c r="G9" s="28"/>
    </row>
    <row r="10" spans="1:8" ht="18.75" customHeight="1" x14ac:dyDescent="0.25">
      <c r="A10" s="7">
        <v>25</v>
      </c>
      <c r="B10" s="62">
        <v>1.00299E-3</v>
      </c>
      <c r="C10" s="63">
        <v>104.82</v>
      </c>
      <c r="D10" s="63">
        <v>104.86</v>
      </c>
      <c r="E10" s="61">
        <v>0.36721999999999999</v>
      </c>
      <c r="F10" s="61"/>
      <c r="G10" s="28"/>
    </row>
    <row r="11" spans="1:8" ht="18.75" customHeight="1" x14ac:dyDescent="0.25">
      <c r="A11" s="7">
        <v>30</v>
      </c>
      <c r="B11" s="62">
        <v>1.0043999999999999E-3</v>
      </c>
      <c r="C11" s="63">
        <v>125.73</v>
      </c>
      <c r="D11" s="63">
        <v>125.77</v>
      </c>
      <c r="E11" s="61">
        <v>0.43674000000000002</v>
      </c>
      <c r="F11" s="61"/>
      <c r="G11" s="28"/>
    </row>
    <row r="12" spans="1:8" ht="18.75" customHeight="1" x14ac:dyDescent="0.25">
      <c r="A12" s="7">
        <v>35</v>
      </c>
      <c r="B12" s="62">
        <v>1.00603E-3</v>
      </c>
      <c r="C12" s="63">
        <v>146.62</v>
      </c>
      <c r="D12" s="63">
        <v>146.66</v>
      </c>
      <c r="E12" s="61">
        <v>0.50512000000000001</v>
      </c>
      <c r="F12" s="61"/>
      <c r="G12" s="28"/>
    </row>
    <row r="13" spans="1:8" ht="18.75" customHeight="1" x14ac:dyDescent="0.25">
      <c r="A13" s="7">
        <v>40</v>
      </c>
      <c r="B13" s="62">
        <v>1.0078699999999999E-3</v>
      </c>
      <c r="C13" s="63">
        <v>167.52</v>
      </c>
      <c r="D13" s="63">
        <v>167.56</v>
      </c>
      <c r="E13" s="61">
        <v>0.57238999999999995</v>
      </c>
      <c r="F13" s="61"/>
      <c r="G13" s="28"/>
    </row>
    <row r="14" spans="1:8" ht="18.75" customHeight="1" x14ac:dyDescent="0.25">
      <c r="A14" s="7">
        <v>45</v>
      </c>
      <c r="B14" s="62">
        <v>1.0099099999999999E-3</v>
      </c>
      <c r="C14" s="63">
        <v>188.42</v>
      </c>
      <c r="D14" s="63">
        <v>188.46</v>
      </c>
      <c r="E14" s="61">
        <v>0.63859999999999995</v>
      </c>
      <c r="F14" s="61"/>
      <c r="G14" s="28"/>
    </row>
    <row r="15" spans="1:8" ht="18.75" customHeight="1" x14ac:dyDescent="0.25">
      <c r="A15" s="7">
        <v>50</v>
      </c>
      <c r="B15" s="62">
        <v>1.0121399999999999E-3</v>
      </c>
      <c r="C15" s="63">
        <v>209.33</v>
      </c>
      <c r="D15" s="63">
        <v>209.37</v>
      </c>
      <c r="E15" s="61">
        <v>0.70379999999999998</v>
      </c>
      <c r="F15" s="61"/>
      <c r="G15" s="28"/>
    </row>
    <row r="16" spans="1:8" ht="18.75" customHeight="1" x14ac:dyDescent="0.25">
      <c r="A16" s="7">
        <v>55</v>
      </c>
      <c r="B16" s="62">
        <v>1.01454E-3</v>
      </c>
      <c r="C16" s="63">
        <v>230.24</v>
      </c>
      <c r="D16" s="63">
        <v>230.28</v>
      </c>
      <c r="E16" s="61">
        <v>0.76800999999999997</v>
      </c>
      <c r="F16" s="61"/>
      <c r="G16" s="28"/>
    </row>
    <row r="17" spans="1:7" ht="18.75" customHeight="1" x14ac:dyDescent="0.25">
      <c r="A17" s="7">
        <v>60</v>
      </c>
      <c r="B17" s="62">
        <v>1.01712E-3</v>
      </c>
      <c r="C17" s="63">
        <v>251.16</v>
      </c>
      <c r="D17" s="63">
        <v>251.2</v>
      </c>
      <c r="E17" s="61">
        <v>0.83128000000000002</v>
      </c>
      <c r="F17" s="61"/>
      <c r="G17" s="28"/>
    </row>
    <row r="18" spans="1:7" ht="18.75" customHeight="1" x14ac:dyDescent="0.25">
      <c r="A18" s="7">
        <v>65</v>
      </c>
      <c r="B18" s="62">
        <v>1.01986E-3</v>
      </c>
      <c r="C18" s="63">
        <v>272.08999999999997</v>
      </c>
      <c r="D18" s="63">
        <v>272.13</v>
      </c>
      <c r="E18" s="61">
        <v>0.89363999999999999</v>
      </c>
      <c r="F18" s="61"/>
      <c r="G18" s="28"/>
    </row>
    <row r="19" spans="1:7" ht="18.75" customHeight="1" x14ac:dyDescent="0.25">
      <c r="A19" s="7">
        <v>70</v>
      </c>
      <c r="B19" s="62">
        <v>1.0227700000000001E-3</v>
      </c>
      <c r="C19" s="63">
        <v>293.02999999999997</v>
      </c>
      <c r="D19" s="63">
        <v>293.07</v>
      </c>
      <c r="E19" s="61">
        <v>0.95513000000000003</v>
      </c>
      <c r="F19" s="59"/>
      <c r="G19" s="28"/>
    </row>
    <row r="20" spans="1:7" ht="18.75" customHeight="1" x14ac:dyDescent="0.25">
      <c r="A20" s="7">
        <v>75</v>
      </c>
      <c r="B20" s="62">
        <v>1.0258400000000001E-3</v>
      </c>
      <c r="C20" s="63">
        <v>313.99</v>
      </c>
      <c r="D20" s="63">
        <v>314.02999999999997</v>
      </c>
      <c r="E20" s="59">
        <v>1.0158</v>
      </c>
      <c r="F20" s="59"/>
      <c r="G20" s="28"/>
    </row>
    <row r="21" spans="1:7" ht="18.75" customHeight="1" x14ac:dyDescent="0.25">
      <c r="A21" s="7">
        <v>80</v>
      </c>
      <c r="B21" s="59">
        <v>4.0425000000000004</v>
      </c>
      <c r="C21" s="60">
        <v>2482.6</v>
      </c>
      <c r="D21" s="60">
        <v>2644.3</v>
      </c>
      <c r="E21" s="59">
        <v>7.6924999999999999</v>
      </c>
      <c r="F21" s="59"/>
      <c r="G21" s="28"/>
    </row>
    <row r="22" spans="1:7" ht="18.75" customHeight="1" x14ac:dyDescent="0.25">
      <c r="A22" s="7">
        <v>85</v>
      </c>
      <c r="B22" s="59">
        <v>4.1021000000000001</v>
      </c>
      <c r="C22" s="60">
        <v>2490.1</v>
      </c>
      <c r="D22" s="60">
        <v>2654.2</v>
      </c>
      <c r="E22" s="59">
        <v>7.7203999999999997</v>
      </c>
      <c r="F22" s="59"/>
      <c r="G22" s="28"/>
    </row>
    <row r="23" spans="1:7" ht="18.75" customHeight="1" x14ac:dyDescent="0.25">
      <c r="A23" s="7">
        <v>90</v>
      </c>
      <c r="B23" s="59">
        <v>4.1615000000000002</v>
      </c>
      <c r="C23" s="60">
        <v>2497.6</v>
      </c>
      <c r="D23" s="60">
        <v>2664.1</v>
      </c>
      <c r="E23" s="59">
        <v>7.7477</v>
      </c>
      <c r="F23" s="59"/>
      <c r="G23" s="28"/>
    </row>
    <row r="24" spans="1:7" ht="18.75" customHeight="1" x14ac:dyDescent="0.25">
      <c r="A24" s="7">
        <v>95</v>
      </c>
      <c r="B24" s="59">
        <v>4.2207999999999997</v>
      </c>
      <c r="C24" s="60">
        <v>2505.1</v>
      </c>
      <c r="D24" s="60">
        <v>2673.9</v>
      </c>
      <c r="E24" s="59">
        <v>7.7746000000000004</v>
      </c>
      <c r="F24" s="59"/>
      <c r="G24" s="28"/>
    </row>
    <row r="25" spans="1:7" ht="18.75" customHeight="1" x14ac:dyDescent="0.25">
      <c r="A25" s="7">
        <v>100</v>
      </c>
      <c r="B25" s="59">
        <v>4.2798999999999996</v>
      </c>
      <c r="C25" s="60">
        <v>2512.5</v>
      </c>
      <c r="D25" s="60">
        <v>2683.7</v>
      </c>
      <c r="E25" s="59">
        <v>7.8010000000000002</v>
      </c>
      <c r="F25" s="59"/>
      <c r="G25" s="28"/>
    </row>
    <row r="26" spans="1:7" ht="18.75" customHeight="1" x14ac:dyDescent="0.25">
      <c r="A26" s="7">
        <v>105</v>
      </c>
      <c r="B26" s="59">
        <v>4.3388999999999998</v>
      </c>
      <c r="C26" s="60">
        <v>2519.9</v>
      </c>
      <c r="D26" s="60">
        <v>2693.5</v>
      </c>
      <c r="E26" s="59">
        <v>7.827</v>
      </c>
      <c r="F26" s="59"/>
      <c r="G26" s="28"/>
    </row>
    <row r="27" spans="1:7" ht="18.75" customHeight="1" x14ac:dyDescent="0.25">
      <c r="A27" s="7">
        <v>110</v>
      </c>
      <c r="B27" s="59">
        <v>4.3978000000000002</v>
      </c>
      <c r="C27" s="60">
        <v>2527.3000000000002</v>
      </c>
      <c r="D27" s="60">
        <v>2703.2</v>
      </c>
      <c r="E27" s="59">
        <v>7.8526999999999996</v>
      </c>
      <c r="F27" s="59"/>
      <c r="G27" s="28"/>
    </row>
    <row r="28" spans="1:7" ht="18.75" customHeight="1" x14ac:dyDescent="0.25">
      <c r="A28" s="7">
        <v>115</v>
      </c>
      <c r="B28" s="59">
        <v>4.4565999999999999</v>
      </c>
      <c r="C28" s="60">
        <v>2534.6999999999998</v>
      </c>
      <c r="D28" s="60">
        <v>2713</v>
      </c>
      <c r="E28" s="59">
        <v>7.8779000000000003</v>
      </c>
      <c r="F28" s="59"/>
      <c r="G28" s="28"/>
    </row>
    <row r="29" spans="1:7" ht="18.75" customHeight="1" x14ac:dyDescent="0.25">
      <c r="A29" s="7">
        <v>120</v>
      </c>
      <c r="B29" s="59">
        <v>4.5152999999999999</v>
      </c>
      <c r="C29" s="60">
        <v>2542.1</v>
      </c>
      <c r="D29" s="60">
        <v>2722.7</v>
      </c>
      <c r="E29" s="59">
        <v>7.9028</v>
      </c>
      <c r="F29" s="59"/>
      <c r="G29" s="28"/>
    </row>
    <row r="30" spans="1:7" ht="18.75" customHeight="1" x14ac:dyDescent="0.25">
      <c r="A30" s="7">
        <v>125</v>
      </c>
      <c r="B30" s="59">
        <v>4.5739000000000001</v>
      </c>
      <c r="C30" s="60">
        <v>2549.4</v>
      </c>
      <c r="D30" s="60">
        <v>2732.4</v>
      </c>
      <c r="E30" s="59">
        <v>7.9273999999999996</v>
      </c>
      <c r="F30" s="59"/>
      <c r="G30" s="28"/>
    </row>
    <row r="31" spans="1:7" ht="18.75" customHeight="1" x14ac:dyDescent="0.25">
      <c r="A31" s="7">
        <v>130</v>
      </c>
      <c r="B31" s="59">
        <v>4.6325000000000003</v>
      </c>
      <c r="C31" s="60">
        <v>2556.8000000000002</v>
      </c>
      <c r="D31" s="60">
        <v>2742.1</v>
      </c>
      <c r="E31" s="59">
        <v>7.9516</v>
      </c>
      <c r="F31" s="59"/>
      <c r="G31" s="28"/>
    </row>
    <row r="32" spans="1:7" ht="18.75" customHeight="1" x14ac:dyDescent="0.25">
      <c r="A32" s="7">
        <v>135</v>
      </c>
      <c r="B32" s="59">
        <v>4.6909999999999998</v>
      </c>
      <c r="C32" s="60">
        <v>2564.1999999999998</v>
      </c>
      <c r="D32" s="60">
        <v>2751.8</v>
      </c>
      <c r="E32" s="59">
        <v>7.9755000000000003</v>
      </c>
      <c r="F32" s="59"/>
      <c r="G32" s="28"/>
    </row>
    <row r="33" spans="1:7" ht="18.75" customHeight="1" x14ac:dyDescent="0.25">
      <c r="A33" s="7">
        <v>140</v>
      </c>
      <c r="B33" s="59">
        <v>4.7495000000000003</v>
      </c>
      <c r="C33" s="60">
        <v>2571.5</v>
      </c>
      <c r="D33" s="60">
        <v>2761.5</v>
      </c>
      <c r="E33" s="59">
        <v>7.9992000000000001</v>
      </c>
      <c r="F33" s="59"/>
      <c r="G33" s="28"/>
    </row>
    <row r="34" spans="1:7" ht="18.75" customHeight="1" x14ac:dyDescent="0.25">
      <c r="A34" s="7">
        <v>145</v>
      </c>
      <c r="B34" s="59">
        <v>4.8079000000000001</v>
      </c>
      <c r="C34" s="60">
        <v>2578.9</v>
      </c>
      <c r="D34" s="60">
        <v>2771.2</v>
      </c>
      <c r="E34" s="59">
        <v>8.0225000000000009</v>
      </c>
      <c r="F34" s="59"/>
      <c r="G34" s="28"/>
    </row>
    <row r="35" spans="1:7" ht="18.75" customHeight="1" x14ac:dyDescent="0.25">
      <c r="A35" s="7">
        <v>150</v>
      </c>
      <c r="B35" s="59">
        <v>4.8662000000000001</v>
      </c>
      <c r="C35" s="60">
        <v>2586.3000000000002</v>
      </c>
      <c r="D35" s="60">
        <v>2780.9</v>
      </c>
      <c r="E35" s="59">
        <v>8.0456000000000003</v>
      </c>
      <c r="F35" s="59"/>
      <c r="G35" s="28"/>
    </row>
    <row r="36" spans="1:7" ht="18.75" customHeight="1" x14ac:dyDescent="0.25">
      <c r="A36" s="7">
        <v>155</v>
      </c>
      <c r="B36" s="59">
        <v>4.9245000000000001</v>
      </c>
      <c r="C36" s="60">
        <v>2593.6</v>
      </c>
      <c r="D36" s="60">
        <v>2790.6</v>
      </c>
      <c r="E36" s="59">
        <v>8.0684000000000005</v>
      </c>
      <c r="F36" s="59"/>
      <c r="G36" s="28"/>
    </row>
    <row r="37" spans="1:7" ht="18.75" customHeight="1" x14ac:dyDescent="0.25">
      <c r="A37" s="7">
        <v>160</v>
      </c>
      <c r="B37" s="59">
        <v>4.9828000000000001</v>
      </c>
      <c r="C37" s="60">
        <v>2601</v>
      </c>
      <c r="D37" s="60">
        <v>2800.3</v>
      </c>
      <c r="E37" s="59">
        <v>8.0908999999999995</v>
      </c>
      <c r="F37" s="59"/>
      <c r="G37" s="28"/>
    </row>
    <row r="38" spans="1:7" ht="18.75" customHeight="1" x14ac:dyDescent="0.25">
      <c r="A38" s="7">
        <v>165</v>
      </c>
      <c r="B38" s="59">
        <v>5.0411000000000001</v>
      </c>
      <c r="C38" s="60">
        <v>2608.5</v>
      </c>
      <c r="D38" s="60">
        <v>2810.1</v>
      </c>
      <c r="E38" s="59">
        <v>8.1132000000000009</v>
      </c>
      <c r="F38" s="59"/>
      <c r="G38" s="28"/>
    </row>
    <row r="39" spans="1:7" ht="18.75" customHeight="1" x14ac:dyDescent="0.25">
      <c r="A39" s="7">
        <v>170</v>
      </c>
      <c r="B39" s="59">
        <v>5.0993000000000004</v>
      </c>
      <c r="C39" s="60">
        <v>2615.8000000000002</v>
      </c>
      <c r="D39" s="60">
        <v>2819.8</v>
      </c>
      <c r="E39" s="59">
        <v>8.1353000000000009</v>
      </c>
      <c r="F39" s="59"/>
      <c r="G39" s="28"/>
    </row>
    <row r="40" spans="1:7" ht="18.75" customHeight="1" x14ac:dyDescent="0.25">
      <c r="A40" s="7">
        <v>175</v>
      </c>
      <c r="B40" s="59">
        <v>5.1574999999999998</v>
      </c>
      <c r="C40" s="60">
        <v>2623.2</v>
      </c>
      <c r="D40" s="60">
        <v>2829.5</v>
      </c>
      <c r="E40" s="59">
        <v>8.1570999999999998</v>
      </c>
      <c r="F40" s="59"/>
      <c r="G40" s="28"/>
    </row>
    <row r="41" spans="1:7" ht="18.75" customHeight="1" x14ac:dyDescent="0.25">
      <c r="A41" s="7">
        <v>180</v>
      </c>
      <c r="B41" s="59">
        <v>5.2156000000000002</v>
      </c>
      <c r="C41" s="60">
        <v>2630.6</v>
      </c>
      <c r="D41" s="60">
        <v>2839.2</v>
      </c>
      <c r="E41" s="59">
        <v>8.1786999999999992</v>
      </c>
      <c r="F41" s="59"/>
      <c r="G41" s="28"/>
    </row>
    <row r="42" spans="1:7" ht="18.75" customHeight="1" x14ac:dyDescent="0.25">
      <c r="A42" s="7">
        <v>185</v>
      </c>
      <c r="B42" s="59">
        <v>5.2736999999999998</v>
      </c>
      <c r="C42" s="60">
        <v>2638.1</v>
      </c>
      <c r="D42" s="60">
        <v>2849</v>
      </c>
      <c r="E42" s="59">
        <v>8.1999999999999993</v>
      </c>
      <c r="F42" s="59"/>
      <c r="G42" s="28"/>
    </row>
    <row r="43" spans="1:7" ht="18.75" customHeight="1" x14ac:dyDescent="0.25">
      <c r="A43" s="7">
        <v>190</v>
      </c>
      <c r="B43" s="59">
        <v>5.3319000000000001</v>
      </c>
      <c r="C43" s="60">
        <v>2645.4</v>
      </c>
      <c r="D43" s="60">
        <v>2858.7</v>
      </c>
      <c r="E43" s="59">
        <v>8.2211999999999996</v>
      </c>
      <c r="F43" s="59"/>
      <c r="G43" s="28"/>
    </row>
    <row r="44" spans="1:7" ht="18.75" customHeight="1" x14ac:dyDescent="0.25">
      <c r="A44" s="7">
        <v>195</v>
      </c>
      <c r="B44" s="59">
        <v>5.3898999999999999</v>
      </c>
      <c r="C44" s="60">
        <v>2652.9</v>
      </c>
      <c r="D44" s="60">
        <v>2868.5</v>
      </c>
      <c r="E44" s="59">
        <v>8.2421000000000006</v>
      </c>
      <c r="F44" s="59"/>
      <c r="G44" s="28"/>
    </row>
    <row r="45" spans="1:7" ht="18.75" customHeight="1" x14ac:dyDescent="0.25">
      <c r="A45" s="7">
        <v>200</v>
      </c>
      <c r="B45" s="59">
        <v>5.4480000000000004</v>
      </c>
      <c r="C45" s="60">
        <v>2660.3</v>
      </c>
      <c r="D45" s="60">
        <v>2878.2</v>
      </c>
      <c r="E45" s="59">
        <v>8.2629000000000001</v>
      </c>
      <c r="F45" s="59"/>
      <c r="G45" s="28"/>
    </row>
    <row r="46" spans="1:7" ht="18.75" customHeight="1" x14ac:dyDescent="0.25">
      <c r="A46" s="7">
        <v>210</v>
      </c>
      <c r="B46" s="59">
        <v>5.5640999999999998</v>
      </c>
      <c r="C46" s="60">
        <v>2675.2</v>
      </c>
      <c r="D46" s="60">
        <v>2897.8</v>
      </c>
      <c r="E46" s="59">
        <v>8.3038000000000007</v>
      </c>
      <c r="F46" s="59"/>
      <c r="G46" s="28"/>
    </row>
    <row r="47" spans="1:7" ht="18.75" customHeight="1" x14ac:dyDescent="0.25">
      <c r="A47" s="7">
        <v>220</v>
      </c>
      <c r="B47" s="59">
        <v>5.6801000000000004</v>
      </c>
      <c r="C47" s="60">
        <v>2690.2</v>
      </c>
      <c r="D47" s="60">
        <v>2917.4</v>
      </c>
      <c r="E47" s="59">
        <v>8.3439999999999994</v>
      </c>
      <c r="F47" s="59"/>
      <c r="G47" s="28"/>
    </row>
    <row r="48" spans="1:7" ht="18.75" customHeight="1" x14ac:dyDescent="0.25">
      <c r="A48" s="7">
        <v>230</v>
      </c>
      <c r="B48" s="59">
        <v>5.7961</v>
      </c>
      <c r="C48" s="60">
        <v>2705.2</v>
      </c>
      <c r="D48" s="60">
        <v>2937</v>
      </c>
      <c r="E48" s="59">
        <v>8.3834</v>
      </c>
      <c r="F48" s="59"/>
      <c r="G48" s="28"/>
    </row>
    <row r="49" spans="1:7" ht="18.75" customHeight="1" x14ac:dyDescent="0.25">
      <c r="A49" s="7">
        <v>240</v>
      </c>
      <c r="B49" s="59">
        <v>5.9119999999999999</v>
      </c>
      <c r="C49" s="60">
        <v>2720.2</v>
      </c>
      <c r="D49" s="60">
        <v>2956.7</v>
      </c>
      <c r="E49" s="59">
        <v>8.4222000000000001</v>
      </c>
      <c r="F49" s="59"/>
      <c r="G49" s="28"/>
    </row>
    <row r="50" spans="1:7" ht="18.75" customHeight="1" x14ac:dyDescent="0.25">
      <c r="A50" s="7">
        <v>250</v>
      </c>
      <c r="B50" s="59">
        <v>6.0278</v>
      </c>
      <c r="C50" s="60">
        <v>2735.4</v>
      </c>
      <c r="D50" s="60">
        <v>2976.5</v>
      </c>
      <c r="E50" s="59">
        <v>8.4603000000000002</v>
      </c>
      <c r="F50" s="59"/>
      <c r="G50" s="28"/>
    </row>
    <row r="51" spans="1:7" ht="18.75" customHeight="1" x14ac:dyDescent="0.25">
      <c r="A51" s="7">
        <v>260</v>
      </c>
      <c r="B51" s="59">
        <v>6.1436999999999999</v>
      </c>
      <c r="C51" s="60">
        <v>2750.6</v>
      </c>
      <c r="D51" s="60">
        <v>2996.3</v>
      </c>
      <c r="E51" s="59">
        <v>8.4977</v>
      </c>
      <c r="F51" s="59"/>
      <c r="G51" s="28"/>
    </row>
    <row r="52" spans="1:7" ht="18.75" customHeight="1" x14ac:dyDescent="0.25">
      <c r="A52" s="7">
        <v>270</v>
      </c>
      <c r="B52" s="59">
        <v>6.2594000000000003</v>
      </c>
      <c r="C52" s="60">
        <v>2765.7</v>
      </c>
      <c r="D52" s="60">
        <v>3016.1</v>
      </c>
      <c r="E52" s="59">
        <v>8.5345999999999993</v>
      </c>
      <c r="F52" s="59"/>
      <c r="G52" s="28"/>
    </row>
    <row r="53" spans="1:7" ht="18.75" customHeight="1" x14ac:dyDescent="0.25">
      <c r="A53" s="7">
        <v>280</v>
      </c>
      <c r="B53" s="59">
        <v>6.3752000000000004</v>
      </c>
      <c r="C53" s="60">
        <v>2781</v>
      </c>
      <c r="D53" s="60">
        <v>3036</v>
      </c>
      <c r="E53" s="59">
        <v>8.5709</v>
      </c>
      <c r="F53" s="59"/>
      <c r="G53" s="28"/>
    </row>
    <row r="54" spans="1:7" ht="18.75" customHeight="1" x14ac:dyDescent="0.25">
      <c r="A54" s="7">
        <v>290</v>
      </c>
      <c r="B54" s="59">
        <v>6.4908999999999999</v>
      </c>
      <c r="C54" s="60">
        <v>2796.4</v>
      </c>
      <c r="D54" s="60">
        <v>3056</v>
      </c>
      <c r="E54" s="59">
        <v>8.6067</v>
      </c>
      <c r="F54" s="59"/>
      <c r="G54" s="28"/>
    </row>
    <row r="55" spans="1:7" ht="18.75" customHeight="1" x14ac:dyDescent="0.25">
      <c r="A55" s="7">
        <v>300</v>
      </c>
      <c r="B55" s="59">
        <v>6.6066000000000003</v>
      </c>
      <c r="C55" s="60">
        <v>2811.7</v>
      </c>
      <c r="D55" s="60">
        <v>3076</v>
      </c>
      <c r="E55" s="59">
        <v>8.6418999999999997</v>
      </c>
      <c r="F55" s="59"/>
      <c r="G55" s="28"/>
    </row>
    <row r="56" spans="1:7" ht="18.75" customHeight="1" x14ac:dyDescent="0.25">
      <c r="A56" s="7">
        <v>310</v>
      </c>
      <c r="B56" s="59">
        <v>6.7222999999999997</v>
      </c>
      <c r="C56" s="60">
        <v>2827.2</v>
      </c>
      <c r="D56" s="60">
        <v>3096.1</v>
      </c>
      <c r="E56" s="59">
        <v>8.6767000000000003</v>
      </c>
      <c r="F56" s="59"/>
      <c r="G56" s="28"/>
    </row>
    <row r="57" spans="1:7" ht="18.75" customHeight="1" x14ac:dyDescent="0.25">
      <c r="A57" s="7">
        <v>320</v>
      </c>
      <c r="B57" s="59">
        <v>6.8380000000000001</v>
      </c>
      <c r="C57" s="60">
        <v>2842.7</v>
      </c>
      <c r="D57" s="60">
        <v>3116.2</v>
      </c>
      <c r="E57" s="59">
        <v>8.7109000000000005</v>
      </c>
      <c r="F57" s="59"/>
      <c r="G57" s="28"/>
    </row>
    <row r="58" spans="1:7" ht="18.75" customHeight="1" x14ac:dyDescent="0.25">
      <c r="A58" s="7">
        <v>330</v>
      </c>
      <c r="B58" s="59">
        <v>6.9535999999999998</v>
      </c>
      <c r="C58" s="60">
        <v>2858.3</v>
      </c>
      <c r="D58" s="60">
        <v>3136.4</v>
      </c>
      <c r="E58" s="59">
        <v>8.7446999999999999</v>
      </c>
      <c r="F58" s="59"/>
      <c r="G58" s="28"/>
    </row>
    <row r="59" spans="1:7" ht="18.75" customHeight="1" x14ac:dyDescent="0.25">
      <c r="A59" s="7">
        <v>340</v>
      </c>
      <c r="B59" s="59">
        <v>7.0693000000000001</v>
      </c>
      <c r="C59" s="60">
        <v>2873.9</v>
      </c>
      <c r="D59" s="60">
        <v>3156.7</v>
      </c>
      <c r="E59" s="59">
        <v>8.7780000000000005</v>
      </c>
      <c r="F59" s="59"/>
      <c r="G59" s="28"/>
    </row>
    <row r="60" spans="1:7" ht="18.75" customHeight="1" x14ac:dyDescent="0.25">
      <c r="A60" s="7">
        <v>350</v>
      </c>
      <c r="B60" s="59">
        <v>7.1848999999999998</v>
      </c>
      <c r="C60" s="60">
        <v>2889.6</v>
      </c>
      <c r="D60" s="60">
        <v>3177</v>
      </c>
      <c r="E60" s="59">
        <v>8.8108000000000004</v>
      </c>
      <c r="F60" s="59"/>
      <c r="G60" s="28"/>
    </row>
    <row r="61" spans="1:7" ht="18.75" customHeight="1" x14ac:dyDescent="0.25">
      <c r="A61" s="7">
        <v>360</v>
      </c>
      <c r="B61" s="59">
        <v>7.3005000000000004</v>
      </c>
      <c r="C61" s="60">
        <v>2905.4</v>
      </c>
      <c r="D61" s="60">
        <v>3197.4</v>
      </c>
      <c r="E61" s="59">
        <v>8.8432999999999993</v>
      </c>
      <c r="F61" s="59"/>
      <c r="G61" s="28"/>
    </row>
    <row r="62" spans="1:7" ht="18.75" customHeight="1" x14ac:dyDescent="0.25">
      <c r="A62" s="7">
        <v>370</v>
      </c>
      <c r="B62" s="59">
        <v>7.4161000000000001</v>
      </c>
      <c r="C62" s="60">
        <v>2921.2</v>
      </c>
      <c r="D62" s="60">
        <v>3217.8</v>
      </c>
      <c r="E62" s="59">
        <v>8.8752999999999993</v>
      </c>
      <c r="F62" s="59"/>
      <c r="G62" s="28"/>
    </row>
    <row r="63" spans="1:7" ht="18.75" customHeight="1" x14ac:dyDescent="0.25">
      <c r="A63" s="7">
        <v>380</v>
      </c>
      <c r="B63" s="59">
        <v>7.5316000000000001</v>
      </c>
      <c r="C63" s="60">
        <v>2937</v>
      </c>
      <c r="D63" s="60">
        <v>3238.3</v>
      </c>
      <c r="E63" s="59">
        <v>8.9069000000000003</v>
      </c>
      <c r="F63" s="59"/>
      <c r="G63" s="28"/>
    </row>
    <row r="64" spans="1:7" ht="18.75" customHeight="1" x14ac:dyDescent="0.25">
      <c r="A64" s="7">
        <v>390</v>
      </c>
      <c r="B64" s="59">
        <v>7.6471999999999998</v>
      </c>
      <c r="C64" s="60">
        <v>2953</v>
      </c>
      <c r="D64" s="60">
        <v>3258.9</v>
      </c>
      <c r="E64" s="59">
        <v>8.9382000000000001</v>
      </c>
      <c r="F64" s="59"/>
      <c r="G64" s="28"/>
    </row>
    <row r="65" spans="1:7" ht="18.75" customHeight="1" x14ac:dyDescent="0.25">
      <c r="A65" s="7">
        <v>400</v>
      </c>
      <c r="B65" s="59">
        <v>7.7628000000000004</v>
      </c>
      <c r="C65" s="60">
        <v>2969</v>
      </c>
      <c r="D65" s="60">
        <v>3279.5</v>
      </c>
      <c r="E65" s="59">
        <v>8.9690999999999992</v>
      </c>
      <c r="F65" s="59"/>
      <c r="G65" s="28"/>
    </row>
    <row r="66" spans="1:7" ht="18.75" customHeight="1" x14ac:dyDescent="0.25">
      <c r="A66" s="7">
        <v>410</v>
      </c>
      <c r="B66" s="59">
        <v>7.8783000000000003</v>
      </c>
      <c r="C66" s="60">
        <v>2985.1</v>
      </c>
      <c r="D66" s="60">
        <v>3300.2</v>
      </c>
      <c r="E66" s="59">
        <v>8.9995999999999992</v>
      </c>
      <c r="F66" s="59"/>
      <c r="G66" s="28"/>
    </row>
    <row r="67" spans="1:7" ht="18.75" customHeight="1" x14ac:dyDescent="0.25">
      <c r="A67" s="7">
        <v>420</v>
      </c>
      <c r="B67" s="59">
        <v>7.9938000000000002</v>
      </c>
      <c r="C67" s="60">
        <v>3001.1</v>
      </c>
      <c r="D67" s="60">
        <v>3320.9</v>
      </c>
      <c r="E67" s="59">
        <v>9.0297000000000001</v>
      </c>
      <c r="F67" s="59"/>
      <c r="G67" s="28"/>
    </row>
    <row r="68" spans="1:7" ht="18.75" customHeight="1" x14ac:dyDescent="0.25">
      <c r="A68" s="7">
        <v>430</v>
      </c>
      <c r="B68" s="59">
        <v>8.1094000000000008</v>
      </c>
      <c r="C68" s="60">
        <v>3017.4</v>
      </c>
      <c r="D68" s="60">
        <v>3341.8</v>
      </c>
      <c r="E68" s="59">
        <v>9.0595999999999997</v>
      </c>
      <c r="F68" s="59"/>
      <c r="G68" s="28"/>
    </row>
    <row r="69" spans="1:7" ht="18.75" customHeight="1" x14ac:dyDescent="0.25">
      <c r="A69" s="7">
        <v>440</v>
      </c>
      <c r="B69" s="59">
        <v>8.2248999999999999</v>
      </c>
      <c r="C69" s="60">
        <v>3033.6</v>
      </c>
      <c r="D69" s="60">
        <v>3362.6</v>
      </c>
      <c r="E69" s="59">
        <v>9.0891000000000002</v>
      </c>
      <c r="F69" s="59"/>
      <c r="G69" s="28"/>
    </row>
    <row r="70" spans="1:7" ht="18.75" customHeight="1" x14ac:dyDescent="0.25">
      <c r="A70" s="7">
        <v>450</v>
      </c>
      <c r="B70" s="59">
        <v>8.3404000000000007</v>
      </c>
      <c r="C70" s="60">
        <v>3050</v>
      </c>
      <c r="D70" s="60">
        <v>3383.6</v>
      </c>
      <c r="E70" s="59">
        <v>9.1181999999999999</v>
      </c>
      <c r="F70" s="59"/>
      <c r="G70" s="28"/>
    </row>
    <row r="71" spans="1:7" ht="18.75" customHeight="1" x14ac:dyDescent="0.25">
      <c r="A71" s="7">
        <v>460</v>
      </c>
      <c r="B71" s="59">
        <v>8.4558999999999997</v>
      </c>
      <c r="C71" s="60">
        <v>3066.4</v>
      </c>
      <c r="D71" s="60">
        <v>3404.6</v>
      </c>
      <c r="E71" s="59">
        <v>9.1471</v>
      </c>
      <c r="F71" s="59"/>
      <c r="G71" s="28"/>
    </row>
    <row r="72" spans="1:7" ht="18.75" customHeight="1" x14ac:dyDescent="0.25">
      <c r="A72" s="7">
        <v>470</v>
      </c>
      <c r="B72" s="59">
        <v>8.5714000000000006</v>
      </c>
      <c r="C72" s="60">
        <v>3082.8</v>
      </c>
      <c r="D72" s="60">
        <v>3425.7</v>
      </c>
      <c r="E72" s="59">
        <v>9.1757000000000009</v>
      </c>
      <c r="F72" s="59"/>
      <c r="G72" s="28"/>
    </row>
    <row r="73" spans="1:7" ht="18.75" customHeight="1" x14ac:dyDescent="0.25">
      <c r="A73" s="7">
        <v>480</v>
      </c>
      <c r="B73" s="59">
        <v>8.6868999999999996</v>
      </c>
      <c r="C73" s="60">
        <v>3099.4</v>
      </c>
      <c r="D73" s="60">
        <v>3446.9</v>
      </c>
      <c r="E73" s="59">
        <v>9.2039000000000009</v>
      </c>
      <c r="F73" s="59"/>
      <c r="G73" s="28"/>
    </row>
    <row r="74" spans="1:7" ht="18.75" customHeight="1" x14ac:dyDescent="0.25">
      <c r="A74" s="7">
        <v>490</v>
      </c>
      <c r="B74" s="59">
        <v>8.8024000000000004</v>
      </c>
      <c r="C74" s="60">
        <v>3116</v>
      </c>
      <c r="D74" s="60">
        <v>3468.1</v>
      </c>
      <c r="E74" s="59">
        <v>9.2318999999999996</v>
      </c>
      <c r="F74" s="59"/>
      <c r="G74" s="28"/>
    </row>
    <row r="75" spans="1:7" ht="18.75" customHeight="1" x14ac:dyDescent="0.25">
      <c r="A75" s="7">
        <v>500</v>
      </c>
      <c r="B75" s="59">
        <v>8.9178999999999995</v>
      </c>
      <c r="C75" s="60">
        <v>3132.7</v>
      </c>
      <c r="D75" s="60">
        <v>3489.4</v>
      </c>
      <c r="E75" s="59">
        <v>9.2596000000000007</v>
      </c>
      <c r="F75" s="59"/>
      <c r="G75" s="28"/>
    </row>
    <row r="76" spans="1:7" ht="18.75" customHeight="1" x14ac:dyDescent="0.25">
      <c r="A76" s="7">
        <v>520</v>
      </c>
      <c r="B76" s="59">
        <v>9.1487999999999996</v>
      </c>
      <c r="C76" s="60">
        <v>3166.2</v>
      </c>
      <c r="D76" s="60">
        <v>3532.2</v>
      </c>
      <c r="E76" s="59">
        <v>9.3142999999999994</v>
      </c>
      <c r="F76" s="59"/>
      <c r="G76" s="28"/>
    </row>
    <row r="77" spans="1:7" ht="18.75" customHeight="1" x14ac:dyDescent="0.25">
      <c r="A77" s="7">
        <v>540</v>
      </c>
      <c r="B77" s="59">
        <v>9.3797999999999995</v>
      </c>
      <c r="C77" s="60">
        <v>3200</v>
      </c>
      <c r="D77" s="60">
        <v>3575.2</v>
      </c>
      <c r="E77" s="59">
        <v>9.3679000000000006</v>
      </c>
      <c r="F77" s="59"/>
      <c r="G77" s="28"/>
    </row>
    <row r="78" spans="1:7" ht="18.75" customHeight="1" x14ac:dyDescent="0.25">
      <c r="A78" s="7">
        <v>560</v>
      </c>
      <c r="B78" s="59">
        <v>9.6106999999999996</v>
      </c>
      <c r="C78" s="60">
        <v>3234.1</v>
      </c>
      <c r="D78" s="60">
        <v>3618.5</v>
      </c>
      <c r="E78" s="59">
        <v>9.4205000000000005</v>
      </c>
      <c r="F78" s="59"/>
      <c r="G78" s="28"/>
    </row>
    <row r="79" spans="1:7" ht="18.75" customHeight="1" x14ac:dyDescent="0.25">
      <c r="A79" s="7">
        <v>580</v>
      </c>
      <c r="B79" s="59">
        <v>9.8415999999999997</v>
      </c>
      <c r="C79" s="60">
        <v>3268.5</v>
      </c>
      <c r="D79" s="60">
        <v>3662.2</v>
      </c>
      <c r="E79" s="59">
        <v>9.4723000000000006</v>
      </c>
      <c r="F79" s="59"/>
      <c r="G79" s="28"/>
    </row>
    <row r="80" spans="1:7" ht="18.75" customHeight="1" x14ac:dyDescent="0.25">
      <c r="A80" s="7">
        <v>600</v>
      </c>
      <c r="B80" s="46">
        <v>10.073</v>
      </c>
      <c r="C80" s="60">
        <v>3303.1</v>
      </c>
      <c r="D80" s="60">
        <v>3706</v>
      </c>
      <c r="E80" s="59">
        <v>9.5230999999999995</v>
      </c>
      <c r="F80" s="59"/>
      <c r="G80" s="28"/>
    </row>
    <row r="81" spans="1:7" ht="18.75" customHeight="1" x14ac:dyDescent="0.25">
      <c r="A81" s="7">
        <v>620</v>
      </c>
      <c r="B81" s="46">
        <v>10.303000000000001</v>
      </c>
      <c r="C81" s="60">
        <v>3338.1</v>
      </c>
      <c r="D81" s="60">
        <v>3750.2</v>
      </c>
      <c r="E81" s="59">
        <v>9.5731000000000002</v>
      </c>
      <c r="F81" s="59"/>
      <c r="G81" s="28"/>
    </row>
    <row r="82" spans="1:7" ht="18.75" customHeight="1" x14ac:dyDescent="0.25">
      <c r="A82" s="7">
        <v>640</v>
      </c>
      <c r="B82" s="46">
        <v>10.534000000000001</v>
      </c>
      <c r="C82" s="60">
        <v>3373.3</v>
      </c>
      <c r="D82" s="60">
        <v>3794.7</v>
      </c>
      <c r="E82" s="59">
        <v>9.6222999999999992</v>
      </c>
      <c r="F82" s="59"/>
      <c r="G82" s="28"/>
    </row>
    <row r="83" spans="1:7" ht="18.75" customHeight="1" x14ac:dyDescent="0.25">
      <c r="A83" s="7">
        <v>660</v>
      </c>
      <c r="B83" s="46">
        <v>10.765000000000001</v>
      </c>
      <c r="C83" s="60">
        <v>3408.8</v>
      </c>
      <c r="D83" s="60">
        <v>3839.4</v>
      </c>
      <c r="E83" s="59">
        <v>9.6707999999999998</v>
      </c>
      <c r="F83" s="59"/>
      <c r="G83" s="28"/>
    </row>
    <row r="84" spans="1:7" ht="18.75" customHeight="1" x14ac:dyDescent="0.25">
      <c r="A84" s="7">
        <v>680</v>
      </c>
      <c r="B84" s="46">
        <v>10.996</v>
      </c>
      <c r="C84" s="60">
        <v>3444.6</v>
      </c>
      <c r="D84" s="60">
        <v>3884.4</v>
      </c>
      <c r="E84" s="59">
        <v>9.7185000000000006</v>
      </c>
      <c r="F84" s="59"/>
      <c r="G84" s="28"/>
    </row>
    <row r="85" spans="1:7" ht="18.75" customHeight="1" x14ac:dyDescent="0.25">
      <c r="A85" s="7">
        <v>700</v>
      </c>
      <c r="B85" s="46">
        <v>11.227</v>
      </c>
      <c r="C85" s="60">
        <v>3480.6</v>
      </c>
      <c r="D85" s="60">
        <v>3929.7</v>
      </c>
      <c r="E85" s="59">
        <v>9.7655999999999992</v>
      </c>
      <c r="F85" s="59"/>
      <c r="G85" s="28"/>
    </row>
    <row r="86" spans="1:7" ht="18.75" customHeight="1" x14ac:dyDescent="0.25">
      <c r="A86" s="7">
        <v>720</v>
      </c>
      <c r="B86" s="46">
        <v>11.458</v>
      </c>
      <c r="C86" s="60">
        <v>3517</v>
      </c>
      <c r="D86" s="60">
        <v>3975.3</v>
      </c>
      <c r="E86" s="59">
        <v>9.8118999999999996</v>
      </c>
      <c r="F86" s="59"/>
      <c r="G86" s="28"/>
    </row>
    <row r="87" spans="1:7" ht="18.75" customHeight="1" x14ac:dyDescent="0.25">
      <c r="A87" s="7">
        <v>740</v>
      </c>
      <c r="B87" s="46">
        <v>11.689</v>
      </c>
      <c r="C87" s="60">
        <v>3553.6</v>
      </c>
      <c r="D87" s="60">
        <v>4021.2</v>
      </c>
      <c r="E87" s="59">
        <v>9.8576999999999995</v>
      </c>
      <c r="F87" s="59"/>
      <c r="G87" s="28"/>
    </row>
    <row r="88" spans="1:7" ht="18.75" customHeight="1" x14ac:dyDescent="0.25">
      <c r="A88" s="7">
        <v>760</v>
      </c>
      <c r="B88" s="46">
        <v>11.919</v>
      </c>
      <c r="C88" s="60">
        <v>3590.5</v>
      </c>
      <c r="D88" s="60">
        <v>4067.3</v>
      </c>
      <c r="E88" s="59">
        <v>9.9027999999999992</v>
      </c>
      <c r="F88" s="59"/>
      <c r="G88" s="28"/>
    </row>
    <row r="89" spans="1:7" ht="18.75" customHeight="1" x14ac:dyDescent="0.25">
      <c r="A89" s="7">
        <v>780</v>
      </c>
      <c r="B89" s="46">
        <v>12.15</v>
      </c>
      <c r="C89" s="60">
        <v>3627.8</v>
      </c>
      <c r="D89" s="60">
        <v>4113.8</v>
      </c>
      <c r="E89" s="59">
        <v>9.9473000000000003</v>
      </c>
      <c r="F89" s="59"/>
      <c r="G89" s="28"/>
    </row>
    <row r="90" spans="1:7" ht="18.75" customHeight="1" x14ac:dyDescent="0.25">
      <c r="A90" s="7">
        <v>800</v>
      </c>
      <c r="B90" s="46">
        <v>12.381</v>
      </c>
      <c r="C90" s="60">
        <v>3665.3</v>
      </c>
      <c r="D90" s="60">
        <v>4160.5</v>
      </c>
      <c r="E90" s="59">
        <v>9.9911999999999992</v>
      </c>
      <c r="F90" s="46"/>
      <c r="G90" s="28"/>
    </row>
    <row r="91" spans="1:7" ht="18.75" customHeight="1" x14ac:dyDescent="0.25">
      <c r="A91" s="7">
        <v>820</v>
      </c>
      <c r="B91" s="46">
        <v>12.612</v>
      </c>
      <c r="C91" s="60">
        <v>3703</v>
      </c>
      <c r="D91" s="60">
        <v>4207.5</v>
      </c>
      <c r="E91" s="46">
        <v>10.035</v>
      </c>
      <c r="F91" s="46"/>
      <c r="G91" s="28"/>
    </row>
    <row r="92" spans="1:7" ht="18.75" customHeight="1" x14ac:dyDescent="0.25">
      <c r="A92" s="7">
        <v>840</v>
      </c>
      <c r="B92" s="46">
        <v>12.843</v>
      </c>
      <c r="C92" s="60">
        <v>3741.1</v>
      </c>
      <c r="D92" s="60">
        <v>4254.8</v>
      </c>
      <c r="E92" s="46">
        <v>10.077</v>
      </c>
      <c r="F92" s="46"/>
      <c r="G92" s="28"/>
    </row>
    <row r="93" spans="1:7" ht="18.75" customHeight="1" x14ac:dyDescent="0.25">
      <c r="A93" s="7">
        <v>860</v>
      </c>
      <c r="B93" s="46">
        <v>13.074</v>
      </c>
      <c r="C93" s="60">
        <v>3779.3</v>
      </c>
      <c r="D93" s="60">
        <v>4302.3</v>
      </c>
      <c r="E93" s="46">
        <v>10.119999999999999</v>
      </c>
      <c r="F93" s="46"/>
      <c r="G93" s="28"/>
    </row>
    <row r="94" spans="1:7" ht="18.75" customHeight="1" x14ac:dyDescent="0.25">
      <c r="A94" s="7">
        <v>880</v>
      </c>
      <c r="B94" s="46">
        <v>13.304</v>
      </c>
      <c r="C94" s="60">
        <v>3817.9</v>
      </c>
      <c r="D94" s="60">
        <v>4350.1000000000004</v>
      </c>
      <c r="E94" s="46">
        <v>10.162000000000001</v>
      </c>
      <c r="F94" s="46"/>
      <c r="G94" s="28"/>
    </row>
    <row r="95" spans="1:7" ht="18.75" customHeight="1" x14ac:dyDescent="0.25">
      <c r="A95" s="7">
        <v>900</v>
      </c>
      <c r="B95" s="46">
        <v>13.535</v>
      </c>
      <c r="C95" s="60">
        <v>3856.8</v>
      </c>
      <c r="D95" s="60">
        <v>4398.2</v>
      </c>
      <c r="E95" s="46">
        <v>10.202999999999999</v>
      </c>
      <c r="F95" s="46"/>
      <c r="G95" s="28"/>
    </row>
    <row r="96" spans="1:7" ht="18.75" customHeight="1" x14ac:dyDescent="0.25">
      <c r="A96" s="7">
        <v>920</v>
      </c>
      <c r="B96" s="46">
        <v>13.766</v>
      </c>
      <c r="C96" s="60">
        <v>3896</v>
      </c>
      <c r="D96" s="60">
        <v>4446.6000000000004</v>
      </c>
      <c r="E96" s="46">
        <v>10.244</v>
      </c>
      <c r="F96" s="46"/>
      <c r="G96" s="28"/>
    </row>
    <row r="97" spans="1:7" ht="18.75" customHeight="1" x14ac:dyDescent="0.25">
      <c r="A97" s="7">
        <v>940</v>
      </c>
      <c r="B97" s="46">
        <v>13.997</v>
      </c>
      <c r="C97" s="60">
        <v>3935.3</v>
      </c>
      <c r="D97" s="60">
        <v>4495.2</v>
      </c>
      <c r="E97" s="46">
        <v>10.284000000000001</v>
      </c>
      <c r="F97" s="46"/>
      <c r="G97" s="28"/>
    </row>
    <row r="98" spans="1:7" ht="18.75" customHeight="1" x14ac:dyDescent="0.25">
      <c r="A98" s="7">
        <v>960</v>
      </c>
      <c r="B98" s="46">
        <v>14.228</v>
      </c>
      <c r="C98" s="60">
        <v>3975</v>
      </c>
      <c r="D98" s="60">
        <v>4544.1000000000004</v>
      </c>
      <c r="E98" s="46">
        <v>10.324</v>
      </c>
      <c r="F98" s="46"/>
      <c r="G98" s="28"/>
    </row>
    <row r="99" spans="1:7" ht="18.75" customHeight="1" x14ac:dyDescent="0.25">
      <c r="A99" s="7">
        <v>980</v>
      </c>
      <c r="B99" s="46">
        <v>14.458</v>
      </c>
      <c r="C99" s="60">
        <v>4015</v>
      </c>
      <c r="D99" s="60">
        <v>4593.3</v>
      </c>
      <c r="E99" s="46">
        <v>10.364000000000001</v>
      </c>
      <c r="F99" s="46"/>
      <c r="G99" s="28"/>
    </row>
    <row r="100" spans="1:7" ht="13.8" x14ac:dyDescent="0.25">
      <c r="A100" s="7">
        <v>1000</v>
      </c>
      <c r="B100" s="46">
        <v>14.689</v>
      </c>
      <c r="C100" s="60">
        <v>4055.1</v>
      </c>
      <c r="D100" s="60">
        <v>4642.7</v>
      </c>
      <c r="E100" s="46">
        <v>10.403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00"/>
  <sheetViews>
    <sheetView workbookViewId="0">
      <selection activeCell="A22" sqref="A22:XFD22"/>
    </sheetView>
  </sheetViews>
  <sheetFormatPr defaultRowHeight="13.2" x14ac:dyDescent="0.25"/>
  <cols>
    <col min="1" max="1" width="9.5546875" customWidth="1"/>
    <col min="2" max="2" width="9.21875" customWidth="1"/>
    <col min="3" max="3" width="8.2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93" t="s">
        <v>36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50</v>
      </c>
      <c r="F2" s="65"/>
    </row>
    <row r="3" spans="1:8" ht="18.75" customHeight="1" x14ac:dyDescent="0.25">
      <c r="A3" s="39" t="s">
        <v>26</v>
      </c>
      <c r="B3" s="65" t="s">
        <v>27</v>
      </c>
      <c r="C3" s="65" t="s">
        <v>28</v>
      </c>
      <c r="D3" s="65" t="s">
        <v>29</v>
      </c>
      <c r="E3" s="65" t="s">
        <v>30</v>
      </c>
      <c r="F3" s="66"/>
    </row>
    <row r="4" spans="1:8" ht="18.75" customHeight="1" x14ac:dyDescent="0.25">
      <c r="A4" s="36" t="s">
        <v>31</v>
      </c>
      <c r="B4" s="64" t="s">
        <v>18</v>
      </c>
      <c r="C4" s="66" t="s">
        <v>19</v>
      </c>
      <c r="D4" s="66" t="s">
        <v>19</v>
      </c>
      <c r="E4" s="66" t="s">
        <v>32</v>
      </c>
      <c r="F4" s="61"/>
    </row>
    <row r="5" spans="1:8" ht="18.75" customHeight="1" x14ac:dyDescent="0.25">
      <c r="A5" s="38">
        <v>0</v>
      </c>
      <c r="B5" s="62">
        <v>1.00018E-3</v>
      </c>
      <c r="C5" s="63">
        <v>-0.04</v>
      </c>
      <c r="D5" s="63">
        <v>0.01</v>
      </c>
      <c r="E5" s="61">
        <v>-1.4999999999999999E-4</v>
      </c>
      <c r="F5" s="61"/>
    </row>
    <row r="6" spans="1:8" ht="18.75" customHeight="1" x14ac:dyDescent="0.25">
      <c r="A6" s="7">
        <v>5</v>
      </c>
      <c r="B6" s="62">
        <v>1.0000600000000001E-3</v>
      </c>
      <c r="C6" s="63">
        <v>21.02</v>
      </c>
      <c r="D6" s="63">
        <v>21.07</v>
      </c>
      <c r="E6" s="61">
        <v>7.6249999999999998E-2</v>
      </c>
      <c r="F6" s="61"/>
    </row>
    <row r="7" spans="1:8" ht="18.75" customHeight="1" x14ac:dyDescent="0.25">
      <c r="A7" s="7">
        <v>10</v>
      </c>
      <c r="B7" s="62">
        <v>1.0003200000000001E-3</v>
      </c>
      <c r="C7" s="63">
        <v>42.02</v>
      </c>
      <c r="D7" s="63">
        <v>42.07</v>
      </c>
      <c r="E7" s="61">
        <v>0.15107999999999999</v>
      </c>
      <c r="F7" s="61"/>
    </row>
    <row r="8" spans="1:8" ht="18.75" customHeight="1" x14ac:dyDescent="0.25">
      <c r="A8" s="7">
        <v>15</v>
      </c>
      <c r="B8" s="62">
        <v>1.00092E-3</v>
      </c>
      <c r="C8" s="63">
        <v>62.98</v>
      </c>
      <c r="D8" s="63">
        <v>63.03</v>
      </c>
      <c r="E8" s="61">
        <v>0.22445999999999999</v>
      </c>
      <c r="F8" s="61"/>
    </row>
    <row r="9" spans="1:8" ht="18.75" customHeight="1" x14ac:dyDescent="0.25">
      <c r="A9" s="7">
        <v>20</v>
      </c>
      <c r="B9" s="62">
        <v>1.0018200000000001E-3</v>
      </c>
      <c r="C9" s="63">
        <v>83.91</v>
      </c>
      <c r="D9" s="63">
        <v>83.96</v>
      </c>
      <c r="E9" s="61">
        <v>0.29647000000000001</v>
      </c>
      <c r="F9" s="61"/>
    </row>
    <row r="10" spans="1:8" ht="18.75" customHeight="1" x14ac:dyDescent="0.25">
      <c r="A10" s="7">
        <v>25</v>
      </c>
      <c r="B10" s="62">
        <v>1.0029800000000001E-3</v>
      </c>
      <c r="C10" s="63">
        <v>104.82</v>
      </c>
      <c r="D10" s="63">
        <v>104.87</v>
      </c>
      <c r="E10" s="61">
        <v>0.36720999999999998</v>
      </c>
      <c r="F10" s="61"/>
    </row>
    <row r="11" spans="1:8" ht="18.75" customHeight="1" x14ac:dyDescent="0.25">
      <c r="A11" s="7">
        <v>30</v>
      </c>
      <c r="B11" s="62">
        <v>1.00439E-3</v>
      </c>
      <c r="C11" s="63">
        <v>125.73</v>
      </c>
      <c r="D11" s="63">
        <v>125.78</v>
      </c>
      <c r="E11" s="61">
        <v>0.43674000000000002</v>
      </c>
      <c r="F11" s="61"/>
    </row>
    <row r="12" spans="1:8" ht="18.75" customHeight="1" x14ac:dyDescent="0.25">
      <c r="A12" s="7">
        <v>35</v>
      </c>
      <c r="B12" s="62">
        <v>1.00603E-3</v>
      </c>
      <c r="C12" s="63">
        <v>146.62</v>
      </c>
      <c r="D12" s="63">
        <v>146.66999999999999</v>
      </c>
      <c r="E12" s="61">
        <v>0.50510999999999995</v>
      </c>
      <c r="F12" s="61"/>
    </row>
    <row r="13" spans="1:8" ht="18.75" customHeight="1" x14ac:dyDescent="0.25">
      <c r="A13" s="7">
        <v>40</v>
      </c>
      <c r="B13" s="62">
        <v>1.0078699999999999E-3</v>
      </c>
      <c r="C13" s="63">
        <v>167.52</v>
      </c>
      <c r="D13" s="63">
        <v>167.57</v>
      </c>
      <c r="E13" s="61">
        <v>0.57238999999999995</v>
      </c>
      <c r="F13" s="61"/>
    </row>
    <row r="14" spans="1:8" ht="18.75" customHeight="1" x14ac:dyDescent="0.25">
      <c r="A14" s="7">
        <v>45</v>
      </c>
      <c r="B14" s="62">
        <v>1.0099099999999999E-3</v>
      </c>
      <c r="C14" s="63">
        <v>188.42</v>
      </c>
      <c r="D14" s="63">
        <v>188.47</v>
      </c>
      <c r="E14" s="61">
        <v>0.63859999999999995</v>
      </c>
      <c r="F14" s="61"/>
    </row>
    <row r="15" spans="1:8" ht="18.75" customHeight="1" x14ac:dyDescent="0.25">
      <c r="A15" s="7">
        <v>50</v>
      </c>
      <c r="B15" s="62">
        <v>1.01213E-3</v>
      </c>
      <c r="C15" s="63">
        <v>209.32</v>
      </c>
      <c r="D15" s="63">
        <v>209.37</v>
      </c>
      <c r="E15" s="61">
        <v>0.70379000000000003</v>
      </c>
      <c r="F15" s="61"/>
    </row>
    <row r="16" spans="1:8" ht="18.75" customHeight="1" x14ac:dyDescent="0.25">
      <c r="A16" s="7">
        <v>55</v>
      </c>
      <c r="B16" s="62">
        <v>1.01454E-3</v>
      </c>
      <c r="C16" s="63">
        <v>230.24</v>
      </c>
      <c r="D16" s="63">
        <v>230.29</v>
      </c>
      <c r="E16" s="61">
        <v>0.76800999999999997</v>
      </c>
      <c r="F16" s="61"/>
    </row>
    <row r="17" spans="1:6" ht="18.75" customHeight="1" x14ac:dyDescent="0.25">
      <c r="A17" s="7">
        <v>60</v>
      </c>
      <c r="B17" s="62">
        <v>1.0171100000000001E-3</v>
      </c>
      <c r="C17" s="63">
        <v>251.16</v>
      </c>
      <c r="D17" s="63">
        <v>251.21</v>
      </c>
      <c r="E17" s="61">
        <v>0.83128000000000002</v>
      </c>
      <c r="F17" s="61"/>
    </row>
    <row r="18" spans="1:6" ht="18.75" customHeight="1" x14ac:dyDescent="0.25">
      <c r="A18" s="7">
        <v>65</v>
      </c>
      <c r="B18" s="62">
        <v>1.01986E-3</v>
      </c>
      <c r="C18" s="63">
        <v>272.08999999999997</v>
      </c>
      <c r="D18" s="63">
        <v>272.14</v>
      </c>
      <c r="E18" s="61">
        <v>0.89363999999999999</v>
      </c>
      <c r="F18" s="61"/>
    </row>
    <row r="19" spans="1:6" ht="18.75" customHeight="1" x14ac:dyDescent="0.25">
      <c r="A19" s="7">
        <v>70</v>
      </c>
      <c r="B19" s="62">
        <v>1.0227599999999999E-3</v>
      </c>
      <c r="C19" s="63">
        <v>293.02999999999997</v>
      </c>
      <c r="D19" s="63">
        <v>293.08</v>
      </c>
      <c r="E19" s="61">
        <v>0.95511999999999997</v>
      </c>
      <c r="F19" s="59"/>
    </row>
    <row r="20" spans="1:6" ht="18.75" customHeight="1" x14ac:dyDescent="0.25">
      <c r="A20" s="7">
        <v>75</v>
      </c>
      <c r="B20" s="62">
        <v>1.0258299999999999E-3</v>
      </c>
      <c r="C20" s="63">
        <v>313.99</v>
      </c>
      <c r="D20" s="63">
        <v>314.04000000000002</v>
      </c>
      <c r="E20" s="59">
        <v>1.0158</v>
      </c>
      <c r="F20" s="59"/>
    </row>
    <row r="21" spans="1:6" ht="18.75" customHeight="1" x14ac:dyDescent="0.25">
      <c r="A21" s="7">
        <v>80</v>
      </c>
      <c r="B21" s="62">
        <v>1.0290500000000001E-3</v>
      </c>
      <c r="C21" s="63">
        <v>334.96</v>
      </c>
      <c r="D21" s="63">
        <v>335.01</v>
      </c>
      <c r="E21" s="59">
        <v>1.0755999999999999</v>
      </c>
      <c r="F21" s="59"/>
    </row>
    <row r="22" spans="1:6" ht="18.75" customHeight="1" x14ac:dyDescent="0.25">
      <c r="A22" s="7">
        <v>85</v>
      </c>
      <c r="B22" s="59">
        <v>3.2753999999999999</v>
      </c>
      <c r="C22" s="60">
        <v>2488.8000000000002</v>
      </c>
      <c r="D22" s="60">
        <v>2652.6</v>
      </c>
      <c r="E22" s="59">
        <v>7.6138000000000003</v>
      </c>
      <c r="F22" s="59"/>
    </row>
    <row r="23" spans="1:6" ht="18.75" customHeight="1" x14ac:dyDescent="0.25">
      <c r="A23" s="7">
        <v>90</v>
      </c>
      <c r="B23" s="59">
        <v>3.3233000000000001</v>
      </c>
      <c r="C23" s="60">
        <v>2496.4</v>
      </c>
      <c r="D23" s="60">
        <v>2662.6</v>
      </c>
      <c r="E23" s="59">
        <v>7.6414999999999997</v>
      </c>
      <c r="F23" s="59"/>
    </row>
    <row r="24" spans="1:6" ht="18.75" customHeight="1" x14ac:dyDescent="0.25">
      <c r="A24" s="7">
        <v>95</v>
      </c>
      <c r="B24" s="59">
        <v>3.3711000000000002</v>
      </c>
      <c r="C24" s="60">
        <v>2503.9</v>
      </c>
      <c r="D24" s="60">
        <v>2672.5</v>
      </c>
      <c r="E24" s="59">
        <v>7.6685999999999996</v>
      </c>
      <c r="F24" s="59"/>
    </row>
    <row r="25" spans="1:6" ht="18.75" customHeight="1" x14ac:dyDescent="0.25">
      <c r="A25" s="7">
        <v>100</v>
      </c>
      <c r="B25" s="59">
        <v>3.4186999999999999</v>
      </c>
      <c r="C25" s="60">
        <v>2511.5</v>
      </c>
      <c r="D25" s="60">
        <v>2682.4</v>
      </c>
      <c r="E25" s="59">
        <v>7.6952999999999996</v>
      </c>
      <c r="F25" s="59"/>
    </row>
    <row r="26" spans="1:6" ht="18.75" customHeight="1" x14ac:dyDescent="0.25">
      <c r="A26" s="7">
        <v>105</v>
      </c>
      <c r="B26" s="59">
        <v>3.4661</v>
      </c>
      <c r="C26" s="60">
        <v>2519</v>
      </c>
      <c r="D26" s="60">
        <v>2692.3</v>
      </c>
      <c r="E26" s="59">
        <v>7.7214999999999998</v>
      </c>
      <c r="F26" s="59"/>
    </row>
    <row r="27" spans="1:6" ht="18.75" customHeight="1" x14ac:dyDescent="0.25">
      <c r="A27" s="7">
        <v>110</v>
      </c>
      <c r="B27" s="59">
        <v>3.5135000000000001</v>
      </c>
      <c r="C27" s="60">
        <v>2526.4</v>
      </c>
      <c r="D27" s="60">
        <v>2702.1</v>
      </c>
      <c r="E27" s="59">
        <v>7.7473999999999998</v>
      </c>
      <c r="F27" s="59"/>
    </row>
    <row r="28" spans="1:6" ht="18.75" customHeight="1" x14ac:dyDescent="0.25">
      <c r="A28" s="7">
        <v>115</v>
      </c>
      <c r="B28" s="59">
        <v>3.5608</v>
      </c>
      <c r="C28" s="60">
        <v>2533.9</v>
      </c>
      <c r="D28" s="60">
        <v>2711.9</v>
      </c>
      <c r="E28" s="59">
        <v>7.7728000000000002</v>
      </c>
      <c r="F28" s="59"/>
    </row>
    <row r="29" spans="1:6" ht="18.75" customHeight="1" x14ac:dyDescent="0.25">
      <c r="A29" s="7">
        <v>120</v>
      </c>
      <c r="B29" s="59">
        <v>3.6080000000000001</v>
      </c>
      <c r="C29" s="60">
        <v>2541.3000000000002</v>
      </c>
      <c r="D29" s="60">
        <v>2721.7</v>
      </c>
      <c r="E29" s="59">
        <v>7.7977999999999996</v>
      </c>
      <c r="F29" s="59"/>
    </row>
    <row r="30" spans="1:6" ht="18.75" customHeight="1" x14ac:dyDescent="0.25">
      <c r="A30" s="7">
        <v>125</v>
      </c>
      <c r="B30" s="59">
        <v>3.6551</v>
      </c>
      <c r="C30" s="60">
        <v>2548.6999999999998</v>
      </c>
      <c r="D30" s="60">
        <v>2731.5</v>
      </c>
      <c r="E30" s="59">
        <v>7.8224999999999998</v>
      </c>
      <c r="F30" s="59"/>
    </row>
    <row r="31" spans="1:6" ht="18.75" customHeight="1" x14ac:dyDescent="0.25">
      <c r="A31" s="7">
        <v>130</v>
      </c>
      <c r="B31" s="59">
        <v>3.7021000000000002</v>
      </c>
      <c r="C31" s="60">
        <v>2556.1</v>
      </c>
      <c r="D31" s="60">
        <v>2741.2</v>
      </c>
      <c r="E31" s="59">
        <v>7.8468999999999998</v>
      </c>
      <c r="F31" s="59"/>
    </row>
    <row r="32" spans="1:6" ht="18.75" customHeight="1" x14ac:dyDescent="0.25">
      <c r="A32" s="7">
        <v>135</v>
      </c>
      <c r="B32" s="59">
        <v>3.7490999999999999</v>
      </c>
      <c r="C32" s="60">
        <v>2563.5</v>
      </c>
      <c r="D32" s="60">
        <v>2751</v>
      </c>
      <c r="E32" s="59">
        <v>7.8710000000000004</v>
      </c>
      <c r="F32" s="59"/>
    </row>
    <row r="33" spans="1:6" ht="18.75" customHeight="1" x14ac:dyDescent="0.25">
      <c r="A33" s="7">
        <v>140</v>
      </c>
      <c r="B33" s="59">
        <v>3.7959999999999998</v>
      </c>
      <c r="C33" s="60">
        <v>2570.9</v>
      </c>
      <c r="D33" s="60">
        <v>2760.7</v>
      </c>
      <c r="E33" s="59">
        <v>7.8947000000000003</v>
      </c>
      <c r="F33" s="59"/>
    </row>
    <row r="34" spans="1:6" ht="18.75" customHeight="1" x14ac:dyDescent="0.25">
      <c r="A34" s="7">
        <v>145</v>
      </c>
      <c r="B34" s="59">
        <v>3.8429000000000002</v>
      </c>
      <c r="C34" s="60">
        <v>2578.4</v>
      </c>
      <c r="D34" s="60">
        <v>2770.5</v>
      </c>
      <c r="E34" s="59">
        <v>7.9180999999999999</v>
      </c>
      <c r="F34" s="59"/>
    </row>
    <row r="35" spans="1:6" ht="18.75" customHeight="1" x14ac:dyDescent="0.25">
      <c r="A35" s="7">
        <v>150</v>
      </c>
      <c r="B35" s="59">
        <v>3.8896999999999999</v>
      </c>
      <c r="C35" s="60">
        <v>2585.6999999999998</v>
      </c>
      <c r="D35" s="60">
        <v>2780.2</v>
      </c>
      <c r="E35" s="59">
        <v>7.9413</v>
      </c>
      <c r="F35" s="59"/>
    </row>
    <row r="36" spans="1:6" ht="18.75" customHeight="1" x14ac:dyDescent="0.25">
      <c r="A36" s="7">
        <v>155</v>
      </c>
      <c r="B36" s="59">
        <v>3.9365000000000001</v>
      </c>
      <c r="C36" s="60">
        <v>2593.1999999999998</v>
      </c>
      <c r="D36" s="60">
        <v>2790</v>
      </c>
      <c r="E36" s="59">
        <v>7.9641999999999999</v>
      </c>
      <c r="F36" s="59"/>
    </row>
    <row r="37" spans="1:6" ht="18.75" customHeight="1" x14ac:dyDescent="0.25">
      <c r="A37" s="7">
        <v>160</v>
      </c>
      <c r="B37" s="59">
        <v>3.9832999999999998</v>
      </c>
      <c r="C37" s="60">
        <v>2600.5</v>
      </c>
      <c r="D37" s="60">
        <v>2799.7</v>
      </c>
      <c r="E37" s="59">
        <v>7.9867999999999997</v>
      </c>
      <c r="F37" s="59"/>
    </row>
    <row r="38" spans="1:6" ht="18.75" customHeight="1" x14ac:dyDescent="0.25">
      <c r="A38" s="7">
        <v>165</v>
      </c>
      <c r="B38" s="59">
        <v>4.03</v>
      </c>
      <c r="C38" s="60">
        <v>2607.9</v>
      </c>
      <c r="D38" s="60">
        <v>2809.4</v>
      </c>
      <c r="E38" s="59">
        <v>8.0091000000000001</v>
      </c>
      <c r="F38" s="59"/>
    </row>
    <row r="39" spans="1:6" ht="18.75" customHeight="1" x14ac:dyDescent="0.25">
      <c r="A39" s="7">
        <v>170</v>
      </c>
      <c r="B39" s="59">
        <v>4.0766</v>
      </c>
      <c r="C39" s="60">
        <v>2615.4</v>
      </c>
      <c r="D39" s="60">
        <v>2819.2</v>
      </c>
      <c r="E39" s="59">
        <v>8.0312000000000001</v>
      </c>
      <c r="F39" s="59"/>
    </row>
    <row r="40" spans="1:6" ht="18.75" customHeight="1" x14ac:dyDescent="0.25">
      <c r="A40" s="7">
        <v>175</v>
      </c>
      <c r="B40" s="59">
        <v>4.1233000000000004</v>
      </c>
      <c r="C40" s="60">
        <v>2622.7</v>
      </c>
      <c r="D40" s="60">
        <v>2828.9</v>
      </c>
      <c r="E40" s="59">
        <v>8.0531000000000006</v>
      </c>
      <c r="F40" s="59"/>
    </row>
    <row r="41" spans="1:6" ht="18.75" customHeight="1" x14ac:dyDescent="0.25">
      <c r="A41" s="7">
        <v>180</v>
      </c>
      <c r="B41" s="59">
        <v>4.1699000000000002</v>
      </c>
      <c r="C41" s="60">
        <v>2630.2</v>
      </c>
      <c r="D41" s="60">
        <v>2838.7</v>
      </c>
      <c r="E41" s="59">
        <v>8.0747999999999998</v>
      </c>
      <c r="F41" s="59"/>
    </row>
    <row r="42" spans="1:6" ht="18.75" customHeight="1" x14ac:dyDescent="0.25">
      <c r="A42" s="7">
        <v>185</v>
      </c>
      <c r="B42" s="59">
        <v>4.2164999999999999</v>
      </c>
      <c r="C42" s="60">
        <v>2637.6</v>
      </c>
      <c r="D42" s="60">
        <v>2848.4</v>
      </c>
      <c r="E42" s="59">
        <v>8.0961999999999996</v>
      </c>
      <c r="F42" s="59"/>
    </row>
    <row r="43" spans="1:6" ht="18.75" customHeight="1" x14ac:dyDescent="0.25">
      <c r="A43" s="7">
        <v>190</v>
      </c>
      <c r="B43" s="59">
        <v>4.2630999999999997</v>
      </c>
      <c r="C43" s="60">
        <v>2645</v>
      </c>
      <c r="D43" s="60">
        <v>2858.2</v>
      </c>
      <c r="E43" s="59">
        <v>8.1173999999999999</v>
      </c>
      <c r="F43" s="59"/>
    </row>
    <row r="44" spans="1:6" ht="18.75" customHeight="1" x14ac:dyDescent="0.25">
      <c r="A44" s="7">
        <v>195</v>
      </c>
      <c r="B44" s="59">
        <v>4.3095999999999997</v>
      </c>
      <c r="C44" s="60">
        <v>2652.5</v>
      </c>
      <c r="D44" s="60">
        <v>2868</v>
      </c>
      <c r="E44" s="59">
        <v>8.1384000000000007</v>
      </c>
      <c r="F44" s="59"/>
    </row>
    <row r="45" spans="1:6" ht="18.75" customHeight="1" x14ac:dyDescent="0.25">
      <c r="A45" s="7">
        <v>200</v>
      </c>
      <c r="B45" s="59">
        <v>4.3562000000000003</v>
      </c>
      <c r="C45" s="60">
        <v>2660</v>
      </c>
      <c r="D45" s="60">
        <v>2877.8</v>
      </c>
      <c r="E45" s="59">
        <v>8.1592000000000002</v>
      </c>
      <c r="F45" s="59"/>
    </row>
    <row r="46" spans="1:6" ht="18.75" customHeight="1" x14ac:dyDescent="0.25">
      <c r="A46" s="7">
        <v>210</v>
      </c>
      <c r="B46" s="59">
        <v>4.4492000000000003</v>
      </c>
      <c r="C46" s="60">
        <v>2674.9</v>
      </c>
      <c r="D46" s="60">
        <v>2897.4</v>
      </c>
      <c r="E46" s="59">
        <v>8.2001000000000008</v>
      </c>
      <c r="F46" s="59"/>
    </row>
    <row r="47" spans="1:6" ht="18.75" customHeight="1" x14ac:dyDescent="0.25">
      <c r="A47" s="7">
        <v>220</v>
      </c>
      <c r="B47" s="59">
        <v>4.5420999999999996</v>
      </c>
      <c r="C47" s="60">
        <v>2689.9</v>
      </c>
      <c r="D47" s="60">
        <v>2917</v>
      </c>
      <c r="E47" s="59">
        <v>8.2403999999999993</v>
      </c>
      <c r="F47" s="59"/>
    </row>
    <row r="48" spans="1:6" ht="18.75" customHeight="1" x14ac:dyDescent="0.25">
      <c r="A48" s="7">
        <v>230</v>
      </c>
      <c r="B48" s="59">
        <v>4.6349999999999998</v>
      </c>
      <c r="C48" s="60">
        <v>2704.9</v>
      </c>
      <c r="D48" s="60">
        <v>2936.7</v>
      </c>
      <c r="E48" s="59">
        <v>8.2798999999999996</v>
      </c>
      <c r="F48" s="59"/>
    </row>
    <row r="49" spans="1:6" ht="18.75" customHeight="1" x14ac:dyDescent="0.25">
      <c r="A49" s="7">
        <v>240</v>
      </c>
      <c r="B49" s="59">
        <v>4.7278000000000002</v>
      </c>
      <c r="C49" s="60">
        <v>2720</v>
      </c>
      <c r="D49" s="60">
        <v>2956.4</v>
      </c>
      <c r="E49" s="59">
        <v>8.3186999999999998</v>
      </c>
      <c r="F49" s="59"/>
    </row>
    <row r="50" spans="1:6" ht="18.75" customHeight="1" x14ac:dyDescent="0.25">
      <c r="A50" s="7">
        <v>250</v>
      </c>
      <c r="B50" s="59">
        <v>4.8205999999999998</v>
      </c>
      <c r="C50" s="60">
        <v>2735.1</v>
      </c>
      <c r="D50" s="60">
        <v>2976.1</v>
      </c>
      <c r="E50" s="59">
        <v>8.3567999999999998</v>
      </c>
      <c r="F50" s="59"/>
    </row>
    <row r="51" spans="1:6" ht="18.75" customHeight="1" x14ac:dyDescent="0.25">
      <c r="A51" s="7">
        <v>260</v>
      </c>
      <c r="B51" s="59">
        <v>4.9134000000000002</v>
      </c>
      <c r="C51" s="60">
        <v>2750.3</v>
      </c>
      <c r="D51" s="60">
        <v>2996</v>
      </c>
      <c r="E51" s="59">
        <v>8.3942999999999994</v>
      </c>
      <c r="F51" s="59"/>
    </row>
    <row r="52" spans="1:6" ht="18.75" customHeight="1" x14ac:dyDescent="0.25">
      <c r="A52" s="7">
        <v>270</v>
      </c>
      <c r="B52" s="59">
        <v>5.0061</v>
      </c>
      <c r="C52" s="60">
        <v>2765.5</v>
      </c>
      <c r="D52" s="60">
        <v>3015.8</v>
      </c>
      <c r="E52" s="59">
        <v>8.4313000000000002</v>
      </c>
      <c r="F52" s="59"/>
    </row>
    <row r="53" spans="1:6" ht="18.75" customHeight="1" x14ac:dyDescent="0.25">
      <c r="A53" s="7">
        <v>280</v>
      </c>
      <c r="B53" s="59">
        <v>5.0987999999999998</v>
      </c>
      <c r="C53" s="60">
        <v>2780.9</v>
      </c>
      <c r="D53" s="60">
        <v>3035.8</v>
      </c>
      <c r="E53" s="59">
        <v>8.4675999999999991</v>
      </c>
      <c r="F53" s="59"/>
    </row>
    <row r="54" spans="1:6" ht="18.75" customHeight="1" x14ac:dyDescent="0.25">
      <c r="A54" s="7">
        <v>290</v>
      </c>
      <c r="B54" s="59">
        <v>5.1913999999999998</v>
      </c>
      <c r="C54" s="60">
        <v>2796.1</v>
      </c>
      <c r="D54" s="60">
        <v>3055.7</v>
      </c>
      <c r="E54" s="59">
        <v>8.5033999999999992</v>
      </c>
      <c r="F54" s="59"/>
    </row>
    <row r="55" spans="1:6" ht="18.75" customHeight="1" x14ac:dyDescent="0.25">
      <c r="A55" s="7">
        <v>300</v>
      </c>
      <c r="B55" s="59">
        <v>5.2839999999999998</v>
      </c>
      <c r="C55" s="60">
        <v>2811.6</v>
      </c>
      <c r="D55" s="60">
        <v>3075.8</v>
      </c>
      <c r="E55" s="59">
        <v>8.5386000000000006</v>
      </c>
      <c r="F55" s="59"/>
    </row>
    <row r="56" spans="1:6" ht="18.75" customHeight="1" x14ac:dyDescent="0.25">
      <c r="A56" s="7">
        <v>310</v>
      </c>
      <c r="B56" s="59">
        <v>5.3766999999999996</v>
      </c>
      <c r="C56" s="60">
        <v>2827</v>
      </c>
      <c r="D56" s="60">
        <v>3095.8</v>
      </c>
      <c r="E56" s="59">
        <v>8.5733999999999995</v>
      </c>
      <c r="F56" s="59"/>
    </row>
    <row r="57" spans="1:6" ht="18.75" customHeight="1" x14ac:dyDescent="0.25">
      <c r="A57" s="7">
        <v>320</v>
      </c>
      <c r="B57" s="59">
        <v>5.4691999999999998</v>
      </c>
      <c r="C57" s="60">
        <v>2842.5</v>
      </c>
      <c r="D57" s="60">
        <v>3116</v>
      </c>
      <c r="E57" s="59">
        <v>8.6075999999999997</v>
      </c>
      <c r="F57" s="59"/>
    </row>
    <row r="58" spans="1:6" ht="18.75" customHeight="1" x14ac:dyDescent="0.25">
      <c r="A58" s="7">
        <v>330</v>
      </c>
      <c r="B58" s="59">
        <v>5.5617999999999999</v>
      </c>
      <c r="C58" s="60">
        <v>2858.1</v>
      </c>
      <c r="D58" s="60">
        <v>3136.2</v>
      </c>
      <c r="E58" s="59">
        <v>8.6414000000000009</v>
      </c>
      <c r="F58" s="59"/>
    </row>
    <row r="59" spans="1:6" ht="18.75" customHeight="1" x14ac:dyDescent="0.25">
      <c r="A59" s="7">
        <v>340</v>
      </c>
      <c r="B59" s="59">
        <v>5.6543999999999999</v>
      </c>
      <c r="C59" s="60">
        <v>2873.8</v>
      </c>
      <c r="D59" s="60">
        <v>3156.5</v>
      </c>
      <c r="E59" s="59">
        <v>8.6746999999999996</v>
      </c>
      <c r="F59" s="59"/>
    </row>
    <row r="60" spans="1:6" ht="18.75" customHeight="1" x14ac:dyDescent="0.25">
      <c r="A60" s="7">
        <v>350</v>
      </c>
      <c r="B60" s="59">
        <v>5.7469000000000001</v>
      </c>
      <c r="C60" s="60">
        <v>2889.5</v>
      </c>
      <c r="D60" s="60">
        <v>3176.8</v>
      </c>
      <c r="E60" s="59">
        <v>8.7075999999999993</v>
      </c>
      <c r="F60" s="59"/>
    </row>
    <row r="61" spans="1:6" ht="18.75" customHeight="1" x14ac:dyDescent="0.25">
      <c r="A61" s="7">
        <v>360</v>
      </c>
      <c r="B61" s="59">
        <v>5.8394000000000004</v>
      </c>
      <c r="C61" s="60">
        <v>2905.2</v>
      </c>
      <c r="D61" s="60">
        <v>3197.2</v>
      </c>
      <c r="E61" s="59">
        <v>8.7401</v>
      </c>
      <c r="F61" s="59"/>
    </row>
    <row r="62" spans="1:6" ht="18.75" customHeight="1" x14ac:dyDescent="0.25">
      <c r="A62" s="7">
        <v>370</v>
      </c>
      <c r="B62" s="59">
        <v>5.9318999999999997</v>
      </c>
      <c r="C62" s="60">
        <v>2921</v>
      </c>
      <c r="D62" s="60">
        <v>3217.6</v>
      </c>
      <c r="E62" s="59">
        <v>8.7721</v>
      </c>
      <c r="F62" s="59"/>
    </row>
    <row r="63" spans="1:6" ht="18.75" customHeight="1" x14ac:dyDescent="0.25">
      <c r="A63" s="7">
        <v>380</v>
      </c>
      <c r="B63" s="59">
        <v>6.0244</v>
      </c>
      <c r="C63" s="60">
        <v>2936.9</v>
      </c>
      <c r="D63" s="60">
        <v>3238.1</v>
      </c>
      <c r="E63" s="59">
        <v>8.8038000000000007</v>
      </c>
      <c r="F63" s="59"/>
    </row>
    <row r="64" spans="1:6" ht="18.75" customHeight="1" x14ac:dyDescent="0.25">
      <c r="A64" s="7">
        <v>390</v>
      </c>
      <c r="B64" s="59">
        <v>6.1169000000000002</v>
      </c>
      <c r="C64" s="60">
        <v>2952.9</v>
      </c>
      <c r="D64" s="60">
        <v>3258.7</v>
      </c>
      <c r="E64" s="59">
        <v>8.8350000000000009</v>
      </c>
      <c r="F64" s="59"/>
    </row>
    <row r="65" spans="1:6" ht="18.75" customHeight="1" x14ac:dyDescent="0.25">
      <c r="A65" s="7">
        <v>400</v>
      </c>
      <c r="B65" s="59">
        <v>6.2093999999999996</v>
      </c>
      <c r="C65" s="60">
        <v>2968.8</v>
      </c>
      <c r="D65" s="60">
        <v>3279.3</v>
      </c>
      <c r="E65" s="59">
        <v>8.8658999999999999</v>
      </c>
      <c r="F65" s="59"/>
    </row>
    <row r="66" spans="1:6" ht="18.75" customHeight="1" x14ac:dyDescent="0.25">
      <c r="A66" s="7">
        <v>410</v>
      </c>
      <c r="B66" s="59">
        <v>6.3018999999999998</v>
      </c>
      <c r="C66" s="60">
        <v>2984.9</v>
      </c>
      <c r="D66" s="60">
        <v>3300</v>
      </c>
      <c r="E66" s="59">
        <v>8.8963999999999999</v>
      </c>
      <c r="F66" s="59"/>
    </row>
    <row r="67" spans="1:6" ht="18.75" customHeight="1" x14ac:dyDescent="0.25">
      <c r="A67" s="7">
        <v>420</v>
      </c>
      <c r="B67" s="59">
        <v>6.3943000000000003</v>
      </c>
      <c r="C67" s="60">
        <v>3001.1</v>
      </c>
      <c r="D67" s="60">
        <v>3320.8</v>
      </c>
      <c r="E67" s="59">
        <v>8.9266000000000005</v>
      </c>
      <c r="F67" s="59"/>
    </row>
    <row r="68" spans="1:6" ht="18.75" customHeight="1" x14ac:dyDescent="0.25">
      <c r="A68" s="7">
        <v>430</v>
      </c>
      <c r="B68" s="59">
        <v>6.4867999999999997</v>
      </c>
      <c r="C68" s="60">
        <v>3017.3</v>
      </c>
      <c r="D68" s="60">
        <v>3341.6</v>
      </c>
      <c r="E68" s="59">
        <v>8.9564000000000004</v>
      </c>
      <c r="F68" s="59"/>
    </row>
    <row r="69" spans="1:6" ht="18.75" customHeight="1" x14ac:dyDescent="0.25">
      <c r="A69" s="7">
        <v>440</v>
      </c>
      <c r="B69" s="59">
        <v>6.5792000000000002</v>
      </c>
      <c r="C69" s="60">
        <v>3033.5</v>
      </c>
      <c r="D69" s="60">
        <v>3362.5</v>
      </c>
      <c r="E69" s="59">
        <v>8.9859000000000009</v>
      </c>
      <c r="F69" s="59"/>
    </row>
    <row r="70" spans="1:6" ht="18.75" customHeight="1" x14ac:dyDescent="0.25">
      <c r="A70" s="7">
        <v>450</v>
      </c>
      <c r="B70" s="59">
        <v>6.6717000000000004</v>
      </c>
      <c r="C70" s="60">
        <v>3049.9</v>
      </c>
      <c r="D70" s="60">
        <v>3383.5</v>
      </c>
      <c r="E70" s="59">
        <v>9.0151000000000003</v>
      </c>
      <c r="F70" s="59"/>
    </row>
    <row r="71" spans="1:6" ht="18.75" customHeight="1" x14ac:dyDescent="0.25">
      <c r="A71" s="7">
        <v>460</v>
      </c>
      <c r="B71" s="59">
        <v>6.7641</v>
      </c>
      <c r="C71" s="60">
        <v>3066.3</v>
      </c>
      <c r="D71" s="60">
        <v>3404.5</v>
      </c>
      <c r="E71" s="59">
        <v>9.0440000000000005</v>
      </c>
      <c r="F71" s="59"/>
    </row>
    <row r="72" spans="1:6" ht="18.75" customHeight="1" x14ac:dyDescent="0.25">
      <c r="A72" s="7">
        <v>470</v>
      </c>
      <c r="B72" s="59">
        <v>6.8564999999999996</v>
      </c>
      <c r="C72" s="60">
        <v>3082.8</v>
      </c>
      <c r="D72" s="60">
        <v>3425.6</v>
      </c>
      <c r="E72" s="59">
        <v>9.0725999999999996</v>
      </c>
      <c r="F72" s="59"/>
    </row>
    <row r="73" spans="1:6" ht="18.75" customHeight="1" x14ac:dyDescent="0.25">
      <c r="A73" s="7">
        <v>480</v>
      </c>
      <c r="B73" s="59">
        <v>6.9489000000000001</v>
      </c>
      <c r="C73" s="60">
        <v>3099.3</v>
      </c>
      <c r="D73" s="60">
        <v>3446.7</v>
      </c>
      <c r="E73" s="59">
        <v>9.1007999999999996</v>
      </c>
      <c r="F73" s="59"/>
    </row>
    <row r="74" spans="1:6" ht="18.75" customHeight="1" x14ac:dyDescent="0.25">
      <c r="A74" s="7">
        <v>490</v>
      </c>
      <c r="B74" s="59">
        <v>7.0414000000000003</v>
      </c>
      <c r="C74" s="60">
        <v>3115.9</v>
      </c>
      <c r="D74" s="60">
        <v>3468</v>
      </c>
      <c r="E74" s="59">
        <v>9.1288</v>
      </c>
      <c r="F74" s="59"/>
    </row>
    <row r="75" spans="1:6" ht="18.75" customHeight="1" x14ac:dyDescent="0.25">
      <c r="A75" s="7">
        <v>500</v>
      </c>
      <c r="B75" s="59">
        <v>7.1337999999999999</v>
      </c>
      <c r="C75" s="60">
        <v>3132.6</v>
      </c>
      <c r="D75" s="60">
        <v>3489.3</v>
      </c>
      <c r="E75" s="59">
        <v>9.1565999999999992</v>
      </c>
      <c r="F75" s="59"/>
    </row>
    <row r="76" spans="1:6" ht="18.75" customHeight="1" x14ac:dyDescent="0.25">
      <c r="A76" s="7">
        <v>520</v>
      </c>
      <c r="B76" s="59">
        <v>7.3186</v>
      </c>
      <c r="C76" s="60">
        <v>3166.2</v>
      </c>
      <c r="D76" s="60">
        <v>3532.1</v>
      </c>
      <c r="E76" s="59">
        <v>9.2111999999999998</v>
      </c>
      <c r="F76" s="59"/>
    </row>
    <row r="77" spans="1:6" ht="18.75" customHeight="1" x14ac:dyDescent="0.25">
      <c r="A77" s="7">
        <v>540</v>
      </c>
      <c r="B77" s="59">
        <v>7.5034000000000001</v>
      </c>
      <c r="C77" s="60">
        <v>3199.9</v>
      </c>
      <c r="D77" s="60">
        <v>3575.1</v>
      </c>
      <c r="E77" s="59">
        <v>9.2647999999999993</v>
      </c>
      <c r="F77" s="59"/>
    </row>
    <row r="78" spans="1:6" ht="18.75" customHeight="1" x14ac:dyDescent="0.25">
      <c r="A78" s="7">
        <v>560</v>
      </c>
      <c r="B78" s="59">
        <v>7.6881000000000004</v>
      </c>
      <c r="C78" s="60">
        <v>3234.1</v>
      </c>
      <c r="D78" s="60">
        <v>3618.5</v>
      </c>
      <c r="E78" s="59">
        <v>9.3175000000000008</v>
      </c>
      <c r="F78" s="59"/>
    </row>
    <row r="79" spans="1:6" ht="18.75" customHeight="1" x14ac:dyDescent="0.25">
      <c r="A79" s="7">
        <v>580</v>
      </c>
      <c r="B79" s="59">
        <v>7.8728999999999996</v>
      </c>
      <c r="C79" s="60">
        <v>3268.5</v>
      </c>
      <c r="D79" s="60">
        <v>3662.1</v>
      </c>
      <c r="E79" s="59">
        <v>9.3691999999999993</v>
      </c>
      <c r="F79" s="59"/>
    </row>
    <row r="80" spans="1:6" ht="18.75" customHeight="1" x14ac:dyDescent="0.25">
      <c r="A80" s="7">
        <v>600</v>
      </c>
      <c r="B80" s="59">
        <v>8.0576000000000008</v>
      </c>
      <c r="C80" s="60">
        <v>3303.1</v>
      </c>
      <c r="D80" s="60">
        <v>3706</v>
      </c>
      <c r="E80" s="59">
        <v>9.4200999999999997</v>
      </c>
      <c r="F80" s="59"/>
    </row>
    <row r="81" spans="1:6" ht="18.75" customHeight="1" x14ac:dyDescent="0.25">
      <c r="A81" s="7">
        <v>620</v>
      </c>
      <c r="B81" s="59">
        <v>8.2423999999999999</v>
      </c>
      <c r="C81" s="60">
        <v>3338</v>
      </c>
      <c r="D81" s="60">
        <v>3750.1</v>
      </c>
      <c r="E81" s="59">
        <v>9.4701000000000004</v>
      </c>
      <c r="F81" s="59"/>
    </row>
    <row r="82" spans="1:6" ht="18.75" customHeight="1" x14ac:dyDescent="0.25">
      <c r="A82" s="7">
        <v>640</v>
      </c>
      <c r="B82" s="59">
        <v>8.4270999999999994</v>
      </c>
      <c r="C82" s="60">
        <v>3373.2</v>
      </c>
      <c r="D82" s="60">
        <v>3794.6</v>
      </c>
      <c r="E82" s="59">
        <v>9.5192999999999994</v>
      </c>
      <c r="F82" s="59"/>
    </row>
    <row r="83" spans="1:6" ht="18.75" customHeight="1" x14ac:dyDescent="0.25">
      <c r="A83" s="7">
        <v>660</v>
      </c>
      <c r="B83" s="59">
        <v>8.6118000000000006</v>
      </c>
      <c r="C83" s="60">
        <v>3408.7</v>
      </c>
      <c r="D83" s="60">
        <v>3839.3</v>
      </c>
      <c r="E83" s="59">
        <v>9.5678000000000001</v>
      </c>
      <c r="F83" s="59"/>
    </row>
    <row r="84" spans="1:6" ht="18.75" customHeight="1" x14ac:dyDescent="0.25">
      <c r="A84" s="7">
        <v>680</v>
      </c>
      <c r="B84" s="59">
        <v>8.7965</v>
      </c>
      <c r="C84" s="60">
        <v>3444.6</v>
      </c>
      <c r="D84" s="60">
        <v>3884.4</v>
      </c>
      <c r="E84" s="59">
        <v>9.6155000000000008</v>
      </c>
      <c r="F84" s="59"/>
    </row>
    <row r="85" spans="1:6" ht="18.75" customHeight="1" x14ac:dyDescent="0.25">
      <c r="A85" s="7">
        <v>700</v>
      </c>
      <c r="B85" s="59">
        <v>8.9811999999999994</v>
      </c>
      <c r="C85" s="60">
        <v>3480.6</v>
      </c>
      <c r="D85" s="60">
        <v>3929.7</v>
      </c>
      <c r="E85" s="59">
        <v>9.6624999999999996</v>
      </c>
      <c r="F85" s="59"/>
    </row>
    <row r="86" spans="1:6" ht="18.75" customHeight="1" x14ac:dyDescent="0.25">
      <c r="A86" s="7">
        <v>720</v>
      </c>
      <c r="B86" s="59">
        <v>9.1659000000000006</v>
      </c>
      <c r="C86" s="60">
        <v>3517</v>
      </c>
      <c r="D86" s="60">
        <v>3975.3</v>
      </c>
      <c r="E86" s="59">
        <v>9.7088999999999999</v>
      </c>
      <c r="F86" s="59"/>
    </row>
    <row r="87" spans="1:6" ht="18.75" customHeight="1" x14ac:dyDescent="0.25">
      <c r="A87" s="7">
        <v>740</v>
      </c>
      <c r="B87" s="59">
        <v>9.3506</v>
      </c>
      <c r="C87" s="60">
        <v>3553.6</v>
      </c>
      <c r="D87" s="60">
        <v>4021.1</v>
      </c>
      <c r="E87" s="59">
        <v>9.7545999999999999</v>
      </c>
      <c r="F87" s="59"/>
    </row>
    <row r="88" spans="1:6" ht="18.75" customHeight="1" x14ac:dyDescent="0.25">
      <c r="A88" s="7">
        <v>760</v>
      </c>
      <c r="B88" s="59">
        <v>9.5352999999999994</v>
      </c>
      <c r="C88" s="60">
        <v>3590.5</v>
      </c>
      <c r="D88" s="60">
        <v>4067.3</v>
      </c>
      <c r="E88" s="59">
        <v>9.7997999999999994</v>
      </c>
      <c r="F88" s="59"/>
    </row>
    <row r="89" spans="1:6" ht="18.75" customHeight="1" x14ac:dyDescent="0.25">
      <c r="A89" s="7">
        <v>780</v>
      </c>
      <c r="B89" s="59">
        <v>9.7200000000000006</v>
      </c>
      <c r="C89" s="60">
        <v>3627.7</v>
      </c>
      <c r="D89" s="60">
        <v>4113.7</v>
      </c>
      <c r="E89" s="59">
        <v>9.8443000000000005</v>
      </c>
      <c r="F89" s="59"/>
    </row>
    <row r="90" spans="1:6" ht="18.75" customHeight="1" x14ac:dyDescent="0.25">
      <c r="A90" s="7">
        <v>800</v>
      </c>
      <c r="B90" s="59">
        <v>9.9047000000000001</v>
      </c>
      <c r="C90" s="60">
        <v>3665.2</v>
      </c>
      <c r="D90" s="60">
        <v>4160.3999999999996</v>
      </c>
      <c r="E90" s="59">
        <v>9.8881999999999994</v>
      </c>
      <c r="F90" s="59"/>
    </row>
    <row r="91" spans="1:6" ht="18.75" customHeight="1" x14ac:dyDescent="0.25">
      <c r="A91" s="7">
        <v>820</v>
      </c>
      <c r="B91" s="46">
        <v>10.089</v>
      </c>
      <c r="C91" s="60">
        <v>3702.9</v>
      </c>
      <c r="D91" s="60">
        <v>4207.3999999999996</v>
      </c>
      <c r="E91" s="59">
        <v>9.9315999999999995</v>
      </c>
      <c r="F91" s="59"/>
    </row>
    <row r="92" spans="1:6" ht="18.75" customHeight="1" x14ac:dyDescent="0.25">
      <c r="A92" s="7">
        <v>840</v>
      </c>
      <c r="B92" s="46">
        <v>10.273999999999999</v>
      </c>
      <c r="C92" s="60">
        <v>3741</v>
      </c>
      <c r="D92" s="60">
        <v>4254.7</v>
      </c>
      <c r="E92" s="59">
        <v>9.9745000000000008</v>
      </c>
      <c r="F92" s="46"/>
    </row>
    <row r="93" spans="1:6" ht="18.75" customHeight="1" x14ac:dyDescent="0.25">
      <c r="A93" s="7">
        <v>860</v>
      </c>
      <c r="B93" s="46">
        <v>10.459</v>
      </c>
      <c r="C93" s="60">
        <v>3779.3</v>
      </c>
      <c r="D93" s="60">
        <v>4302.3</v>
      </c>
      <c r="E93" s="46">
        <v>10.016999999999999</v>
      </c>
      <c r="F93" s="46"/>
    </row>
    <row r="94" spans="1:6" ht="18.75" customHeight="1" x14ac:dyDescent="0.25">
      <c r="A94" s="7">
        <v>880</v>
      </c>
      <c r="B94" s="46">
        <v>10.643000000000001</v>
      </c>
      <c r="C94" s="60">
        <v>3818</v>
      </c>
      <c r="D94" s="60">
        <v>4350.1000000000004</v>
      </c>
      <c r="E94" s="46">
        <v>10.058999999999999</v>
      </c>
      <c r="F94" s="46"/>
    </row>
    <row r="95" spans="1:6" ht="18.75" customHeight="1" x14ac:dyDescent="0.25">
      <c r="A95" s="7">
        <v>900</v>
      </c>
      <c r="B95" s="46">
        <v>10.827999999999999</v>
      </c>
      <c r="C95" s="60">
        <v>3856.8</v>
      </c>
      <c r="D95" s="60">
        <v>4398.2</v>
      </c>
      <c r="E95" s="46">
        <v>10.1</v>
      </c>
      <c r="F95" s="46"/>
    </row>
    <row r="96" spans="1:6" ht="18.75" customHeight="1" x14ac:dyDescent="0.25">
      <c r="A96" s="7">
        <v>920</v>
      </c>
      <c r="B96" s="46">
        <v>11.013</v>
      </c>
      <c r="C96" s="60">
        <v>3896</v>
      </c>
      <c r="D96" s="60">
        <v>4446.6000000000004</v>
      </c>
      <c r="E96" s="46">
        <v>10.141</v>
      </c>
      <c r="F96" s="46"/>
    </row>
    <row r="97" spans="1:6" ht="18.75" customHeight="1" x14ac:dyDescent="0.25">
      <c r="A97" s="7">
        <v>940</v>
      </c>
      <c r="B97" s="46">
        <v>11.196999999999999</v>
      </c>
      <c r="C97" s="60">
        <v>3935.4</v>
      </c>
      <c r="D97" s="60">
        <v>4495.2</v>
      </c>
      <c r="E97" s="46">
        <v>10.180999999999999</v>
      </c>
      <c r="F97" s="46"/>
    </row>
    <row r="98" spans="1:6" ht="18.75" customHeight="1" x14ac:dyDescent="0.25">
      <c r="A98" s="7">
        <v>960</v>
      </c>
      <c r="B98" s="46">
        <v>11.382</v>
      </c>
      <c r="C98" s="60">
        <v>3975</v>
      </c>
      <c r="D98" s="60">
        <v>4544.1000000000004</v>
      </c>
      <c r="E98" s="46">
        <v>10.221</v>
      </c>
      <c r="F98" s="46"/>
    </row>
    <row r="99" spans="1:6" ht="18.75" customHeight="1" x14ac:dyDescent="0.25">
      <c r="A99" s="7">
        <v>980</v>
      </c>
      <c r="B99" s="46">
        <v>11.567</v>
      </c>
      <c r="C99" s="60">
        <v>4014.9</v>
      </c>
      <c r="D99" s="60">
        <v>4593.3</v>
      </c>
      <c r="E99" s="46">
        <v>10.260999999999999</v>
      </c>
      <c r="F99" s="46"/>
    </row>
    <row r="100" spans="1:6" ht="13.8" x14ac:dyDescent="0.25">
      <c r="A100" s="7">
        <v>1000</v>
      </c>
      <c r="B100" s="46">
        <v>11.750999999999999</v>
      </c>
      <c r="C100" s="60">
        <v>4055.2</v>
      </c>
      <c r="D100" s="60">
        <v>4642.7</v>
      </c>
      <c r="E100" s="46">
        <v>10.3</v>
      </c>
    </row>
  </sheetData>
  <mergeCells count="1">
    <mergeCell ref="A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00"/>
  <sheetViews>
    <sheetView topLeftCell="A12" workbookViewId="0">
      <selection activeCell="A23" sqref="A23:XFD23"/>
    </sheetView>
  </sheetViews>
  <sheetFormatPr defaultRowHeight="13.2" x14ac:dyDescent="0.25"/>
  <cols>
    <col min="1" max="1" width="6.21875" customWidth="1"/>
    <col min="2" max="2" width="11.441406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93" t="s">
        <v>37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60</v>
      </c>
      <c r="F2" s="65"/>
      <c r="G2" s="28"/>
    </row>
    <row r="3" spans="1:8" ht="18.75" customHeight="1" x14ac:dyDescent="0.25">
      <c r="A3" s="39" t="s">
        <v>26</v>
      </c>
      <c r="B3" s="65" t="s">
        <v>27</v>
      </c>
      <c r="C3" s="65" t="s">
        <v>28</v>
      </c>
      <c r="D3" s="65" t="s">
        <v>29</v>
      </c>
      <c r="E3" s="65" t="s">
        <v>30</v>
      </c>
      <c r="F3" s="66"/>
      <c r="G3" s="28"/>
    </row>
    <row r="4" spans="1:8" ht="18.75" customHeight="1" x14ac:dyDescent="0.25">
      <c r="A4" s="36" t="s">
        <v>31</v>
      </c>
      <c r="B4" s="64" t="s">
        <v>18</v>
      </c>
      <c r="C4" s="66" t="s">
        <v>19</v>
      </c>
      <c r="D4" s="66" t="s">
        <v>19</v>
      </c>
      <c r="E4" s="66" t="s">
        <v>32</v>
      </c>
      <c r="F4" s="61"/>
      <c r="G4" s="28"/>
    </row>
    <row r="5" spans="1:8" ht="18.75" customHeight="1" x14ac:dyDescent="0.25">
      <c r="A5" s="38">
        <v>0</v>
      </c>
      <c r="B5" s="62">
        <v>1.00018E-3</v>
      </c>
      <c r="C5" s="63">
        <v>-0.04</v>
      </c>
      <c r="D5" s="63">
        <v>0.02</v>
      </c>
      <c r="E5" s="61">
        <v>-1.4999999999999999E-4</v>
      </c>
      <c r="F5" s="61"/>
      <c r="G5" s="28"/>
    </row>
    <row r="6" spans="1:8" ht="18.75" customHeight="1" x14ac:dyDescent="0.25">
      <c r="A6" s="7">
        <v>5</v>
      </c>
      <c r="B6" s="62">
        <v>1.0000499999999999E-3</v>
      </c>
      <c r="C6" s="63">
        <v>21.02</v>
      </c>
      <c r="D6" s="63">
        <v>21.08</v>
      </c>
      <c r="E6" s="61">
        <v>7.6249999999999998E-2</v>
      </c>
      <c r="F6" s="61"/>
      <c r="G6" s="28"/>
    </row>
    <row r="7" spans="1:8" ht="18.75" customHeight="1" x14ac:dyDescent="0.25">
      <c r="A7" s="7">
        <v>10</v>
      </c>
      <c r="B7" s="62">
        <v>1.0003200000000001E-3</v>
      </c>
      <c r="C7" s="63">
        <v>42.02</v>
      </c>
      <c r="D7" s="63">
        <v>42.08</v>
      </c>
      <c r="E7" s="61">
        <v>0.15107999999999999</v>
      </c>
      <c r="F7" s="61"/>
      <c r="G7" s="28"/>
    </row>
    <row r="8" spans="1:8" ht="18.75" customHeight="1" x14ac:dyDescent="0.25">
      <c r="A8" s="7">
        <v>15</v>
      </c>
      <c r="B8" s="62">
        <v>1.00092E-3</v>
      </c>
      <c r="C8" s="63">
        <v>62.98</v>
      </c>
      <c r="D8" s="63">
        <v>63.04</v>
      </c>
      <c r="E8" s="61">
        <v>0.22445000000000001</v>
      </c>
      <c r="F8" s="61"/>
      <c r="G8" s="28"/>
    </row>
    <row r="9" spans="1:8" ht="18.75" customHeight="1" x14ac:dyDescent="0.25">
      <c r="A9" s="7">
        <v>20</v>
      </c>
      <c r="B9" s="62">
        <v>1.0018200000000001E-3</v>
      </c>
      <c r="C9" s="63">
        <v>83.91</v>
      </c>
      <c r="D9" s="63">
        <v>83.97</v>
      </c>
      <c r="E9" s="61">
        <v>0.29647000000000001</v>
      </c>
      <c r="F9" s="61"/>
      <c r="G9" s="28"/>
    </row>
    <row r="10" spans="1:8" ht="18.75" customHeight="1" x14ac:dyDescent="0.25">
      <c r="A10" s="7">
        <v>25</v>
      </c>
      <c r="B10" s="62">
        <v>1.0029800000000001E-3</v>
      </c>
      <c r="C10" s="63">
        <v>104.82</v>
      </c>
      <c r="D10" s="63">
        <v>104.88</v>
      </c>
      <c r="E10" s="61">
        <v>0.36720999999999998</v>
      </c>
      <c r="F10" s="61"/>
      <c r="G10" s="28"/>
    </row>
    <row r="11" spans="1:8" ht="18.75" customHeight="1" x14ac:dyDescent="0.25">
      <c r="A11" s="7">
        <v>30</v>
      </c>
      <c r="B11" s="62">
        <v>1.00439E-3</v>
      </c>
      <c r="C11" s="63">
        <v>125.72</v>
      </c>
      <c r="D11" s="63">
        <v>125.78</v>
      </c>
      <c r="E11" s="61">
        <v>0.43674000000000002</v>
      </c>
      <c r="F11" s="61"/>
      <c r="G11" s="28"/>
    </row>
    <row r="12" spans="1:8" ht="18.75" customHeight="1" x14ac:dyDescent="0.25">
      <c r="A12" s="7">
        <v>35</v>
      </c>
      <c r="B12" s="62">
        <v>1.00602E-3</v>
      </c>
      <c r="C12" s="63">
        <v>146.62</v>
      </c>
      <c r="D12" s="63">
        <v>146.68</v>
      </c>
      <c r="E12" s="61">
        <v>0.50510999999999995</v>
      </c>
      <c r="F12" s="61"/>
      <c r="G12" s="28"/>
    </row>
    <row r="13" spans="1:8" ht="18.75" customHeight="1" x14ac:dyDescent="0.25">
      <c r="A13" s="7">
        <v>40</v>
      </c>
      <c r="B13" s="62">
        <v>1.00786E-3</v>
      </c>
      <c r="C13" s="63">
        <v>167.52</v>
      </c>
      <c r="D13" s="63">
        <v>167.58</v>
      </c>
      <c r="E13" s="61">
        <v>0.57238</v>
      </c>
      <c r="F13" s="61"/>
      <c r="G13" s="28"/>
    </row>
    <row r="14" spans="1:8" ht="18.75" customHeight="1" x14ac:dyDescent="0.25">
      <c r="A14" s="7">
        <v>45</v>
      </c>
      <c r="B14" s="62">
        <v>1.0099E-3</v>
      </c>
      <c r="C14" s="63">
        <v>188.42</v>
      </c>
      <c r="D14" s="63">
        <v>188.48</v>
      </c>
      <c r="E14" s="61">
        <v>0.63858999999999999</v>
      </c>
      <c r="F14" s="61"/>
      <c r="G14" s="28"/>
    </row>
    <row r="15" spans="1:8" ht="18.75" customHeight="1" x14ac:dyDescent="0.25">
      <c r="A15" s="7">
        <v>50</v>
      </c>
      <c r="B15" s="62">
        <v>1.01213E-3</v>
      </c>
      <c r="C15" s="63">
        <v>209.32</v>
      </c>
      <c r="D15" s="63">
        <v>209.38</v>
      </c>
      <c r="E15" s="61">
        <v>0.70379000000000003</v>
      </c>
      <c r="F15" s="61"/>
      <c r="G15" s="28"/>
    </row>
    <row r="16" spans="1:8" ht="18.75" customHeight="1" x14ac:dyDescent="0.25">
      <c r="A16" s="7">
        <v>55</v>
      </c>
      <c r="B16" s="62">
        <v>1.01453E-3</v>
      </c>
      <c r="C16" s="63">
        <v>230.23</v>
      </c>
      <c r="D16" s="63">
        <v>230.29</v>
      </c>
      <c r="E16" s="61">
        <v>0.76800000000000002</v>
      </c>
      <c r="F16" s="61"/>
      <c r="G16" s="28"/>
    </row>
    <row r="17" spans="1:7" ht="18.75" customHeight="1" x14ac:dyDescent="0.25">
      <c r="A17" s="7">
        <v>60</v>
      </c>
      <c r="B17" s="62">
        <v>1.0171100000000001E-3</v>
      </c>
      <c r="C17" s="63">
        <v>251.15</v>
      </c>
      <c r="D17" s="63">
        <v>251.21</v>
      </c>
      <c r="E17" s="61">
        <v>0.83126999999999995</v>
      </c>
      <c r="F17" s="61"/>
      <c r="G17" s="28"/>
    </row>
    <row r="18" spans="1:7" ht="18.75" customHeight="1" x14ac:dyDescent="0.25">
      <c r="A18" s="7">
        <v>65</v>
      </c>
      <c r="B18" s="62">
        <v>1.0198500000000001E-3</v>
      </c>
      <c r="C18" s="63">
        <v>272.08</v>
      </c>
      <c r="D18" s="63">
        <v>272.14</v>
      </c>
      <c r="E18" s="61">
        <v>0.89363000000000004</v>
      </c>
      <c r="F18" s="61"/>
      <c r="G18" s="28"/>
    </row>
    <row r="19" spans="1:7" ht="18.75" customHeight="1" x14ac:dyDescent="0.25">
      <c r="A19" s="7">
        <v>70</v>
      </c>
      <c r="B19" s="62">
        <v>1.0227599999999999E-3</v>
      </c>
      <c r="C19" s="63">
        <v>293.02999999999997</v>
      </c>
      <c r="D19" s="63">
        <v>293.08999999999997</v>
      </c>
      <c r="E19" s="61">
        <v>0.95511999999999997</v>
      </c>
      <c r="F19" s="59"/>
      <c r="G19" s="28"/>
    </row>
    <row r="20" spans="1:7" ht="18.75" customHeight="1" x14ac:dyDescent="0.25">
      <c r="A20" s="7">
        <v>75</v>
      </c>
      <c r="B20" s="62">
        <v>1.0258299999999999E-3</v>
      </c>
      <c r="C20" s="63">
        <v>313.99</v>
      </c>
      <c r="D20" s="63">
        <v>314.05</v>
      </c>
      <c r="E20" s="59">
        <v>1.0158</v>
      </c>
      <c r="F20" s="59"/>
      <c r="G20" s="28"/>
    </row>
    <row r="21" spans="1:7" ht="18.75" customHeight="1" x14ac:dyDescent="0.25">
      <c r="A21" s="7">
        <v>80</v>
      </c>
      <c r="B21" s="62">
        <v>1.0290500000000001E-3</v>
      </c>
      <c r="C21" s="63">
        <v>334.96</v>
      </c>
      <c r="D21" s="63">
        <v>335.02</v>
      </c>
      <c r="E21" s="59">
        <v>1.0755999999999999</v>
      </c>
      <c r="F21" s="59"/>
      <c r="G21" s="28"/>
    </row>
    <row r="22" spans="1:7" ht="18.75" customHeight="1" x14ac:dyDescent="0.25">
      <c r="A22" s="7">
        <v>85</v>
      </c>
      <c r="B22" s="62">
        <v>1.03243E-3</v>
      </c>
      <c r="C22" s="63">
        <v>355.96</v>
      </c>
      <c r="D22" s="63">
        <v>356.02</v>
      </c>
      <c r="E22" s="59">
        <v>1.1346000000000001</v>
      </c>
      <c r="F22" s="59"/>
      <c r="G22" s="28"/>
    </row>
    <row r="23" spans="1:7" ht="18.75" customHeight="1" x14ac:dyDescent="0.25">
      <c r="A23" s="7">
        <v>90</v>
      </c>
      <c r="B23" s="59">
        <v>2.7645</v>
      </c>
      <c r="C23" s="60">
        <v>2495.1999999999998</v>
      </c>
      <c r="D23" s="60">
        <v>2661.1</v>
      </c>
      <c r="E23" s="59">
        <v>7.5540000000000003</v>
      </c>
      <c r="F23" s="59"/>
      <c r="G23" s="28"/>
    </row>
    <row r="24" spans="1:7" ht="18.75" customHeight="1" x14ac:dyDescent="0.25">
      <c r="A24" s="7">
        <v>95</v>
      </c>
      <c r="B24" s="59">
        <v>2.8046000000000002</v>
      </c>
      <c r="C24" s="60">
        <v>2502.8000000000002</v>
      </c>
      <c r="D24" s="60">
        <v>2671.1</v>
      </c>
      <c r="E24" s="59">
        <v>7.5814000000000004</v>
      </c>
      <c r="F24" s="59"/>
      <c r="G24" s="28"/>
    </row>
    <row r="25" spans="1:7" ht="18.75" customHeight="1" x14ac:dyDescent="0.25">
      <c r="A25" s="7">
        <v>100</v>
      </c>
      <c r="B25" s="59">
        <v>2.8445</v>
      </c>
      <c r="C25" s="60">
        <v>2510.4</v>
      </c>
      <c r="D25" s="60">
        <v>2681.1</v>
      </c>
      <c r="E25" s="59">
        <v>7.6083999999999996</v>
      </c>
      <c r="F25" s="59"/>
      <c r="G25" s="28"/>
    </row>
    <row r="26" spans="1:7" ht="18.75" customHeight="1" x14ac:dyDescent="0.25">
      <c r="A26" s="7">
        <v>105</v>
      </c>
      <c r="B26" s="59">
        <v>2.8843000000000001</v>
      </c>
      <c r="C26" s="60">
        <v>2518</v>
      </c>
      <c r="D26" s="60">
        <v>2691.1</v>
      </c>
      <c r="E26" s="59">
        <v>7.6348000000000003</v>
      </c>
      <c r="F26" s="59"/>
      <c r="G26" s="28"/>
    </row>
    <row r="27" spans="1:7" ht="18.75" customHeight="1" x14ac:dyDescent="0.25">
      <c r="A27" s="7">
        <v>110</v>
      </c>
      <c r="B27" s="59">
        <v>2.9239999999999999</v>
      </c>
      <c r="C27" s="60">
        <v>2525.6</v>
      </c>
      <c r="D27" s="60">
        <v>2701</v>
      </c>
      <c r="E27" s="59">
        <v>7.6608999999999998</v>
      </c>
      <c r="F27" s="59"/>
      <c r="G27" s="28"/>
    </row>
    <row r="28" spans="1:7" ht="18.75" customHeight="1" x14ac:dyDescent="0.25">
      <c r="A28" s="7">
        <v>115</v>
      </c>
      <c r="B28" s="59">
        <v>2.9636</v>
      </c>
      <c r="C28" s="60">
        <v>2533.1</v>
      </c>
      <c r="D28" s="60">
        <v>2710.9</v>
      </c>
      <c r="E28" s="59">
        <v>7.6864999999999997</v>
      </c>
      <c r="F28" s="59"/>
      <c r="G28" s="28"/>
    </row>
    <row r="29" spans="1:7" ht="18.75" customHeight="1" x14ac:dyDescent="0.25">
      <c r="A29" s="7">
        <v>120</v>
      </c>
      <c r="B29" s="59">
        <v>3.0030999999999999</v>
      </c>
      <c r="C29" s="60">
        <v>2540.5</v>
      </c>
      <c r="D29" s="60">
        <v>2720.7</v>
      </c>
      <c r="E29" s="59">
        <v>7.7117000000000004</v>
      </c>
      <c r="F29" s="59"/>
      <c r="G29" s="28"/>
    </row>
    <row r="30" spans="1:7" ht="18.75" customHeight="1" x14ac:dyDescent="0.25">
      <c r="A30" s="7">
        <v>125</v>
      </c>
      <c r="B30" s="59">
        <v>3.0425</v>
      </c>
      <c r="C30" s="60">
        <v>2547.9</v>
      </c>
      <c r="D30" s="60">
        <v>2730.5</v>
      </c>
      <c r="E30" s="59">
        <v>7.7365000000000004</v>
      </c>
      <c r="F30" s="59"/>
      <c r="G30" s="28"/>
    </row>
    <row r="31" spans="1:7" ht="18.75" customHeight="1" x14ac:dyDescent="0.25">
      <c r="A31" s="7">
        <v>130</v>
      </c>
      <c r="B31" s="59">
        <v>3.0819000000000001</v>
      </c>
      <c r="C31" s="60">
        <v>2555.4</v>
      </c>
      <c r="D31" s="60">
        <v>2740.3</v>
      </c>
      <c r="E31" s="59">
        <v>7.7610000000000001</v>
      </c>
      <c r="F31" s="59"/>
      <c r="G31" s="28"/>
    </row>
    <row r="32" spans="1:7" ht="18.75" customHeight="1" x14ac:dyDescent="0.25">
      <c r="A32" s="7">
        <v>135</v>
      </c>
      <c r="B32" s="59">
        <v>3.1212</v>
      </c>
      <c r="C32" s="60">
        <v>2562.8000000000002</v>
      </c>
      <c r="D32" s="60">
        <v>2750.1</v>
      </c>
      <c r="E32" s="59">
        <v>7.7851999999999997</v>
      </c>
      <c r="F32" s="59"/>
      <c r="G32" s="28"/>
    </row>
    <row r="33" spans="1:7" ht="18.75" customHeight="1" x14ac:dyDescent="0.25">
      <c r="A33" s="7">
        <v>140</v>
      </c>
      <c r="B33" s="59">
        <v>3.1604000000000001</v>
      </c>
      <c r="C33" s="60">
        <v>2570.3000000000002</v>
      </c>
      <c r="D33" s="60">
        <v>2759.9</v>
      </c>
      <c r="E33" s="59">
        <v>7.8090000000000002</v>
      </c>
      <c r="F33" s="59"/>
      <c r="G33" s="28"/>
    </row>
    <row r="34" spans="1:7" ht="18.75" customHeight="1" x14ac:dyDescent="0.25">
      <c r="A34" s="7">
        <v>145</v>
      </c>
      <c r="B34" s="59">
        <v>3.1996000000000002</v>
      </c>
      <c r="C34" s="60">
        <v>2577.6999999999998</v>
      </c>
      <c r="D34" s="60">
        <v>2769.7</v>
      </c>
      <c r="E34" s="59">
        <v>7.8326000000000002</v>
      </c>
      <c r="F34" s="59"/>
      <c r="G34" s="28"/>
    </row>
    <row r="35" spans="1:7" ht="18.75" customHeight="1" x14ac:dyDescent="0.25">
      <c r="A35" s="7">
        <v>150</v>
      </c>
      <c r="B35" s="59">
        <v>3.2387000000000001</v>
      </c>
      <c r="C35" s="60">
        <v>2585.1999999999998</v>
      </c>
      <c r="D35" s="60">
        <v>2779.5</v>
      </c>
      <c r="E35" s="59">
        <v>7.8558000000000003</v>
      </c>
      <c r="F35" s="59"/>
      <c r="G35" s="28"/>
    </row>
    <row r="36" spans="1:7" ht="18.75" customHeight="1" x14ac:dyDescent="0.25">
      <c r="A36" s="7">
        <v>155</v>
      </c>
      <c r="B36" s="59">
        <v>3.2778</v>
      </c>
      <c r="C36" s="60">
        <v>2592.6</v>
      </c>
      <c r="D36" s="60">
        <v>2789.3</v>
      </c>
      <c r="E36" s="59">
        <v>7.8788</v>
      </c>
      <c r="F36" s="59"/>
      <c r="G36" s="28"/>
    </row>
    <row r="37" spans="1:7" ht="18.75" customHeight="1" x14ac:dyDescent="0.25">
      <c r="A37" s="7">
        <v>160</v>
      </c>
      <c r="B37" s="59">
        <v>3.3169</v>
      </c>
      <c r="C37" s="60">
        <v>2600</v>
      </c>
      <c r="D37" s="60">
        <v>2799</v>
      </c>
      <c r="E37" s="59">
        <v>7.9015000000000004</v>
      </c>
      <c r="F37" s="59"/>
      <c r="G37" s="28"/>
    </row>
    <row r="38" spans="1:7" ht="18.75" customHeight="1" x14ac:dyDescent="0.25">
      <c r="A38" s="7">
        <v>165</v>
      </c>
      <c r="B38" s="59">
        <v>3.3559000000000001</v>
      </c>
      <c r="C38" s="60">
        <v>2607.4</v>
      </c>
      <c r="D38" s="60">
        <v>2808.8</v>
      </c>
      <c r="E38" s="59">
        <v>7.9238999999999997</v>
      </c>
      <c r="F38" s="59"/>
      <c r="G38" s="28"/>
    </row>
    <row r="39" spans="1:7" ht="18.75" customHeight="1" x14ac:dyDescent="0.25">
      <c r="A39" s="7">
        <v>170</v>
      </c>
      <c r="B39" s="59">
        <v>3.3948999999999998</v>
      </c>
      <c r="C39" s="60">
        <v>2614.9</v>
      </c>
      <c r="D39" s="60">
        <v>2818.6</v>
      </c>
      <c r="E39" s="59">
        <v>7.9461000000000004</v>
      </c>
      <c r="F39" s="59"/>
      <c r="G39" s="28"/>
    </row>
    <row r="40" spans="1:7" ht="18.75" customHeight="1" x14ac:dyDescent="0.25">
      <c r="A40" s="7">
        <v>175</v>
      </c>
      <c r="B40" s="59">
        <v>3.4338000000000002</v>
      </c>
      <c r="C40" s="60">
        <v>2622.4</v>
      </c>
      <c r="D40" s="60">
        <v>2828.4</v>
      </c>
      <c r="E40" s="59">
        <v>7.968</v>
      </c>
      <c r="F40" s="59"/>
      <c r="G40" s="28"/>
    </row>
    <row r="41" spans="1:7" ht="18.75" customHeight="1" x14ac:dyDescent="0.25">
      <c r="A41" s="7">
        <v>180</v>
      </c>
      <c r="B41" s="59">
        <v>3.4727999999999999</v>
      </c>
      <c r="C41" s="60">
        <v>2629.7</v>
      </c>
      <c r="D41" s="60">
        <v>2838.1</v>
      </c>
      <c r="E41" s="59">
        <v>7.9897</v>
      </c>
      <c r="F41" s="59"/>
      <c r="G41" s="28"/>
    </row>
    <row r="42" spans="1:7" ht="18.75" customHeight="1" x14ac:dyDescent="0.25">
      <c r="A42" s="7">
        <v>185</v>
      </c>
      <c r="B42" s="59">
        <v>3.5116999999999998</v>
      </c>
      <c r="C42" s="60">
        <v>2637.2</v>
      </c>
      <c r="D42" s="60">
        <v>2847.9</v>
      </c>
      <c r="E42" s="59">
        <v>8.0112000000000005</v>
      </c>
      <c r="F42" s="59"/>
      <c r="G42" s="28"/>
    </row>
    <row r="43" spans="1:7" ht="18.75" customHeight="1" x14ac:dyDescent="0.25">
      <c r="A43" s="7">
        <v>190</v>
      </c>
      <c r="B43" s="59">
        <v>3.5506000000000002</v>
      </c>
      <c r="C43" s="60">
        <v>2644.7</v>
      </c>
      <c r="D43" s="60">
        <v>2857.7</v>
      </c>
      <c r="E43" s="59">
        <v>8.0324000000000009</v>
      </c>
      <c r="F43" s="59"/>
      <c r="G43" s="28"/>
    </row>
    <row r="44" spans="1:7" ht="18.75" customHeight="1" x14ac:dyDescent="0.25">
      <c r="A44" s="7">
        <v>195</v>
      </c>
      <c r="B44" s="59">
        <v>3.5893999999999999</v>
      </c>
      <c r="C44" s="60">
        <v>2652.1</v>
      </c>
      <c r="D44" s="60">
        <v>2867.5</v>
      </c>
      <c r="E44" s="59">
        <v>8.0534999999999997</v>
      </c>
      <c r="F44" s="59"/>
      <c r="G44" s="28"/>
    </row>
    <row r="45" spans="1:7" ht="18.75" customHeight="1" x14ac:dyDescent="0.25">
      <c r="A45" s="7">
        <v>200</v>
      </c>
      <c r="B45" s="59">
        <v>3.6282999999999999</v>
      </c>
      <c r="C45" s="60">
        <v>2659.6</v>
      </c>
      <c r="D45" s="60">
        <v>2877.3</v>
      </c>
      <c r="E45" s="59">
        <v>8.0742999999999991</v>
      </c>
      <c r="F45" s="59"/>
      <c r="G45" s="28"/>
    </row>
    <row r="46" spans="1:7" ht="18.75" customHeight="1" x14ac:dyDescent="0.25">
      <c r="A46" s="7">
        <v>210</v>
      </c>
      <c r="B46" s="59">
        <v>3.7059000000000002</v>
      </c>
      <c r="C46" s="60">
        <v>2674.5</v>
      </c>
      <c r="D46" s="60">
        <v>2896.9</v>
      </c>
      <c r="E46" s="59">
        <v>8.1152999999999995</v>
      </c>
      <c r="F46" s="59"/>
      <c r="G46" s="28"/>
    </row>
    <row r="47" spans="1:7" ht="18.75" customHeight="1" x14ac:dyDescent="0.25">
      <c r="A47" s="7">
        <v>220</v>
      </c>
      <c r="B47" s="59">
        <v>3.7833999999999999</v>
      </c>
      <c r="C47" s="60">
        <v>2689.6</v>
      </c>
      <c r="D47" s="60">
        <v>2916.6</v>
      </c>
      <c r="E47" s="59">
        <v>8.1555999999999997</v>
      </c>
      <c r="F47" s="59"/>
      <c r="G47" s="28"/>
    </row>
    <row r="48" spans="1:7" ht="18.75" customHeight="1" x14ac:dyDescent="0.25">
      <c r="A48" s="7">
        <v>230</v>
      </c>
      <c r="B48" s="59">
        <v>3.8609</v>
      </c>
      <c r="C48" s="60">
        <v>2704.6</v>
      </c>
      <c r="D48" s="60">
        <v>2936.3</v>
      </c>
      <c r="E48" s="59">
        <v>8.1951999999999998</v>
      </c>
      <c r="F48" s="59"/>
      <c r="G48" s="28"/>
    </row>
    <row r="49" spans="1:7" ht="18.75" customHeight="1" x14ac:dyDescent="0.25">
      <c r="A49" s="7">
        <v>240</v>
      </c>
      <c r="B49" s="59">
        <v>3.9384000000000001</v>
      </c>
      <c r="C49" s="60">
        <v>2719.7</v>
      </c>
      <c r="D49" s="60">
        <v>2956</v>
      </c>
      <c r="E49" s="59">
        <v>8.234</v>
      </c>
      <c r="F49" s="59"/>
      <c r="G49" s="28"/>
    </row>
    <row r="50" spans="1:7" ht="18.75" customHeight="1" x14ac:dyDescent="0.25">
      <c r="A50" s="7">
        <v>250</v>
      </c>
      <c r="B50" s="59">
        <v>4.0157999999999996</v>
      </c>
      <c r="C50" s="60">
        <v>2734.9</v>
      </c>
      <c r="D50" s="60">
        <v>2975.8</v>
      </c>
      <c r="E50" s="59">
        <v>8.2721999999999998</v>
      </c>
      <c r="F50" s="59"/>
      <c r="G50" s="28"/>
    </row>
    <row r="51" spans="1:7" ht="18.75" customHeight="1" x14ac:dyDescent="0.25">
      <c r="A51" s="7">
        <v>260</v>
      </c>
      <c r="B51" s="59">
        <v>4.0932000000000004</v>
      </c>
      <c r="C51" s="60">
        <v>2750.1</v>
      </c>
      <c r="D51" s="60">
        <v>2995.7</v>
      </c>
      <c r="E51" s="59">
        <v>8.3097999999999992</v>
      </c>
      <c r="F51" s="59"/>
      <c r="G51" s="28"/>
    </row>
    <row r="52" spans="1:7" ht="18.75" customHeight="1" x14ac:dyDescent="0.25">
      <c r="A52" s="7">
        <v>270</v>
      </c>
      <c r="B52" s="59">
        <v>4.1704999999999997</v>
      </c>
      <c r="C52" s="60">
        <v>2765.3</v>
      </c>
      <c r="D52" s="60">
        <v>3015.5</v>
      </c>
      <c r="E52" s="59">
        <v>8.3467000000000002</v>
      </c>
      <c r="F52" s="59"/>
      <c r="G52" s="28"/>
    </row>
    <row r="53" spans="1:7" ht="18.75" customHeight="1" x14ac:dyDescent="0.25">
      <c r="A53" s="7">
        <v>280</v>
      </c>
      <c r="B53" s="59">
        <v>4.2477999999999998</v>
      </c>
      <c r="C53" s="60">
        <v>2780.6</v>
      </c>
      <c r="D53" s="60">
        <v>3035.5</v>
      </c>
      <c r="E53" s="59">
        <v>8.3831000000000007</v>
      </c>
      <c r="F53" s="59"/>
      <c r="G53" s="28"/>
    </row>
    <row r="54" spans="1:7" ht="18.75" customHeight="1" x14ac:dyDescent="0.25">
      <c r="A54" s="7">
        <v>290</v>
      </c>
      <c r="B54" s="59">
        <v>4.3250999999999999</v>
      </c>
      <c r="C54" s="60">
        <v>2796</v>
      </c>
      <c r="D54" s="60">
        <v>3055.5</v>
      </c>
      <c r="E54" s="59">
        <v>8.4189000000000007</v>
      </c>
      <c r="F54" s="59"/>
      <c r="G54" s="28"/>
    </row>
    <row r="55" spans="1:7" ht="18.75" customHeight="1" x14ac:dyDescent="0.25">
      <c r="A55" s="7">
        <v>300</v>
      </c>
      <c r="B55" s="59">
        <v>4.4023000000000003</v>
      </c>
      <c r="C55" s="60">
        <v>2811.4</v>
      </c>
      <c r="D55" s="60">
        <v>3075.5</v>
      </c>
      <c r="E55" s="59">
        <v>8.4542000000000002</v>
      </c>
      <c r="F55" s="59"/>
      <c r="G55" s="28"/>
    </row>
    <row r="56" spans="1:7" ht="18.75" customHeight="1" x14ac:dyDescent="0.25">
      <c r="A56" s="7">
        <v>310</v>
      </c>
      <c r="B56" s="59">
        <v>4.4794999999999998</v>
      </c>
      <c r="C56" s="60">
        <v>2826.8</v>
      </c>
      <c r="D56" s="60">
        <v>3095.6</v>
      </c>
      <c r="E56" s="59">
        <v>8.4888999999999992</v>
      </c>
      <c r="F56" s="59"/>
      <c r="G56" s="28"/>
    </row>
    <row r="57" spans="1:7" ht="18.75" customHeight="1" x14ac:dyDescent="0.25">
      <c r="A57" s="7">
        <v>320</v>
      </c>
      <c r="B57" s="59">
        <v>4.5567000000000002</v>
      </c>
      <c r="C57" s="60">
        <v>2842.4</v>
      </c>
      <c r="D57" s="60">
        <v>3115.8</v>
      </c>
      <c r="E57" s="59">
        <v>8.5231999999999992</v>
      </c>
      <c r="F57" s="59"/>
      <c r="G57" s="28"/>
    </row>
    <row r="58" spans="1:7" ht="18.75" customHeight="1" x14ac:dyDescent="0.25">
      <c r="A58" s="7">
        <v>330</v>
      </c>
      <c r="B58" s="59">
        <v>4.6338999999999997</v>
      </c>
      <c r="C58" s="60">
        <v>2858</v>
      </c>
      <c r="D58" s="60">
        <v>3136</v>
      </c>
      <c r="E58" s="59">
        <v>8.5570000000000004</v>
      </c>
      <c r="F58" s="59"/>
      <c r="G58" s="28"/>
    </row>
    <row r="59" spans="1:7" ht="18.75" customHeight="1" x14ac:dyDescent="0.25">
      <c r="A59" s="7">
        <v>340</v>
      </c>
      <c r="B59" s="59">
        <v>4.7111000000000001</v>
      </c>
      <c r="C59" s="60">
        <v>2873.6</v>
      </c>
      <c r="D59" s="60">
        <v>3156.3</v>
      </c>
      <c r="E59" s="59">
        <v>8.5904000000000007</v>
      </c>
      <c r="F59" s="59"/>
      <c r="G59" s="28"/>
    </row>
    <row r="60" spans="1:7" ht="18.75" customHeight="1" x14ac:dyDescent="0.25">
      <c r="A60" s="7">
        <v>350</v>
      </c>
      <c r="B60" s="59">
        <v>4.7882999999999996</v>
      </c>
      <c r="C60" s="60">
        <v>2889.3</v>
      </c>
      <c r="D60" s="60">
        <v>3176.6</v>
      </c>
      <c r="E60" s="59">
        <v>8.6232000000000006</v>
      </c>
      <c r="F60" s="59"/>
      <c r="G60" s="28"/>
    </row>
    <row r="61" spans="1:7" ht="18.75" customHeight="1" x14ac:dyDescent="0.25">
      <c r="A61" s="7">
        <v>360</v>
      </c>
      <c r="B61" s="59">
        <v>4.8654000000000002</v>
      </c>
      <c r="C61" s="60">
        <v>2905.1</v>
      </c>
      <c r="D61" s="60">
        <v>3197</v>
      </c>
      <c r="E61" s="59">
        <v>8.6556999999999995</v>
      </c>
      <c r="F61" s="59"/>
      <c r="G61" s="28"/>
    </row>
    <row r="62" spans="1:7" ht="18.75" customHeight="1" x14ac:dyDescent="0.25">
      <c r="A62" s="7">
        <v>370</v>
      </c>
      <c r="B62" s="59">
        <v>4.9424999999999999</v>
      </c>
      <c r="C62" s="60">
        <v>2920.8</v>
      </c>
      <c r="D62" s="60">
        <v>3217.4</v>
      </c>
      <c r="E62" s="59">
        <v>8.6877999999999993</v>
      </c>
      <c r="F62" s="59"/>
      <c r="G62" s="28"/>
    </row>
    <row r="63" spans="1:7" ht="18.75" customHeight="1" x14ac:dyDescent="0.25">
      <c r="A63" s="7">
        <v>380</v>
      </c>
      <c r="B63" s="59">
        <v>5.0195999999999996</v>
      </c>
      <c r="C63" s="60">
        <v>2936.8</v>
      </c>
      <c r="D63" s="60">
        <v>3238</v>
      </c>
      <c r="E63" s="59">
        <v>8.7194000000000003</v>
      </c>
      <c r="F63" s="59"/>
      <c r="G63" s="28"/>
    </row>
    <row r="64" spans="1:7" ht="18.75" customHeight="1" x14ac:dyDescent="0.25">
      <c r="A64" s="7">
        <v>390</v>
      </c>
      <c r="B64" s="59">
        <v>5.0967000000000002</v>
      </c>
      <c r="C64" s="60">
        <v>2952.7</v>
      </c>
      <c r="D64" s="60">
        <v>3258.5</v>
      </c>
      <c r="E64" s="59">
        <v>8.7507000000000001</v>
      </c>
      <c r="F64" s="59"/>
      <c r="G64" s="28"/>
    </row>
    <row r="65" spans="1:7" ht="18.75" customHeight="1" x14ac:dyDescent="0.25">
      <c r="A65" s="7">
        <v>400</v>
      </c>
      <c r="B65" s="59">
        <v>5.1738</v>
      </c>
      <c r="C65" s="60">
        <v>2968.8</v>
      </c>
      <c r="D65" s="60">
        <v>3279.2</v>
      </c>
      <c r="E65" s="59">
        <v>8.7815999999999992</v>
      </c>
      <c r="F65" s="59"/>
      <c r="G65" s="28"/>
    </row>
    <row r="66" spans="1:7" ht="18.75" customHeight="1" x14ac:dyDescent="0.25">
      <c r="A66" s="7">
        <v>410</v>
      </c>
      <c r="B66" s="59">
        <v>5.2508999999999997</v>
      </c>
      <c r="C66" s="60">
        <v>2984.8</v>
      </c>
      <c r="D66" s="60">
        <v>3299.9</v>
      </c>
      <c r="E66" s="59">
        <v>8.8120999999999992</v>
      </c>
      <c r="F66" s="59"/>
      <c r="G66" s="28"/>
    </row>
    <row r="67" spans="1:7" ht="18.75" customHeight="1" x14ac:dyDescent="0.25">
      <c r="A67" s="7">
        <v>420</v>
      </c>
      <c r="B67" s="59">
        <v>5.3280000000000003</v>
      </c>
      <c r="C67" s="60">
        <v>3001</v>
      </c>
      <c r="D67" s="60">
        <v>3320.7</v>
      </c>
      <c r="E67" s="59">
        <v>8.8422999999999998</v>
      </c>
      <c r="F67" s="59"/>
      <c r="G67" s="28"/>
    </row>
    <row r="68" spans="1:7" ht="18.75" customHeight="1" x14ac:dyDescent="0.25">
      <c r="A68" s="7">
        <v>430</v>
      </c>
      <c r="B68" s="59">
        <v>5.4051</v>
      </c>
      <c r="C68" s="60">
        <v>3017.2</v>
      </c>
      <c r="D68" s="60">
        <v>3341.5</v>
      </c>
      <c r="E68" s="59">
        <v>8.8720999999999997</v>
      </c>
      <c r="F68" s="59"/>
      <c r="G68" s="28"/>
    </row>
    <row r="69" spans="1:7" ht="18.75" customHeight="1" x14ac:dyDescent="0.25">
      <c r="A69" s="7">
        <v>440</v>
      </c>
      <c r="B69" s="59">
        <v>5.4821</v>
      </c>
      <c r="C69" s="60">
        <v>3033.5</v>
      </c>
      <c r="D69" s="60">
        <v>3362.4</v>
      </c>
      <c r="E69" s="59">
        <v>8.9016999999999999</v>
      </c>
      <c r="F69" s="59"/>
      <c r="G69" s="28"/>
    </row>
    <row r="70" spans="1:7" ht="18.75" customHeight="1" x14ac:dyDescent="0.25">
      <c r="A70" s="7">
        <v>450</v>
      </c>
      <c r="B70" s="59">
        <v>5.5591999999999997</v>
      </c>
      <c r="C70" s="60">
        <v>3049.7</v>
      </c>
      <c r="D70" s="60">
        <v>3383.3</v>
      </c>
      <c r="E70" s="59">
        <v>8.9307999999999996</v>
      </c>
      <c r="F70" s="59"/>
      <c r="G70" s="28"/>
    </row>
    <row r="71" spans="1:7" ht="18.75" customHeight="1" x14ac:dyDescent="0.25">
      <c r="A71" s="7">
        <v>460</v>
      </c>
      <c r="B71" s="59">
        <v>5.6361999999999997</v>
      </c>
      <c r="C71" s="60">
        <v>3066.2</v>
      </c>
      <c r="D71" s="60">
        <v>3404.4</v>
      </c>
      <c r="E71" s="59">
        <v>8.9596999999999998</v>
      </c>
      <c r="F71" s="59"/>
      <c r="G71" s="28"/>
    </row>
    <row r="72" spans="1:7" ht="18.75" customHeight="1" x14ac:dyDescent="0.25">
      <c r="A72" s="7">
        <v>470</v>
      </c>
      <c r="B72" s="59">
        <v>5.7133000000000003</v>
      </c>
      <c r="C72" s="60">
        <v>3082.7</v>
      </c>
      <c r="D72" s="60">
        <v>3425.5</v>
      </c>
      <c r="E72" s="59">
        <v>8.9883000000000006</v>
      </c>
      <c r="F72" s="59"/>
      <c r="G72" s="28"/>
    </row>
    <row r="73" spans="1:7" ht="18.75" customHeight="1" x14ac:dyDescent="0.25">
      <c r="A73" s="7">
        <v>480</v>
      </c>
      <c r="B73" s="59">
        <v>5.7903000000000002</v>
      </c>
      <c r="C73" s="60">
        <v>3099.2</v>
      </c>
      <c r="D73" s="60">
        <v>3446.6</v>
      </c>
      <c r="E73" s="59">
        <v>9.0166000000000004</v>
      </c>
      <c r="F73" s="59"/>
      <c r="G73" s="28"/>
    </row>
    <row r="74" spans="1:7" ht="18.75" customHeight="1" x14ac:dyDescent="0.25">
      <c r="A74" s="7">
        <v>490</v>
      </c>
      <c r="B74" s="59">
        <v>5.8673000000000002</v>
      </c>
      <c r="C74" s="60">
        <v>3115.9</v>
      </c>
      <c r="D74" s="60">
        <v>3467.9</v>
      </c>
      <c r="E74" s="59">
        <v>9.0446000000000009</v>
      </c>
      <c r="F74" s="59"/>
      <c r="G74" s="28"/>
    </row>
    <row r="75" spans="1:7" ht="18.75" customHeight="1" x14ac:dyDescent="0.25">
      <c r="A75" s="7">
        <v>500</v>
      </c>
      <c r="B75" s="59">
        <v>5.9443999999999999</v>
      </c>
      <c r="C75" s="60">
        <v>3132.5</v>
      </c>
      <c r="D75" s="60">
        <v>3489.2</v>
      </c>
      <c r="E75" s="59">
        <v>9.0723000000000003</v>
      </c>
      <c r="F75" s="59"/>
      <c r="G75" s="28"/>
    </row>
    <row r="76" spans="1:7" ht="18.75" customHeight="1" x14ac:dyDescent="0.25">
      <c r="A76" s="7">
        <v>520</v>
      </c>
      <c r="B76" s="59">
        <v>6.0983999999999998</v>
      </c>
      <c r="C76" s="60">
        <v>3166.1</v>
      </c>
      <c r="D76" s="60">
        <v>3532</v>
      </c>
      <c r="E76" s="59">
        <v>9.1270000000000007</v>
      </c>
      <c r="F76" s="59"/>
      <c r="G76" s="28"/>
    </row>
    <row r="77" spans="1:7" ht="18.75" customHeight="1" x14ac:dyDescent="0.25">
      <c r="A77" s="7">
        <v>540</v>
      </c>
      <c r="B77" s="59">
        <v>6.2523999999999997</v>
      </c>
      <c r="C77" s="60">
        <v>3199.9</v>
      </c>
      <c r="D77" s="60">
        <v>3575</v>
      </c>
      <c r="E77" s="59">
        <v>9.1806000000000001</v>
      </c>
      <c r="F77" s="59"/>
      <c r="G77" s="28"/>
    </row>
    <row r="78" spans="1:7" ht="18.75" customHeight="1" x14ac:dyDescent="0.25">
      <c r="A78" s="7">
        <v>560</v>
      </c>
      <c r="B78" s="59">
        <v>6.4063999999999997</v>
      </c>
      <c r="C78" s="60">
        <v>3234</v>
      </c>
      <c r="D78" s="60">
        <v>3618.4</v>
      </c>
      <c r="E78" s="59">
        <v>9.2332000000000001</v>
      </c>
      <c r="F78" s="59"/>
      <c r="G78" s="28"/>
    </row>
    <row r="79" spans="1:7" ht="18.75" customHeight="1" x14ac:dyDescent="0.25">
      <c r="A79" s="7">
        <v>580</v>
      </c>
      <c r="B79" s="59">
        <v>6.5603999999999996</v>
      </c>
      <c r="C79" s="60">
        <v>3268.4</v>
      </c>
      <c r="D79" s="60">
        <v>3662</v>
      </c>
      <c r="E79" s="59">
        <v>9.2850000000000001</v>
      </c>
      <c r="F79" s="59"/>
      <c r="G79" s="28"/>
    </row>
    <row r="80" spans="1:7" ht="18.75" customHeight="1" x14ac:dyDescent="0.25">
      <c r="A80" s="7">
        <v>600</v>
      </c>
      <c r="B80" s="59">
        <v>6.7144000000000004</v>
      </c>
      <c r="C80" s="60">
        <v>3303</v>
      </c>
      <c r="D80" s="60">
        <v>3705.9</v>
      </c>
      <c r="E80" s="59">
        <v>9.3358000000000008</v>
      </c>
      <c r="F80" s="59"/>
      <c r="G80" s="28"/>
    </row>
    <row r="81" spans="1:7" ht="18.75" customHeight="1" x14ac:dyDescent="0.25">
      <c r="A81" s="7">
        <v>620</v>
      </c>
      <c r="B81" s="59">
        <v>6.8684000000000003</v>
      </c>
      <c r="C81" s="60">
        <v>3338</v>
      </c>
      <c r="D81" s="60">
        <v>3750.1</v>
      </c>
      <c r="E81" s="59">
        <v>9.3858999999999995</v>
      </c>
      <c r="F81" s="59"/>
      <c r="G81" s="28"/>
    </row>
    <row r="82" spans="1:7" ht="18.75" customHeight="1" x14ac:dyDescent="0.25">
      <c r="A82" s="7">
        <v>640</v>
      </c>
      <c r="B82" s="59">
        <v>7.0223000000000004</v>
      </c>
      <c r="C82" s="60">
        <v>3373.2</v>
      </c>
      <c r="D82" s="60">
        <v>3794.5</v>
      </c>
      <c r="E82" s="59">
        <v>9.4351000000000003</v>
      </c>
      <c r="F82" s="59"/>
      <c r="G82" s="28"/>
    </row>
    <row r="83" spans="1:7" ht="18.75" customHeight="1" x14ac:dyDescent="0.25">
      <c r="A83" s="7">
        <v>660</v>
      </c>
      <c r="B83" s="59">
        <v>7.1763000000000003</v>
      </c>
      <c r="C83" s="60">
        <v>3408.7</v>
      </c>
      <c r="D83" s="60">
        <v>3839.3</v>
      </c>
      <c r="E83" s="59">
        <v>9.4835999999999991</v>
      </c>
      <c r="F83" s="59"/>
      <c r="G83" s="28"/>
    </row>
    <row r="84" spans="1:7" ht="18.75" customHeight="1" x14ac:dyDescent="0.25">
      <c r="A84" s="7">
        <v>680</v>
      </c>
      <c r="B84" s="59">
        <v>7.3301999999999996</v>
      </c>
      <c r="C84" s="60">
        <v>3444.5</v>
      </c>
      <c r="D84" s="60">
        <v>3884.3</v>
      </c>
      <c r="E84" s="59">
        <v>9.5312999999999999</v>
      </c>
      <c r="F84" s="59"/>
      <c r="G84" s="28"/>
    </row>
    <row r="85" spans="1:7" ht="18.75" customHeight="1" x14ac:dyDescent="0.25">
      <c r="A85" s="7">
        <v>700</v>
      </c>
      <c r="B85" s="59">
        <v>7.4840999999999998</v>
      </c>
      <c r="C85" s="60">
        <v>3480.6</v>
      </c>
      <c r="D85" s="60">
        <v>3929.6</v>
      </c>
      <c r="E85" s="59">
        <v>9.5784000000000002</v>
      </c>
      <c r="F85" s="59"/>
      <c r="G85" s="28"/>
    </row>
    <row r="86" spans="1:7" ht="18.75" customHeight="1" x14ac:dyDescent="0.25">
      <c r="A86" s="7">
        <v>720</v>
      </c>
      <c r="B86" s="59">
        <v>7.6380999999999997</v>
      </c>
      <c r="C86" s="60">
        <v>3516.9</v>
      </c>
      <c r="D86" s="60">
        <v>3975.2</v>
      </c>
      <c r="E86" s="59">
        <v>9.6247000000000007</v>
      </c>
      <c r="F86" s="59"/>
      <c r="G86" s="28"/>
    </row>
    <row r="87" spans="1:7" ht="18.75" customHeight="1" x14ac:dyDescent="0.25">
      <c r="A87" s="7">
        <v>740</v>
      </c>
      <c r="B87" s="59">
        <v>7.7919999999999998</v>
      </c>
      <c r="C87" s="60">
        <v>3553.6</v>
      </c>
      <c r="D87" s="60">
        <v>4021.1</v>
      </c>
      <c r="E87" s="59">
        <v>9.6705000000000005</v>
      </c>
      <c r="F87" s="59"/>
      <c r="G87" s="28"/>
    </row>
    <row r="88" spans="1:7" ht="18.75" customHeight="1" x14ac:dyDescent="0.25">
      <c r="A88" s="7">
        <v>760</v>
      </c>
      <c r="B88" s="59">
        <v>7.9459</v>
      </c>
      <c r="C88" s="60">
        <v>3590.4</v>
      </c>
      <c r="D88" s="60">
        <v>4067.2</v>
      </c>
      <c r="E88" s="59">
        <v>9.7156000000000002</v>
      </c>
      <c r="F88" s="59"/>
      <c r="G88" s="28"/>
    </row>
    <row r="89" spans="1:7" ht="18.75" customHeight="1" x14ac:dyDescent="0.25">
      <c r="A89" s="7">
        <v>780</v>
      </c>
      <c r="B89" s="59">
        <v>8.0998000000000001</v>
      </c>
      <c r="C89" s="60">
        <v>3627.7</v>
      </c>
      <c r="D89" s="60">
        <v>4113.7</v>
      </c>
      <c r="E89" s="59">
        <v>9.7600999999999996</v>
      </c>
      <c r="F89" s="59"/>
      <c r="G89" s="28"/>
    </row>
    <row r="90" spans="1:7" ht="18.75" customHeight="1" x14ac:dyDescent="0.25">
      <c r="A90" s="7">
        <v>800</v>
      </c>
      <c r="B90" s="59">
        <v>8.2537000000000003</v>
      </c>
      <c r="C90" s="60">
        <v>3665.2</v>
      </c>
      <c r="D90" s="60">
        <v>4160.3999999999996</v>
      </c>
      <c r="E90" s="59">
        <v>9.8040000000000003</v>
      </c>
      <c r="F90" s="59"/>
      <c r="G90" s="28"/>
    </row>
    <row r="91" spans="1:7" ht="18.75" customHeight="1" x14ac:dyDescent="0.25">
      <c r="A91" s="7">
        <v>820</v>
      </c>
      <c r="B91" s="59">
        <v>8.4076000000000004</v>
      </c>
      <c r="C91" s="60">
        <v>3702.9</v>
      </c>
      <c r="D91" s="60">
        <v>4207.3999999999996</v>
      </c>
      <c r="E91" s="59">
        <v>9.8474000000000004</v>
      </c>
      <c r="F91" s="59"/>
      <c r="G91" s="28"/>
    </row>
    <row r="92" spans="1:7" ht="18.75" customHeight="1" x14ac:dyDescent="0.25">
      <c r="A92" s="7">
        <v>840</v>
      </c>
      <c r="B92" s="59">
        <v>8.5615000000000006</v>
      </c>
      <c r="C92" s="60">
        <v>3741</v>
      </c>
      <c r="D92" s="60">
        <v>4254.7</v>
      </c>
      <c r="E92" s="59">
        <v>9.8902999999999999</v>
      </c>
      <c r="F92" s="59"/>
      <c r="G92" s="28"/>
    </row>
    <row r="93" spans="1:7" ht="18.75" customHeight="1" x14ac:dyDescent="0.25">
      <c r="A93" s="7">
        <v>860</v>
      </c>
      <c r="B93" s="59">
        <v>8.7154000000000007</v>
      </c>
      <c r="C93" s="60">
        <v>3779.3</v>
      </c>
      <c r="D93" s="60">
        <v>4302.2</v>
      </c>
      <c r="E93" s="59">
        <v>9.9326000000000008</v>
      </c>
      <c r="F93" s="59"/>
      <c r="G93" s="28"/>
    </row>
    <row r="94" spans="1:7" ht="18.75" customHeight="1" x14ac:dyDescent="0.25">
      <c r="A94" s="7">
        <v>880</v>
      </c>
      <c r="B94" s="59">
        <v>8.8693000000000008</v>
      </c>
      <c r="C94" s="60">
        <v>3817.9</v>
      </c>
      <c r="D94" s="60">
        <v>4350.1000000000004</v>
      </c>
      <c r="E94" s="59">
        <v>9.9745000000000008</v>
      </c>
      <c r="F94" s="46"/>
      <c r="G94" s="28"/>
    </row>
    <row r="95" spans="1:7" ht="18.75" customHeight="1" x14ac:dyDescent="0.25">
      <c r="A95" s="7">
        <v>900</v>
      </c>
      <c r="B95" s="59">
        <v>9.0231999999999992</v>
      </c>
      <c r="C95" s="60">
        <v>3856.8</v>
      </c>
      <c r="D95" s="60">
        <v>4398.2</v>
      </c>
      <c r="E95" s="46">
        <v>10.016</v>
      </c>
      <c r="F95" s="46"/>
      <c r="G95" s="28"/>
    </row>
    <row r="96" spans="1:7" ht="18.75" customHeight="1" x14ac:dyDescent="0.25">
      <c r="A96" s="7">
        <v>920</v>
      </c>
      <c r="B96" s="59">
        <v>9.1770999999999994</v>
      </c>
      <c r="C96" s="60">
        <v>3895.9</v>
      </c>
      <c r="D96" s="60">
        <v>4446.5</v>
      </c>
      <c r="E96" s="46">
        <v>10.057</v>
      </c>
      <c r="F96" s="46"/>
      <c r="G96" s="28"/>
    </row>
    <row r="97" spans="1:7" ht="18.75" customHeight="1" x14ac:dyDescent="0.25">
      <c r="A97" s="7">
        <v>940</v>
      </c>
      <c r="B97" s="59">
        <v>9.3309999999999995</v>
      </c>
      <c r="C97" s="60">
        <v>3935.3</v>
      </c>
      <c r="D97" s="60">
        <v>4495.2</v>
      </c>
      <c r="E97" s="46">
        <v>10.097</v>
      </c>
      <c r="F97" s="46"/>
      <c r="G97" s="28"/>
    </row>
    <row r="98" spans="1:7" ht="18.75" customHeight="1" x14ac:dyDescent="0.25">
      <c r="A98" s="7">
        <v>960</v>
      </c>
      <c r="B98" s="59">
        <v>9.4848999999999997</v>
      </c>
      <c r="C98" s="60">
        <v>3975</v>
      </c>
      <c r="D98" s="60">
        <v>4544.1000000000004</v>
      </c>
      <c r="E98" s="46">
        <v>10.137</v>
      </c>
      <c r="F98" s="46"/>
      <c r="G98" s="28"/>
    </row>
    <row r="99" spans="1:7" ht="18.75" customHeight="1" x14ac:dyDescent="0.25">
      <c r="A99" s="7">
        <v>980</v>
      </c>
      <c r="B99" s="59">
        <v>9.6387999999999998</v>
      </c>
      <c r="C99" s="60">
        <v>4014.9</v>
      </c>
      <c r="D99" s="60">
        <v>4593.2</v>
      </c>
      <c r="E99" s="46">
        <v>10.177</v>
      </c>
      <c r="F99" s="46"/>
      <c r="G99" s="28"/>
    </row>
    <row r="100" spans="1:7" ht="13.8" x14ac:dyDescent="0.25">
      <c r="A100" s="7">
        <v>1000</v>
      </c>
      <c r="B100" s="59">
        <v>9.7927</v>
      </c>
      <c r="C100" s="60">
        <v>4055.1</v>
      </c>
      <c r="D100" s="60">
        <v>4642.7</v>
      </c>
      <c r="E100" s="46">
        <v>10.215999999999999</v>
      </c>
    </row>
  </sheetData>
  <mergeCells count="1">
    <mergeCell ref="A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Y100"/>
  <sheetViews>
    <sheetView topLeftCell="A12" workbookViewId="0">
      <selection activeCell="A23" sqref="A23:XFD23"/>
    </sheetView>
  </sheetViews>
  <sheetFormatPr defaultRowHeight="13.2" x14ac:dyDescent="0.25"/>
  <cols>
    <col min="1" max="1" width="8.21875" customWidth="1"/>
    <col min="2" max="2" width="9.7773437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25" ht="18.75" customHeight="1" x14ac:dyDescent="0.25">
      <c r="A1" s="193" t="s">
        <v>38</v>
      </c>
      <c r="B1" s="193"/>
      <c r="C1" s="193"/>
      <c r="D1" s="193"/>
      <c r="E1" s="193"/>
      <c r="F1" s="193"/>
      <c r="G1" s="193"/>
      <c r="H1" s="193"/>
    </row>
    <row r="2" spans="1:25" ht="15.75" customHeight="1" x14ac:dyDescent="0.25">
      <c r="A2" s="89" t="s">
        <v>126</v>
      </c>
      <c r="B2" s="90">
        <v>70</v>
      </c>
      <c r="G2" s="28"/>
      <c r="H2" s="28"/>
      <c r="Y2" s="209"/>
    </row>
    <row r="3" spans="1:25" ht="18.75" customHeight="1" x14ac:dyDescent="0.25">
      <c r="A3" s="39" t="s">
        <v>26</v>
      </c>
      <c r="B3" s="65" t="s">
        <v>27</v>
      </c>
      <c r="C3" s="65" t="s">
        <v>28</v>
      </c>
      <c r="D3" s="65" t="s">
        <v>29</v>
      </c>
      <c r="E3" s="65" t="s">
        <v>30</v>
      </c>
      <c r="F3" s="65"/>
      <c r="G3" s="28"/>
      <c r="Y3" s="209"/>
    </row>
    <row r="4" spans="1:25" ht="18.75" customHeight="1" x14ac:dyDescent="0.25">
      <c r="A4" s="36" t="s">
        <v>31</v>
      </c>
      <c r="B4" s="64" t="s">
        <v>18</v>
      </c>
      <c r="C4" s="66" t="s">
        <v>19</v>
      </c>
      <c r="D4" s="66" t="s">
        <v>19</v>
      </c>
      <c r="E4" s="66" t="s">
        <v>32</v>
      </c>
      <c r="F4" s="66"/>
      <c r="G4" s="28"/>
      <c r="Y4" s="209"/>
    </row>
    <row r="5" spans="1:25" ht="18.75" customHeight="1" x14ac:dyDescent="0.25">
      <c r="A5" s="38">
        <v>0</v>
      </c>
      <c r="B5" s="62">
        <v>1.0001700000000001E-3</v>
      </c>
      <c r="C5" s="63">
        <v>-0.04</v>
      </c>
      <c r="D5" s="63">
        <v>0.03</v>
      </c>
      <c r="E5" s="209">
        <v>-1.4999999999999999E-4</v>
      </c>
      <c r="F5" s="61"/>
      <c r="G5" s="28"/>
    </row>
    <row r="6" spans="1:25" ht="18.75" customHeight="1" x14ac:dyDescent="0.25">
      <c r="A6" s="7">
        <v>5</v>
      </c>
      <c r="B6" s="62">
        <v>1.0000499999999999E-3</v>
      </c>
      <c r="C6" s="63">
        <v>21.02</v>
      </c>
      <c r="D6" s="63">
        <v>21.09</v>
      </c>
      <c r="E6" s="209">
        <v>7.6249999999999998E-2</v>
      </c>
      <c r="F6" s="61"/>
      <c r="G6" s="28"/>
    </row>
    <row r="7" spans="1:25" ht="18.75" customHeight="1" x14ac:dyDescent="0.25">
      <c r="A7" s="7">
        <v>10</v>
      </c>
      <c r="B7" s="62">
        <v>1.0003099999999999E-3</v>
      </c>
      <c r="C7" s="63">
        <v>42.02</v>
      </c>
      <c r="D7" s="63">
        <v>42.09</v>
      </c>
      <c r="E7" s="209">
        <v>0.15107999999999999</v>
      </c>
      <c r="F7" s="61"/>
      <c r="G7" s="28"/>
    </row>
    <row r="8" spans="1:25" ht="18.75" customHeight="1" x14ac:dyDescent="0.25">
      <c r="A8" s="7">
        <v>15</v>
      </c>
      <c r="B8" s="62">
        <v>1.00091E-3</v>
      </c>
      <c r="C8" s="63">
        <v>62.98</v>
      </c>
      <c r="D8" s="63">
        <v>63.05</v>
      </c>
      <c r="E8" s="209">
        <v>0.22445000000000001</v>
      </c>
      <c r="F8" s="61"/>
      <c r="G8" s="28"/>
    </row>
    <row r="9" spans="1:25" ht="18.75" customHeight="1" x14ac:dyDescent="0.25">
      <c r="A9" s="7">
        <v>20</v>
      </c>
      <c r="B9" s="62">
        <v>1.0018099999999999E-3</v>
      </c>
      <c r="C9" s="63">
        <v>83.91</v>
      </c>
      <c r="D9" s="63">
        <v>83.98</v>
      </c>
      <c r="E9" s="209">
        <v>0.29647000000000001</v>
      </c>
      <c r="F9" s="61"/>
      <c r="G9" s="28"/>
    </row>
    <row r="10" spans="1:25" ht="18.75" customHeight="1" x14ac:dyDescent="0.25">
      <c r="A10" s="7">
        <v>25</v>
      </c>
      <c r="B10" s="62">
        <v>1.0029800000000001E-3</v>
      </c>
      <c r="C10" s="63">
        <v>104.82</v>
      </c>
      <c r="D10" s="63">
        <v>104.89</v>
      </c>
      <c r="E10" s="209">
        <v>0.36720999999999998</v>
      </c>
      <c r="F10" s="61"/>
      <c r="G10" s="28"/>
    </row>
    <row r="11" spans="1:25" ht="18.75" customHeight="1" x14ac:dyDescent="0.25">
      <c r="A11" s="7">
        <v>30</v>
      </c>
      <c r="B11" s="62">
        <v>1.00438E-3</v>
      </c>
      <c r="C11" s="63">
        <v>125.72</v>
      </c>
      <c r="D11" s="63">
        <v>125.79</v>
      </c>
      <c r="E11" s="209">
        <v>0.43673000000000001</v>
      </c>
      <c r="F11" s="61"/>
      <c r="G11" s="28"/>
    </row>
    <row r="12" spans="1:25" ht="18.75" customHeight="1" x14ac:dyDescent="0.25">
      <c r="A12" s="7">
        <v>35</v>
      </c>
      <c r="B12" s="62">
        <v>1.00602E-3</v>
      </c>
      <c r="C12" s="63">
        <v>146.62</v>
      </c>
      <c r="D12" s="63">
        <v>146.69</v>
      </c>
      <c r="E12" s="209">
        <v>0.50510999999999995</v>
      </c>
      <c r="F12" s="61"/>
      <c r="G12" s="28"/>
    </row>
    <row r="13" spans="1:25" ht="18.75" customHeight="1" x14ac:dyDescent="0.25">
      <c r="A13" s="7">
        <v>40</v>
      </c>
      <c r="B13" s="62">
        <v>1.00786E-3</v>
      </c>
      <c r="C13" s="63">
        <v>167.52</v>
      </c>
      <c r="D13" s="63">
        <v>167.59</v>
      </c>
      <c r="E13" s="209">
        <v>0.57238</v>
      </c>
      <c r="F13" s="61"/>
      <c r="G13" s="28"/>
    </row>
    <row r="14" spans="1:25" ht="18.75" customHeight="1" x14ac:dyDescent="0.25">
      <c r="A14" s="7">
        <v>45</v>
      </c>
      <c r="B14" s="62">
        <v>1.0099E-3</v>
      </c>
      <c r="C14" s="63">
        <v>188.42</v>
      </c>
      <c r="D14" s="63">
        <v>188.49</v>
      </c>
      <c r="E14" s="209">
        <v>0.63858999999999999</v>
      </c>
      <c r="F14" s="61"/>
      <c r="G14" s="28"/>
    </row>
    <row r="15" spans="1:25" ht="18.75" customHeight="1" x14ac:dyDescent="0.25">
      <c r="A15" s="7">
        <v>50</v>
      </c>
      <c r="B15" s="62">
        <v>1.01212E-3</v>
      </c>
      <c r="C15" s="63">
        <v>209.32</v>
      </c>
      <c r="D15" s="63">
        <v>209.39</v>
      </c>
      <c r="E15" s="209">
        <v>0.70377999999999996</v>
      </c>
      <c r="F15" s="61"/>
      <c r="G15" s="28"/>
    </row>
    <row r="16" spans="1:25" ht="18.75" customHeight="1" x14ac:dyDescent="0.25">
      <c r="A16" s="7">
        <v>55</v>
      </c>
      <c r="B16" s="62">
        <v>1.01453E-3</v>
      </c>
      <c r="C16" s="63">
        <v>230.23</v>
      </c>
      <c r="D16" s="63">
        <v>230.3</v>
      </c>
      <c r="E16" s="209">
        <v>0.76800000000000002</v>
      </c>
      <c r="F16" s="61"/>
      <c r="G16" s="28"/>
    </row>
    <row r="17" spans="1:7" ht="18.75" customHeight="1" x14ac:dyDescent="0.25">
      <c r="A17" s="7">
        <v>60</v>
      </c>
      <c r="B17" s="62">
        <v>1.0171100000000001E-3</v>
      </c>
      <c r="C17" s="63">
        <v>251.15</v>
      </c>
      <c r="D17" s="63">
        <v>251.22</v>
      </c>
      <c r="E17" s="209">
        <v>0.83126999999999995</v>
      </c>
      <c r="F17" s="61"/>
      <c r="G17" s="28"/>
    </row>
    <row r="18" spans="1:7" ht="18.75" customHeight="1" x14ac:dyDescent="0.25">
      <c r="A18" s="7">
        <v>65</v>
      </c>
      <c r="B18" s="62">
        <v>1.0198500000000001E-3</v>
      </c>
      <c r="C18" s="63">
        <v>272.08</v>
      </c>
      <c r="D18" s="63">
        <v>272.14999999999998</v>
      </c>
      <c r="E18" s="209">
        <v>0.89363000000000004</v>
      </c>
      <c r="F18" s="61"/>
      <c r="G18" s="28"/>
    </row>
    <row r="19" spans="1:7" ht="18.75" customHeight="1" x14ac:dyDescent="0.25">
      <c r="A19" s="7">
        <v>70</v>
      </c>
      <c r="B19" s="62">
        <v>1.0227599999999999E-3</v>
      </c>
      <c r="C19" s="63">
        <v>293.02999999999997</v>
      </c>
      <c r="D19" s="63">
        <v>293.10000000000002</v>
      </c>
      <c r="E19" s="209">
        <v>0.95511000000000001</v>
      </c>
      <c r="F19" s="61"/>
      <c r="G19" s="28"/>
    </row>
    <row r="20" spans="1:7" ht="18.75" customHeight="1" x14ac:dyDescent="0.25">
      <c r="A20" s="7">
        <v>75</v>
      </c>
      <c r="B20" s="62">
        <v>1.02582E-3</v>
      </c>
      <c r="C20" s="63">
        <v>313.99</v>
      </c>
      <c r="D20" s="63">
        <v>314.06</v>
      </c>
      <c r="E20" s="210">
        <v>1.0157</v>
      </c>
      <c r="F20" s="59"/>
      <c r="G20" s="28"/>
    </row>
    <row r="21" spans="1:7" ht="18.75" customHeight="1" x14ac:dyDescent="0.25">
      <c r="A21" s="7">
        <v>80</v>
      </c>
      <c r="B21" s="62">
        <v>1.0290399999999999E-3</v>
      </c>
      <c r="C21" s="63">
        <v>334.96</v>
      </c>
      <c r="D21" s="63">
        <v>335.03</v>
      </c>
      <c r="E21" s="210">
        <v>1.0755999999999999</v>
      </c>
      <c r="F21" s="59"/>
      <c r="G21" s="28"/>
    </row>
    <row r="22" spans="1:7" ht="18.75" customHeight="1" x14ac:dyDescent="0.25">
      <c r="A22" s="7">
        <v>85</v>
      </c>
      <c r="B22" s="62">
        <v>1.03242E-3</v>
      </c>
      <c r="C22" s="63">
        <v>355.95</v>
      </c>
      <c r="D22" s="63">
        <v>356.02</v>
      </c>
      <c r="E22" s="210">
        <v>1.1346000000000001</v>
      </c>
      <c r="F22" s="59"/>
      <c r="G22" s="28"/>
    </row>
    <row r="23" spans="1:7" ht="18.75" customHeight="1" x14ac:dyDescent="0.25">
      <c r="A23" s="7">
        <v>90</v>
      </c>
      <c r="B23" s="59">
        <v>2.3653</v>
      </c>
      <c r="C23" s="60">
        <v>2494</v>
      </c>
      <c r="D23" s="60">
        <v>2659.6</v>
      </c>
      <c r="E23" s="210">
        <v>7.4794</v>
      </c>
      <c r="F23" s="59"/>
      <c r="G23" s="28"/>
    </row>
    <row r="24" spans="1:7" ht="18.75" customHeight="1" x14ac:dyDescent="0.25">
      <c r="A24" s="7">
        <v>95</v>
      </c>
      <c r="B24" s="59">
        <v>2.3999000000000001</v>
      </c>
      <c r="C24" s="60">
        <v>2501.6999999999998</v>
      </c>
      <c r="D24" s="60">
        <v>2669.7</v>
      </c>
      <c r="E24" s="210">
        <v>7.5072000000000001</v>
      </c>
      <c r="F24" s="59"/>
      <c r="G24" s="28"/>
    </row>
    <row r="25" spans="1:7" ht="18.75" customHeight="1" x14ac:dyDescent="0.25">
      <c r="A25" s="7">
        <v>100</v>
      </c>
      <c r="B25" s="59">
        <v>2.4342999999999999</v>
      </c>
      <c r="C25" s="60">
        <v>2509.4</v>
      </c>
      <c r="D25" s="60">
        <v>2679.8</v>
      </c>
      <c r="E25" s="210">
        <v>7.5343999999999998</v>
      </c>
      <c r="F25" s="59"/>
      <c r="G25" s="28"/>
    </row>
    <row r="26" spans="1:7" ht="18.75" customHeight="1" x14ac:dyDescent="0.25">
      <c r="A26" s="7">
        <v>105</v>
      </c>
      <c r="B26" s="59">
        <v>2.4687000000000001</v>
      </c>
      <c r="C26" s="60">
        <v>2517</v>
      </c>
      <c r="D26" s="60">
        <v>2689.8</v>
      </c>
      <c r="E26" s="210">
        <v>7.5610999999999997</v>
      </c>
      <c r="F26" s="59"/>
      <c r="G26" s="28"/>
    </row>
    <row r="27" spans="1:7" ht="18.75" customHeight="1" x14ac:dyDescent="0.25">
      <c r="A27" s="7">
        <v>110</v>
      </c>
      <c r="B27" s="59">
        <v>2.5028999999999999</v>
      </c>
      <c r="C27" s="60">
        <v>2524.6</v>
      </c>
      <c r="D27" s="60">
        <v>2699.8</v>
      </c>
      <c r="E27" s="210">
        <v>7.5873999999999997</v>
      </c>
      <c r="F27" s="59"/>
      <c r="G27" s="28"/>
    </row>
    <row r="28" spans="1:7" ht="18.75" customHeight="1" x14ac:dyDescent="0.25">
      <c r="A28" s="7">
        <v>115</v>
      </c>
      <c r="B28" s="59">
        <v>2.5369999999999999</v>
      </c>
      <c r="C28" s="60">
        <v>2532.1999999999998</v>
      </c>
      <c r="D28" s="60">
        <v>2709.8</v>
      </c>
      <c r="E28" s="210">
        <v>7.6132</v>
      </c>
      <c r="F28" s="59"/>
      <c r="G28" s="28"/>
    </row>
    <row r="29" spans="1:7" ht="18.75" customHeight="1" x14ac:dyDescent="0.25">
      <c r="A29" s="7">
        <v>120</v>
      </c>
      <c r="B29" s="59">
        <v>2.5710000000000002</v>
      </c>
      <c r="C29" s="60">
        <v>2539.6999999999998</v>
      </c>
      <c r="D29" s="60">
        <v>2719.7</v>
      </c>
      <c r="E29" s="210">
        <v>7.6384999999999996</v>
      </c>
      <c r="F29" s="59"/>
      <c r="G29" s="28"/>
    </row>
    <row r="30" spans="1:7" ht="18.75" customHeight="1" x14ac:dyDescent="0.25">
      <c r="A30" s="7">
        <v>125</v>
      </c>
      <c r="B30" s="59">
        <v>2.6049000000000002</v>
      </c>
      <c r="C30" s="60">
        <v>2547.3000000000002</v>
      </c>
      <c r="D30" s="60">
        <v>2729.6</v>
      </c>
      <c r="E30" s="210">
        <v>7.6635</v>
      </c>
      <c r="F30" s="59"/>
      <c r="G30" s="28"/>
    </row>
    <row r="31" spans="1:7" ht="18.75" customHeight="1" x14ac:dyDescent="0.25">
      <c r="A31" s="7">
        <v>130</v>
      </c>
      <c r="B31" s="59">
        <v>2.6387999999999998</v>
      </c>
      <c r="C31" s="60">
        <v>2554.8000000000002</v>
      </c>
      <c r="D31" s="60">
        <v>2739.5</v>
      </c>
      <c r="E31" s="210">
        <v>7.6882000000000001</v>
      </c>
      <c r="F31" s="59"/>
      <c r="G31" s="28"/>
    </row>
    <row r="32" spans="1:7" ht="18.75" customHeight="1" x14ac:dyDescent="0.25">
      <c r="A32" s="7">
        <v>135</v>
      </c>
      <c r="B32" s="59">
        <v>2.6726000000000001</v>
      </c>
      <c r="C32" s="60">
        <v>2562.1999999999998</v>
      </c>
      <c r="D32" s="60">
        <v>2749.3</v>
      </c>
      <c r="E32" s="210">
        <v>7.7123999999999997</v>
      </c>
      <c r="F32" s="59"/>
      <c r="G32" s="28"/>
    </row>
    <row r="33" spans="1:7" ht="18.75" customHeight="1" x14ac:dyDescent="0.25">
      <c r="A33" s="7">
        <v>140</v>
      </c>
      <c r="B33" s="59">
        <v>2.7063999999999999</v>
      </c>
      <c r="C33" s="60">
        <v>2569.6999999999998</v>
      </c>
      <c r="D33" s="60">
        <v>2759.1</v>
      </c>
      <c r="E33" s="210">
        <v>7.7363999999999997</v>
      </c>
      <c r="F33" s="59"/>
      <c r="G33" s="28"/>
    </row>
    <row r="34" spans="1:7" ht="18.75" customHeight="1" x14ac:dyDescent="0.25">
      <c r="A34" s="7">
        <v>145</v>
      </c>
      <c r="B34" s="59">
        <v>2.7401</v>
      </c>
      <c r="C34" s="60">
        <v>2577.1999999999998</v>
      </c>
      <c r="D34" s="60">
        <v>2769</v>
      </c>
      <c r="E34" s="210">
        <v>7.76</v>
      </c>
      <c r="F34" s="59"/>
      <c r="G34" s="28"/>
    </row>
    <row r="35" spans="1:7" ht="18.75" customHeight="1" x14ac:dyDescent="0.25">
      <c r="A35" s="7">
        <v>150</v>
      </c>
      <c r="B35" s="59">
        <v>2.7736999999999998</v>
      </c>
      <c r="C35" s="60">
        <v>2584.6</v>
      </c>
      <c r="D35" s="60">
        <v>2778.8</v>
      </c>
      <c r="E35" s="210">
        <v>7.7834000000000003</v>
      </c>
      <c r="F35" s="59"/>
      <c r="G35" s="28"/>
    </row>
    <row r="36" spans="1:7" ht="18.75" customHeight="1" x14ac:dyDescent="0.25">
      <c r="A36" s="7">
        <v>155</v>
      </c>
      <c r="B36" s="59">
        <v>2.8073000000000001</v>
      </c>
      <c r="C36" s="60">
        <v>2592.1</v>
      </c>
      <c r="D36" s="60">
        <v>2788.6</v>
      </c>
      <c r="E36" s="210">
        <v>7.8064</v>
      </c>
      <c r="F36" s="59"/>
      <c r="G36" s="28"/>
    </row>
    <row r="37" spans="1:7" ht="18.75" customHeight="1" x14ac:dyDescent="0.25">
      <c r="A37" s="7">
        <v>160</v>
      </c>
      <c r="B37" s="59">
        <v>2.8409</v>
      </c>
      <c r="C37" s="60">
        <v>2599.5</v>
      </c>
      <c r="D37" s="60">
        <v>2798.4</v>
      </c>
      <c r="E37" s="210">
        <v>7.8292000000000002</v>
      </c>
      <c r="F37" s="59"/>
      <c r="G37" s="28"/>
    </row>
    <row r="38" spans="1:7" ht="18.75" customHeight="1" x14ac:dyDescent="0.25">
      <c r="A38" s="7">
        <v>165</v>
      </c>
      <c r="B38" s="59">
        <v>2.8744000000000001</v>
      </c>
      <c r="C38" s="60">
        <v>2607</v>
      </c>
      <c r="D38" s="60">
        <v>2808.2</v>
      </c>
      <c r="E38" s="210">
        <v>7.8517000000000001</v>
      </c>
      <c r="F38" s="59"/>
      <c r="G38" s="28"/>
    </row>
    <row r="39" spans="1:7" ht="18.75" customHeight="1" x14ac:dyDescent="0.25">
      <c r="A39" s="7">
        <v>170</v>
      </c>
      <c r="B39" s="59">
        <v>2.9079000000000002</v>
      </c>
      <c r="C39" s="60">
        <v>2614.4</v>
      </c>
      <c r="D39" s="60">
        <v>2818</v>
      </c>
      <c r="E39" s="210">
        <v>7.8738999999999999</v>
      </c>
      <c r="F39" s="59"/>
      <c r="G39" s="28"/>
    </row>
    <row r="40" spans="1:7" ht="18.75" customHeight="1" x14ac:dyDescent="0.25">
      <c r="A40" s="7">
        <v>175</v>
      </c>
      <c r="B40" s="59">
        <v>2.9413999999999998</v>
      </c>
      <c r="C40" s="60">
        <v>2621.9</v>
      </c>
      <c r="D40" s="60">
        <v>2827.8</v>
      </c>
      <c r="E40" s="210">
        <v>7.8959000000000001</v>
      </c>
      <c r="F40" s="59"/>
      <c r="G40" s="28"/>
    </row>
    <row r="41" spans="1:7" ht="18.75" customHeight="1" x14ac:dyDescent="0.25">
      <c r="A41" s="7">
        <v>180</v>
      </c>
      <c r="B41" s="59">
        <v>2.9748000000000001</v>
      </c>
      <c r="C41" s="60">
        <v>2629.4</v>
      </c>
      <c r="D41" s="60">
        <v>2837.6</v>
      </c>
      <c r="E41" s="210">
        <v>7.9177</v>
      </c>
      <c r="F41" s="59"/>
      <c r="G41" s="28"/>
    </row>
    <row r="42" spans="1:7" ht="18.75" customHeight="1" x14ac:dyDescent="0.25">
      <c r="A42" s="7">
        <v>185</v>
      </c>
      <c r="B42" s="59">
        <v>3.0082</v>
      </c>
      <c r="C42" s="60">
        <v>2636.8</v>
      </c>
      <c r="D42" s="60">
        <v>2847.4</v>
      </c>
      <c r="E42" s="210">
        <v>7.9391999999999996</v>
      </c>
      <c r="F42" s="59"/>
      <c r="G42" s="28"/>
    </row>
    <row r="43" spans="1:7" ht="18.75" customHeight="1" x14ac:dyDescent="0.25">
      <c r="A43" s="7">
        <v>190</v>
      </c>
      <c r="B43" s="59">
        <v>3.0415999999999999</v>
      </c>
      <c r="C43" s="60">
        <v>2644.3</v>
      </c>
      <c r="D43" s="60">
        <v>2857.2</v>
      </c>
      <c r="E43" s="210">
        <v>7.9604999999999997</v>
      </c>
      <c r="F43" s="59"/>
      <c r="G43" s="28"/>
    </row>
    <row r="44" spans="1:7" ht="18.75" customHeight="1" x14ac:dyDescent="0.25">
      <c r="A44" s="7">
        <v>195</v>
      </c>
      <c r="B44" s="59">
        <v>3.0750000000000002</v>
      </c>
      <c r="C44" s="60">
        <v>2651.8</v>
      </c>
      <c r="D44" s="60">
        <v>2867</v>
      </c>
      <c r="E44" s="210">
        <v>7.9814999999999996</v>
      </c>
      <c r="F44" s="59"/>
      <c r="G44" s="28"/>
    </row>
    <row r="45" spans="1:7" ht="18.75" customHeight="1" x14ac:dyDescent="0.25">
      <c r="A45" s="7">
        <v>200</v>
      </c>
      <c r="B45" s="59">
        <v>3.1082999999999998</v>
      </c>
      <c r="C45" s="60">
        <v>2659.2</v>
      </c>
      <c r="D45" s="60">
        <v>2876.8</v>
      </c>
      <c r="E45" s="210">
        <v>8.0023999999999997</v>
      </c>
      <c r="F45" s="59"/>
      <c r="G45" s="28"/>
    </row>
    <row r="46" spans="1:7" ht="18.75" customHeight="1" x14ac:dyDescent="0.25">
      <c r="A46" s="7">
        <v>210</v>
      </c>
      <c r="B46" s="59">
        <v>3.1749999999999998</v>
      </c>
      <c r="C46" s="60">
        <v>2674.3</v>
      </c>
      <c r="D46" s="60">
        <v>2896.5</v>
      </c>
      <c r="E46" s="210">
        <v>8.0434999999999999</v>
      </c>
      <c r="F46" s="59"/>
      <c r="G46" s="28"/>
    </row>
    <row r="47" spans="1:7" ht="18.75" customHeight="1" x14ac:dyDescent="0.25">
      <c r="A47" s="7">
        <v>220</v>
      </c>
      <c r="B47" s="59">
        <v>3.2414999999999998</v>
      </c>
      <c r="C47" s="60">
        <v>2689.3</v>
      </c>
      <c r="D47" s="60">
        <v>2916.2</v>
      </c>
      <c r="E47" s="210">
        <v>8.0838999999999999</v>
      </c>
      <c r="F47" s="59"/>
      <c r="G47" s="28"/>
    </row>
    <row r="48" spans="1:7" ht="18.75" customHeight="1" x14ac:dyDescent="0.25">
      <c r="A48" s="7">
        <v>230</v>
      </c>
      <c r="B48" s="59">
        <v>3.3079999999999998</v>
      </c>
      <c r="C48" s="60">
        <v>2704.3</v>
      </c>
      <c r="D48" s="60">
        <v>2935.9</v>
      </c>
      <c r="E48" s="210">
        <v>8.1234999999999999</v>
      </c>
      <c r="F48" s="59"/>
      <c r="G48" s="28"/>
    </row>
    <row r="49" spans="1:7" ht="18.75" customHeight="1" x14ac:dyDescent="0.25">
      <c r="A49" s="7">
        <v>240</v>
      </c>
      <c r="B49" s="59">
        <v>3.3744999999999998</v>
      </c>
      <c r="C49" s="60">
        <v>2719.5</v>
      </c>
      <c r="D49" s="60">
        <v>2955.7</v>
      </c>
      <c r="E49" s="210">
        <v>8.1623999999999999</v>
      </c>
      <c r="F49" s="59"/>
      <c r="G49" s="28"/>
    </row>
    <row r="50" spans="1:7" ht="18.75" customHeight="1" x14ac:dyDescent="0.25">
      <c r="A50" s="7">
        <v>250</v>
      </c>
      <c r="B50" s="59">
        <v>3.4409000000000001</v>
      </c>
      <c r="C50" s="60">
        <v>2734.6</v>
      </c>
      <c r="D50" s="60">
        <v>2975.5</v>
      </c>
      <c r="E50" s="210">
        <v>8.2005999999999997</v>
      </c>
      <c r="F50" s="59"/>
      <c r="G50" s="28"/>
    </row>
    <row r="51" spans="1:7" ht="19.2" customHeight="1" x14ac:dyDescent="0.25">
      <c r="A51" s="7">
        <v>260</v>
      </c>
      <c r="B51" s="59">
        <v>3.5072999999999999</v>
      </c>
      <c r="C51" s="60">
        <v>2749.9</v>
      </c>
      <c r="D51" s="60">
        <v>2995.4</v>
      </c>
      <c r="E51" s="210">
        <v>8.2382000000000009</v>
      </c>
      <c r="F51" s="59"/>
      <c r="G51" s="28"/>
    </row>
    <row r="52" spans="1:7" ht="18.75" customHeight="1" x14ac:dyDescent="0.25">
      <c r="A52" s="7">
        <v>270</v>
      </c>
      <c r="B52" s="59">
        <v>3.5735999999999999</v>
      </c>
      <c r="C52" s="60">
        <v>2765.1</v>
      </c>
      <c r="D52" s="60">
        <v>3015.3</v>
      </c>
      <c r="E52" s="210">
        <v>8.2751999999999999</v>
      </c>
      <c r="F52" s="59"/>
      <c r="G52" s="28"/>
    </row>
    <row r="53" spans="1:7" ht="18.75" customHeight="1" x14ac:dyDescent="0.25">
      <c r="A53" s="7">
        <v>280</v>
      </c>
      <c r="B53" s="59">
        <v>3.64</v>
      </c>
      <c r="C53" s="60">
        <v>2780.4</v>
      </c>
      <c r="D53" s="60">
        <v>3035.2</v>
      </c>
      <c r="E53" s="210">
        <v>8.3116000000000003</v>
      </c>
      <c r="F53" s="59"/>
      <c r="G53" s="28"/>
    </row>
    <row r="54" spans="1:7" ht="18.75" customHeight="1" x14ac:dyDescent="0.25">
      <c r="A54" s="7">
        <v>290</v>
      </c>
      <c r="B54" s="59">
        <v>3.7061999999999999</v>
      </c>
      <c r="C54" s="60">
        <v>2795.8</v>
      </c>
      <c r="D54" s="60">
        <v>3055.2</v>
      </c>
      <c r="E54" s="210">
        <v>8.3474000000000004</v>
      </c>
      <c r="F54" s="59"/>
      <c r="G54" s="28"/>
    </row>
    <row r="55" spans="1:7" ht="18.75" customHeight="1" x14ac:dyDescent="0.25">
      <c r="A55" s="7">
        <v>300</v>
      </c>
      <c r="B55" s="59">
        <v>3.7725</v>
      </c>
      <c r="C55" s="60">
        <v>2811.2</v>
      </c>
      <c r="D55" s="60">
        <v>3075.3</v>
      </c>
      <c r="E55" s="210">
        <v>8.3826999999999998</v>
      </c>
      <c r="F55" s="59"/>
      <c r="G55" s="28"/>
    </row>
    <row r="56" spans="1:7" ht="18.75" customHeight="1" x14ac:dyDescent="0.25">
      <c r="A56" s="7">
        <v>310</v>
      </c>
      <c r="B56" s="59">
        <v>3.8386999999999998</v>
      </c>
      <c r="C56" s="60">
        <v>2826.7</v>
      </c>
      <c r="D56" s="60">
        <v>3095.4</v>
      </c>
      <c r="E56" s="210">
        <v>8.4175000000000004</v>
      </c>
      <c r="F56" s="59"/>
      <c r="G56" s="28"/>
    </row>
    <row r="57" spans="1:7" ht="18.75" customHeight="1" x14ac:dyDescent="0.25">
      <c r="A57" s="7">
        <v>320</v>
      </c>
      <c r="B57" s="59">
        <v>3.9049999999999998</v>
      </c>
      <c r="C57" s="60">
        <v>2842.3</v>
      </c>
      <c r="D57" s="60">
        <v>3115.6</v>
      </c>
      <c r="E57" s="210">
        <v>8.4518000000000004</v>
      </c>
      <c r="F57" s="59"/>
      <c r="G57" s="28"/>
    </row>
    <row r="58" spans="1:7" ht="18.75" customHeight="1" x14ac:dyDescent="0.25">
      <c r="A58" s="7">
        <v>330</v>
      </c>
      <c r="B58" s="59">
        <v>3.9712000000000001</v>
      </c>
      <c r="C58" s="60">
        <v>2857.8</v>
      </c>
      <c r="D58" s="60">
        <v>3135.8</v>
      </c>
      <c r="E58" s="210">
        <v>8.4855999999999998</v>
      </c>
      <c r="F58" s="59"/>
      <c r="G58" s="28"/>
    </row>
    <row r="59" spans="1:7" ht="18.75" customHeight="1" x14ac:dyDescent="0.25">
      <c r="A59" s="7">
        <v>340</v>
      </c>
      <c r="B59" s="59">
        <v>4.0373000000000001</v>
      </c>
      <c r="C59" s="60">
        <v>2873.5</v>
      </c>
      <c r="D59" s="60">
        <v>3156.1</v>
      </c>
      <c r="E59" s="210">
        <v>8.5190000000000001</v>
      </c>
      <c r="F59" s="59"/>
      <c r="G59" s="28"/>
    </row>
    <row r="60" spans="1:7" ht="18.75" customHeight="1" x14ac:dyDescent="0.25">
      <c r="A60" s="7">
        <v>350</v>
      </c>
      <c r="B60" s="59">
        <v>4.1035000000000004</v>
      </c>
      <c r="C60" s="60">
        <v>2889.2</v>
      </c>
      <c r="D60" s="60">
        <v>3176.4</v>
      </c>
      <c r="E60" s="210">
        <v>8.5518999999999998</v>
      </c>
      <c r="F60" s="59"/>
      <c r="G60" s="28"/>
    </row>
    <row r="61" spans="1:7" ht="18.75" customHeight="1" x14ac:dyDescent="0.25">
      <c r="A61" s="7">
        <v>360</v>
      </c>
      <c r="B61" s="59">
        <v>4.1696999999999997</v>
      </c>
      <c r="C61" s="60">
        <v>2904.9</v>
      </c>
      <c r="D61" s="60">
        <v>3196.8</v>
      </c>
      <c r="E61" s="210">
        <v>8.5844000000000005</v>
      </c>
      <c r="F61" s="59"/>
      <c r="G61" s="28"/>
    </row>
    <row r="62" spans="1:7" ht="18.75" customHeight="1" x14ac:dyDescent="0.25">
      <c r="A62" s="7">
        <v>370</v>
      </c>
      <c r="B62" s="59">
        <v>4.2358000000000002</v>
      </c>
      <c r="C62" s="60">
        <v>2920.8</v>
      </c>
      <c r="D62" s="60">
        <v>3217.3</v>
      </c>
      <c r="E62" s="210">
        <v>8.6164000000000005</v>
      </c>
      <c r="F62" s="59"/>
      <c r="G62" s="28"/>
    </row>
    <row r="63" spans="1:7" ht="18.75" customHeight="1" x14ac:dyDescent="0.25">
      <c r="A63" s="7">
        <v>380</v>
      </c>
      <c r="B63" s="59">
        <v>4.3018999999999998</v>
      </c>
      <c r="C63" s="60">
        <v>2936.7</v>
      </c>
      <c r="D63" s="60">
        <v>3237.8</v>
      </c>
      <c r="E63" s="210">
        <v>8.6480999999999995</v>
      </c>
      <c r="F63" s="59"/>
      <c r="G63" s="28"/>
    </row>
    <row r="64" spans="1:7" ht="18.75" customHeight="1" x14ac:dyDescent="0.25">
      <c r="A64" s="7">
        <v>390</v>
      </c>
      <c r="B64" s="59">
        <v>4.3680000000000003</v>
      </c>
      <c r="C64" s="60">
        <v>2952.6</v>
      </c>
      <c r="D64" s="60">
        <v>3258.4</v>
      </c>
      <c r="E64" s="210">
        <v>8.6793999999999993</v>
      </c>
      <c r="F64" s="59"/>
      <c r="G64" s="28"/>
    </row>
    <row r="65" spans="1:7" ht="18.75" customHeight="1" x14ac:dyDescent="0.25">
      <c r="A65" s="7">
        <v>400</v>
      </c>
      <c r="B65" s="59">
        <v>4.4340999999999999</v>
      </c>
      <c r="C65" s="60">
        <v>2968.6</v>
      </c>
      <c r="D65" s="60">
        <v>3279</v>
      </c>
      <c r="E65" s="210">
        <v>8.7103000000000002</v>
      </c>
      <c r="F65" s="59"/>
      <c r="G65" s="28"/>
    </row>
    <row r="66" spans="1:7" ht="18.75" customHeight="1" x14ac:dyDescent="0.25">
      <c r="A66" s="7">
        <v>410</v>
      </c>
      <c r="B66" s="59">
        <v>4.5002000000000004</v>
      </c>
      <c r="C66" s="60">
        <v>2984.7</v>
      </c>
      <c r="D66" s="60">
        <v>3299.7</v>
      </c>
      <c r="E66" s="210">
        <v>8.7408000000000001</v>
      </c>
      <c r="F66" s="59"/>
      <c r="G66" s="28"/>
    </row>
    <row r="67" spans="1:7" ht="18.75" customHeight="1" x14ac:dyDescent="0.25">
      <c r="A67" s="7">
        <v>420</v>
      </c>
      <c r="B67" s="59">
        <v>4.5663</v>
      </c>
      <c r="C67" s="60">
        <v>3000.9</v>
      </c>
      <c r="D67" s="60">
        <v>3320.5</v>
      </c>
      <c r="E67" s="210">
        <v>8.7710000000000008</v>
      </c>
      <c r="F67" s="59"/>
      <c r="G67" s="28"/>
    </row>
    <row r="68" spans="1:7" ht="18.75" customHeight="1" x14ac:dyDescent="0.25">
      <c r="A68" s="7">
        <v>430</v>
      </c>
      <c r="B68" s="59">
        <v>4.6323999999999996</v>
      </c>
      <c r="C68" s="60">
        <v>3017</v>
      </c>
      <c r="D68" s="60">
        <v>3341.3</v>
      </c>
      <c r="E68" s="210">
        <v>8.8009000000000004</v>
      </c>
      <c r="F68" s="59"/>
      <c r="G68" s="28"/>
    </row>
    <row r="69" spans="1:7" ht="18.75" customHeight="1" x14ac:dyDescent="0.25">
      <c r="A69" s="7">
        <v>440</v>
      </c>
      <c r="B69" s="59">
        <v>4.6985000000000001</v>
      </c>
      <c r="C69" s="60">
        <v>3033.4</v>
      </c>
      <c r="D69" s="60">
        <v>3362.3</v>
      </c>
      <c r="E69" s="210">
        <v>8.8303999999999991</v>
      </c>
      <c r="F69" s="59"/>
      <c r="G69" s="28"/>
    </row>
    <row r="70" spans="1:7" ht="18.75" customHeight="1" x14ac:dyDescent="0.25">
      <c r="A70" s="7">
        <v>450</v>
      </c>
      <c r="B70" s="59">
        <v>4.7645</v>
      </c>
      <c r="C70" s="60">
        <v>3049.7</v>
      </c>
      <c r="D70" s="60">
        <v>3383.2</v>
      </c>
      <c r="E70" s="210">
        <v>8.8596000000000004</v>
      </c>
      <c r="F70" s="59"/>
      <c r="G70" s="28"/>
    </row>
    <row r="71" spans="1:7" ht="18.75" customHeight="1" x14ac:dyDescent="0.25">
      <c r="A71" s="7">
        <v>460</v>
      </c>
      <c r="B71" s="59">
        <v>4.8305999999999996</v>
      </c>
      <c r="C71" s="60">
        <v>3066.2</v>
      </c>
      <c r="D71" s="60">
        <v>3404.3</v>
      </c>
      <c r="E71" s="210">
        <v>8.8885000000000005</v>
      </c>
      <c r="F71" s="59"/>
      <c r="G71" s="28"/>
    </row>
    <row r="72" spans="1:7" ht="18.75" customHeight="1" x14ac:dyDescent="0.25">
      <c r="A72" s="7">
        <v>470</v>
      </c>
      <c r="B72" s="59">
        <v>4.8966000000000003</v>
      </c>
      <c r="C72" s="60">
        <v>3082.6</v>
      </c>
      <c r="D72" s="60">
        <v>3425.4</v>
      </c>
      <c r="E72" s="210">
        <v>8.9169999999999998</v>
      </c>
      <c r="F72" s="59"/>
      <c r="G72" s="28"/>
    </row>
    <row r="73" spans="1:7" ht="18.75" customHeight="1" x14ac:dyDescent="0.25">
      <c r="A73" s="7">
        <v>480</v>
      </c>
      <c r="B73" s="59">
        <v>4.9626999999999999</v>
      </c>
      <c r="C73" s="60">
        <v>3099.1</v>
      </c>
      <c r="D73" s="60">
        <v>3446.5</v>
      </c>
      <c r="E73" s="210">
        <v>8.9452999999999996</v>
      </c>
      <c r="F73" s="59"/>
      <c r="G73" s="28"/>
    </row>
    <row r="74" spans="1:7" ht="18.75" customHeight="1" x14ac:dyDescent="0.25">
      <c r="A74" s="7">
        <v>490</v>
      </c>
      <c r="B74" s="59">
        <v>5.0286999999999997</v>
      </c>
      <c r="C74" s="60">
        <v>3115.8</v>
      </c>
      <c r="D74" s="60">
        <v>3467.8</v>
      </c>
      <c r="E74" s="210">
        <v>8.9733000000000001</v>
      </c>
      <c r="F74" s="59"/>
      <c r="G74" s="28"/>
    </row>
    <row r="75" spans="1:7" ht="18.75" customHeight="1" x14ac:dyDescent="0.25">
      <c r="A75" s="7">
        <v>500</v>
      </c>
      <c r="B75" s="59">
        <v>5.0948000000000002</v>
      </c>
      <c r="C75" s="60">
        <v>3132.5</v>
      </c>
      <c r="D75" s="60">
        <v>3489.1</v>
      </c>
      <c r="E75" s="210">
        <v>9.0010999999999992</v>
      </c>
      <c r="F75" s="59"/>
      <c r="G75" s="28"/>
    </row>
    <row r="76" spans="1:7" ht="18.75" customHeight="1" x14ac:dyDescent="0.25">
      <c r="A76" s="7">
        <v>520</v>
      </c>
      <c r="B76" s="59">
        <v>5.2267999999999999</v>
      </c>
      <c r="C76" s="60">
        <v>3166</v>
      </c>
      <c r="D76" s="60">
        <v>3531.9</v>
      </c>
      <c r="E76" s="210">
        <v>9.0556999999999999</v>
      </c>
      <c r="F76" s="59"/>
      <c r="G76" s="28"/>
    </row>
    <row r="77" spans="1:7" ht="18.75" customHeight="1" x14ac:dyDescent="0.25">
      <c r="A77" s="7">
        <v>540</v>
      </c>
      <c r="B77" s="59">
        <v>5.3589000000000002</v>
      </c>
      <c r="C77" s="60">
        <v>3199.8</v>
      </c>
      <c r="D77" s="60">
        <v>3574.9</v>
      </c>
      <c r="E77" s="210">
        <v>9.1094000000000008</v>
      </c>
      <c r="F77" s="59"/>
      <c r="G77" s="28"/>
    </row>
    <row r="78" spans="1:7" ht="18.75" customHeight="1" x14ac:dyDescent="0.25">
      <c r="A78" s="7">
        <v>560</v>
      </c>
      <c r="B78" s="59">
        <v>5.4908999999999999</v>
      </c>
      <c r="C78" s="60">
        <v>3233.9</v>
      </c>
      <c r="D78" s="60">
        <v>3618.3</v>
      </c>
      <c r="E78" s="210">
        <v>9.1620000000000008</v>
      </c>
      <c r="F78" s="59"/>
      <c r="G78" s="28"/>
    </row>
    <row r="79" spans="1:7" ht="18.75" customHeight="1" x14ac:dyDescent="0.25">
      <c r="A79" s="7">
        <v>580</v>
      </c>
      <c r="B79" s="59">
        <v>5.6228999999999996</v>
      </c>
      <c r="C79" s="60">
        <v>3268.3</v>
      </c>
      <c r="D79" s="60">
        <v>3661.9</v>
      </c>
      <c r="E79" s="210">
        <v>9.2138000000000009</v>
      </c>
      <c r="F79" s="59"/>
      <c r="G79" s="28"/>
    </row>
    <row r="80" spans="1:7" ht="18.75" customHeight="1" x14ac:dyDescent="0.25">
      <c r="A80" s="7">
        <v>600</v>
      </c>
      <c r="B80" s="59">
        <v>5.7549000000000001</v>
      </c>
      <c r="C80" s="60">
        <v>3303</v>
      </c>
      <c r="D80" s="60">
        <v>3705.8</v>
      </c>
      <c r="E80" s="210">
        <v>9.2645999999999997</v>
      </c>
      <c r="F80" s="59"/>
      <c r="G80" s="28"/>
    </row>
    <row r="81" spans="1:7" ht="18.75" customHeight="1" x14ac:dyDescent="0.25">
      <c r="A81" s="7">
        <v>620</v>
      </c>
      <c r="B81" s="59">
        <v>5.8868999999999998</v>
      </c>
      <c r="C81" s="60">
        <v>3337.9</v>
      </c>
      <c r="D81" s="60">
        <v>3750</v>
      </c>
      <c r="E81" s="210">
        <v>9.3147000000000002</v>
      </c>
      <c r="F81" s="59"/>
      <c r="G81" s="28"/>
    </row>
    <row r="82" spans="1:7" ht="18.75" customHeight="1" x14ac:dyDescent="0.25">
      <c r="A82" s="7">
        <v>640</v>
      </c>
      <c r="B82" s="59">
        <v>6.0189000000000004</v>
      </c>
      <c r="C82" s="60">
        <v>3373.2</v>
      </c>
      <c r="D82" s="60">
        <v>3794.5</v>
      </c>
      <c r="E82" s="210">
        <v>9.3638999999999992</v>
      </c>
      <c r="F82" s="59"/>
      <c r="G82" s="28"/>
    </row>
    <row r="83" spans="1:7" ht="18.75" customHeight="1" x14ac:dyDescent="0.25">
      <c r="A83" s="7">
        <v>660</v>
      </c>
      <c r="B83" s="59">
        <v>6.1509</v>
      </c>
      <c r="C83" s="60">
        <v>3408.6</v>
      </c>
      <c r="D83" s="60">
        <v>3839.2</v>
      </c>
      <c r="E83" s="210">
        <v>9.4123999999999999</v>
      </c>
      <c r="F83" s="59"/>
      <c r="G83" s="28"/>
    </row>
    <row r="84" spans="1:7" ht="18.75" customHeight="1" x14ac:dyDescent="0.25">
      <c r="A84" s="7">
        <v>680</v>
      </c>
      <c r="B84" s="59">
        <v>6.2827999999999999</v>
      </c>
      <c r="C84" s="60">
        <v>3444.4</v>
      </c>
      <c r="D84" s="60">
        <v>3884.2</v>
      </c>
      <c r="E84" s="210">
        <v>9.4601000000000006</v>
      </c>
      <c r="F84" s="59"/>
      <c r="G84" s="28"/>
    </row>
    <row r="85" spans="1:7" ht="18.75" customHeight="1" x14ac:dyDescent="0.25">
      <c r="A85" s="7">
        <v>700</v>
      </c>
      <c r="B85" s="59">
        <v>6.4147999999999996</v>
      </c>
      <c r="C85" s="60">
        <v>3480.5</v>
      </c>
      <c r="D85" s="60">
        <v>3929.5</v>
      </c>
      <c r="E85" s="210">
        <v>9.5071999999999992</v>
      </c>
      <c r="F85" s="59"/>
      <c r="G85" s="28"/>
    </row>
    <row r="86" spans="1:7" ht="18.75" customHeight="1" x14ac:dyDescent="0.25">
      <c r="A86" s="7">
        <v>720</v>
      </c>
      <c r="B86" s="59">
        <v>6.5467000000000004</v>
      </c>
      <c r="C86" s="60">
        <v>3516.8</v>
      </c>
      <c r="D86" s="60">
        <v>3975.1</v>
      </c>
      <c r="E86" s="210">
        <v>9.5534999999999997</v>
      </c>
      <c r="F86" s="59"/>
      <c r="G86" s="28"/>
    </row>
    <row r="87" spans="1:7" ht="18.75" customHeight="1" x14ac:dyDescent="0.25">
      <c r="A87" s="7">
        <v>740</v>
      </c>
      <c r="B87" s="59">
        <v>6.6787000000000001</v>
      </c>
      <c r="C87" s="60">
        <v>3553.5</v>
      </c>
      <c r="D87" s="60">
        <v>4021</v>
      </c>
      <c r="E87" s="210">
        <v>9.5992999999999995</v>
      </c>
      <c r="F87" s="59"/>
      <c r="G87" s="28"/>
    </row>
    <row r="88" spans="1:7" ht="18.75" customHeight="1" x14ac:dyDescent="0.25">
      <c r="A88" s="7">
        <v>760</v>
      </c>
      <c r="B88" s="59">
        <v>6.8106</v>
      </c>
      <c r="C88" s="60">
        <v>3590.5</v>
      </c>
      <c r="D88" s="60">
        <v>4067.2</v>
      </c>
      <c r="E88" s="210">
        <v>9.6443999999999992</v>
      </c>
      <c r="F88" s="59"/>
      <c r="G88" s="28"/>
    </row>
    <row r="89" spans="1:7" ht="18.75" customHeight="1" x14ac:dyDescent="0.25">
      <c r="A89" s="7">
        <v>780</v>
      </c>
      <c r="B89" s="59">
        <v>6.9425999999999997</v>
      </c>
      <c r="C89" s="60">
        <v>3627.6</v>
      </c>
      <c r="D89" s="60">
        <v>4113.6000000000004</v>
      </c>
      <c r="E89" s="210">
        <v>9.6889000000000003</v>
      </c>
      <c r="F89" s="59"/>
      <c r="G89" s="28"/>
    </row>
    <row r="90" spans="1:7" ht="18.75" customHeight="1" x14ac:dyDescent="0.25">
      <c r="A90" s="7">
        <v>800</v>
      </c>
      <c r="B90" s="59">
        <v>7.0744999999999996</v>
      </c>
      <c r="C90" s="60">
        <v>3665.1</v>
      </c>
      <c r="D90" s="60">
        <v>4160.3</v>
      </c>
      <c r="E90" s="210">
        <v>9.7329000000000008</v>
      </c>
      <c r="F90" s="59"/>
      <c r="G90" s="28"/>
    </row>
    <row r="91" spans="1:7" ht="18.75" customHeight="1" x14ac:dyDescent="0.25">
      <c r="A91" s="7">
        <v>820</v>
      </c>
      <c r="B91" s="59">
        <v>7.2064000000000004</v>
      </c>
      <c r="C91" s="60">
        <v>3702.9</v>
      </c>
      <c r="D91" s="60">
        <v>4207.3</v>
      </c>
      <c r="E91" s="210">
        <v>9.7763000000000009</v>
      </c>
      <c r="F91" s="59"/>
      <c r="G91" s="28"/>
    </row>
    <row r="92" spans="1:7" ht="18.75" customHeight="1" x14ac:dyDescent="0.25">
      <c r="A92" s="7">
        <v>840</v>
      </c>
      <c r="B92" s="59">
        <v>7.3384</v>
      </c>
      <c r="C92" s="60">
        <v>3740.9</v>
      </c>
      <c r="D92" s="60">
        <v>4254.6000000000004</v>
      </c>
      <c r="E92" s="210">
        <v>9.8191000000000006</v>
      </c>
      <c r="F92" s="59"/>
      <c r="G92" s="28"/>
    </row>
    <row r="93" spans="1:7" ht="18.75" customHeight="1" x14ac:dyDescent="0.25">
      <c r="A93" s="7">
        <v>860</v>
      </c>
      <c r="B93" s="59">
        <v>7.4702999999999999</v>
      </c>
      <c r="C93" s="60">
        <v>3779.3</v>
      </c>
      <c r="D93" s="60">
        <v>4302.2</v>
      </c>
      <c r="E93" s="210">
        <v>9.8614999999999995</v>
      </c>
      <c r="F93" s="59"/>
      <c r="G93" s="28"/>
    </row>
    <row r="94" spans="1:7" ht="18.75" customHeight="1" x14ac:dyDescent="0.25">
      <c r="A94" s="7">
        <v>880</v>
      </c>
      <c r="B94" s="59">
        <v>7.6021999999999998</v>
      </c>
      <c r="C94" s="60">
        <v>3817.8</v>
      </c>
      <c r="D94" s="60">
        <v>4350</v>
      </c>
      <c r="E94" s="210">
        <v>9.9032999999999998</v>
      </c>
      <c r="F94" s="59"/>
      <c r="G94" s="28"/>
    </row>
    <row r="95" spans="1:7" ht="18.75" customHeight="1" x14ac:dyDescent="0.25">
      <c r="A95" s="7">
        <v>900</v>
      </c>
      <c r="B95" s="59">
        <v>7.7340999999999998</v>
      </c>
      <c r="C95" s="60">
        <v>3856.7</v>
      </c>
      <c r="D95" s="60">
        <v>4398.1000000000004</v>
      </c>
      <c r="E95" s="210">
        <v>9.9446999999999992</v>
      </c>
      <c r="F95" s="59"/>
      <c r="G95" s="28"/>
    </row>
    <row r="96" spans="1:7" ht="18.75" customHeight="1" x14ac:dyDescent="0.25">
      <c r="A96" s="7">
        <v>920</v>
      </c>
      <c r="B96" s="59">
        <v>7.8659999999999997</v>
      </c>
      <c r="C96" s="60">
        <v>3895.9</v>
      </c>
      <c r="D96" s="60">
        <v>4446.5</v>
      </c>
      <c r="E96" s="210">
        <v>9.9855</v>
      </c>
      <c r="F96" s="59"/>
      <c r="G96" s="28"/>
    </row>
    <row r="97" spans="1:7" ht="18.75" customHeight="1" x14ac:dyDescent="0.25">
      <c r="A97" s="7">
        <v>940</v>
      </c>
      <c r="B97" s="59">
        <v>7.9978999999999996</v>
      </c>
      <c r="C97" s="60">
        <v>3935.2</v>
      </c>
      <c r="D97" s="60">
        <v>4495.1000000000004</v>
      </c>
      <c r="E97" s="211">
        <v>10.026</v>
      </c>
      <c r="F97" s="46"/>
      <c r="G97" s="28"/>
    </row>
    <row r="98" spans="1:7" ht="18.75" customHeight="1" x14ac:dyDescent="0.25">
      <c r="A98" s="7">
        <v>960</v>
      </c>
      <c r="B98" s="59">
        <v>8.1297999999999995</v>
      </c>
      <c r="C98" s="60">
        <v>3974.9</v>
      </c>
      <c r="D98" s="60">
        <v>4544</v>
      </c>
      <c r="E98" s="211">
        <v>10.066000000000001</v>
      </c>
      <c r="F98" s="46"/>
      <c r="G98" s="28"/>
    </row>
    <row r="99" spans="1:7" ht="18.75" customHeight="1" x14ac:dyDescent="0.25">
      <c r="A99" s="7">
        <v>980</v>
      </c>
      <c r="B99" s="59">
        <v>8.2616999999999994</v>
      </c>
      <c r="C99" s="60">
        <v>4014.9</v>
      </c>
      <c r="D99" s="60">
        <v>4593.2</v>
      </c>
      <c r="E99" s="211">
        <v>10.106</v>
      </c>
      <c r="F99" s="46"/>
      <c r="G99" s="28"/>
    </row>
    <row r="100" spans="1:7" ht="13.8" x14ac:dyDescent="0.25">
      <c r="A100" s="7">
        <v>1000</v>
      </c>
      <c r="B100" s="59">
        <v>8.3937000000000008</v>
      </c>
      <c r="C100" s="60">
        <v>4055</v>
      </c>
      <c r="D100" s="60">
        <v>4642.6000000000004</v>
      </c>
      <c r="E100" s="211">
        <v>10.145</v>
      </c>
      <c r="F100" s="46"/>
    </row>
  </sheetData>
  <mergeCells count="1">
    <mergeCell ref="A1:H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100"/>
  <sheetViews>
    <sheetView topLeftCell="A11" workbookViewId="0">
      <selection activeCell="A24" sqref="A24:XFD24"/>
    </sheetView>
  </sheetViews>
  <sheetFormatPr defaultRowHeight="13.2" x14ac:dyDescent="0.25"/>
  <cols>
    <col min="1" max="1" width="9.5546875" customWidth="1"/>
    <col min="2" max="2" width="9.332031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93" t="s">
        <v>39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80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</row>
    <row r="5" spans="1:8" ht="18.75" customHeight="1" x14ac:dyDescent="0.25">
      <c r="A5" s="38">
        <v>0</v>
      </c>
      <c r="B5" s="79">
        <v>1.0001700000000001E-3</v>
      </c>
      <c r="C5" s="80">
        <v>-0.04</v>
      </c>
      <c r="D5" s="80">
        <v>0.04</v>
      </c>
      <c r="E5" s="209">
        <v>-1.4999999999999999E-4</v>
      </c>
      <c r="F5" s="81"/>
      <c r="G5" s="28"/>
    </row>
    <row r="6" spans="1:8" ht="18.75" customHeight="1" x14ac:dyDescent="0.25">
      <c r="A6" s="7">
        <v>5</v>
      </c>
      <c r="B6" s="79">
        <v>1.00004E-3</v>
      </c>
      <c r="C6" s="80">
        <v>21.02</v>
      </c>
      <c r="D6" s="80">
        <v>21.1</v>
      </c>
      <c r="E6" s="209">
        <v>7.6249999999999998E-2</v>
      </c>
      <c r="F6" s="81"/>
      <c r="G6" s="28"/>
    </row>
    <row r="7" spans="1:8" ht="18.75" customHeight="1" x14ac:dyDescent="0.25">
      <c r="A7" s="7">
        <v>10</v>
      </c>
      <c r="B7" s="79">
        <v>1.0003099999999999E-3</v>
      </c>
      <c r="C7" s="80">
        <v>42.02</v>
      </c>
      <c r="D7" s="80">
        <v>42.1</v>
      </c>
      <c r="E7" s="209">
        <v>0.15107999999999999</v>
      </c>
      <c r="F7" s="81"/>
      <c r="G7" s="28"/>
    </row>
    <row r="8" spans="1:8" ht="18.75" customHeight="1" x14ac:dyDescent="0.25">
      <c r="A8" s="7">
        <v>15</v>
      </c>
      <c r="B8" s="79">
        <v>1.00091E-3</v>
      </c>
      <c r="C8" s="80">
        <v>62.98</v>
      </c>
      <c r="D8" s="80">
        <v>63.06</v>
      </c>
      <c r="E8" s="209">
        <v>0.22445000000000001</v>
      </c>
      <c r="F8" s="81"/>
      <c r="G8" s="28"/>
    </row>
    <row r="9" spans="1:8" ht="18.75" customHeight="1" x14ac:dyDescent="0.25">
      <c r="A9" s="7">
        <v>20</v>
      </c>
      <c r="B9" s="79">
        <v>1.0018099999999999E-3</v>
      </c>
      <c r="C9" s="80">
        <v>83.91</v>
      </c>
      <c r="D9" s="80">
        <v>83.99</v>
      </c>
      <c r="E9" s="209">
        <v>0.29647000000000001</v>
      </c>
      <c r="F9" s="81"/>
      <c r="G9" s="28"/>
    </row>
    <row r="10" spans="1:8" ht="18.75" customHeight="1" x14ac:dyDescent="0.25">
      <c r="A10" s="7">
        <v>25</v>
      </c>
      <c r="B10" s="79">
        <v>1.0029699999999999E-3</v>
      </c>
      <c r="C10" s="80">
        <v>104.82</v>
      </c>
      <c r="D10" s="80">
        <v>104.9</v>
      </c>
      <c r="E10" s="209">
        <v>0.36720999999999998</v>
      </c>
      <c r="F10" s="81"/>
      <c r="G10" s="28"/>
    </row>
    <row r="11" spans="1:8" ht="18.75" customHeight="1" x14ac:dyDescent="0.25">
      <c r="A11" s="7">
        <v>30</v>
      </c>
      <c r="B11" s="79">
        <v>1.00438E-3</v>
      </c>
      <c r="C11" s="80">
        <v>125.72</v>
      </c>
      <c r="D11" s="80">
        <v>125.8</v>
      </c>
      <c r="E11" s="209">
        <v>0.43673000000000001</v>
      </c>
      <c r="F11" s="81"/>
      <c r="G11" s="28"/>
    </row>
    <row r="12" spans="1:8" ht="18.75" customHeight="1" x14ac:dyDescent="0.25">
      <c r="A12" s="7">
        <v>35</v>
      </c>
      <c r="B12" s="79">
        <v>1.0060100000000001E-3</v>
      </c>
      <c r="C12" s="80">
        <v>146.62</v>
      </c>
      <c r="D12" s="80">
        <v>146.69999999999999</v>
      </c>
      <c r="E12" s="209">
        <v>0.50509999999999999</v>
      </c>
      <c r="F12" s="81"/>
      <c r="G12" s="28"/>
    </row>
    <row r="13" spans="1:8" ht="18.75" customHeight="1" x14ac:dyDescent="0.25">
      <c r="A13" s="7">
        <v>40</v>
      </c>
      <c r="B13" s="79">
        <v>1.00785E-3</v>
      </c>
      <c r="C13" s="80">
        <v>167.52</v>
      </c>
      <c r="D13" s="80">
        <v>167.6</v>
      </c>
      <c r="E13" s="209">
        <v>0.57237000000000005</v>
      </c>
      <c r="F13" s="81"/>
      <c r="G13" s="28"/>
    </row>
    <row r="14" spans="1:8" ht="18.75" customHeight="1" x14ac:dyDescent="0.25">
      <c r="A14" s="7">
        <v>45</v>
      </c>
      <c r="B14" s="79">
        <v>1.00989E-3</v>
      </c>
      <c r="C14" s="80">
        <v>188.42</v>
      </c>
      <c r="D14" s="80">
        <v>188.5</v>
      </c>
      <c r="E14" s="209">
        <v>0.63858000000000004</v>
      </c>
      <c r="F14" s="81"/>
      <c r="G14" s="28"/>
    </row>
    <row r="15" spans="1:8" ht="18.75" customHeight="1" x14ac:dyDescent="0.25">
      <c r="A15" s="7">
        <v>50</v>
      </c>
      <c r="B15" s="79">
        <v>1.01212E-3</v>
      </c>
      <c r="C15" s="80">
        <v>209.32</v>
      </c>
      <c r="D15" s="80">
        <v>209.4</v>
      </c>
      <c r="E15" s="209">
        <v>0.70377999999999996</v>
      </c>
      <c r="F15" s="81"/>
      <c r="G15" s="28"/>
    </row>
    <row r="16" spans="1:8" ht="18.75" customHeight="1" x14ac:dyDescent="0.25">
      <c r="A16" s="7">
        <v>55</v>
      </c>
      <c r="B16" s="79">
        <v>1.0145200000000001E-3</v>
      </c>
      <c r="C16" s="80">
        <v>230.23</v>
      </c>
      <c r="D16" s="80">
        <v>230.31</v>
      </c>
      <c r="E16" s="209">
        <v>0.76798999999999995</v>
      </c>
      <c r="F16" s="81"/>
      <c r="G16" s="28"/>
    </row>
    <row r="17" spans="1:7" ht="18.75" customHeight="1" x14ac:dyDescent="0.25">
      <c r="A17" s="7">
        <v>60</v>
      </c>
      <c r="B17" s="79">
        <v>1.0170999999999999E-3</v>
      </c>
      <c r="C17" s="80">
        <v>251.15</v>
      </c>
      <c r="D17" s="80">
        <v>251.23</v>
      </c>
      <c r="E17" s="209">
        <v>0.83126</v>
      </c>
      <c r="F17" s="81"/>
      <c r="G17" s="28"/>
    </row>
    <row r="18" spans="1:7" ht="18.75" customHeight="1" x14ac:dyDescent="0.25">
      <c r="A18" s="7">
        <v>65</v>
      </c>
      <c r="B18" s="79">
        <v>1.0198399999999999E-3</v>
      </c>
      <c r="C18" s="80">
        <v>272.08</v>
      </c>
      <c r="D18" s="80">
        <v>272.16000000000003</v>
      </c>
      <c r="E18" s="209">
        <v>0.89361999999999997</v>
      </c>
      <c r="F18" s="81"/>
      <c r="G18" s="28"/>
    </row>
    <row r="19" spans="1:7" ht="18.75" customHeight="1" x14ac:dyDescent="0.25">
      <c r="A19" s="7">
        <v>70</v>
      </c>
      <c r="B19" s="79">
        <v>1.02275E-3</v>
      </c>
      <c r="C19" s="80">
        <v>293.02999999999997</v>
      </c>
      <c r="D19" s="80">
        <v>293.11</v>
      </c>
      <c r="E19" s="209">
        <v>0.95509999999999995</v>
      </c>
      <c r="F19" s="81"/>
      <c r="G19" s="28"/>
    </row>
    <row r="20" spans="1:7" ht="18.75" customHeight="1" x14ac:dyDescent="0.25">
      <c r="A20" s="7">
        <v>75</v>
      </c>
      <c r="B20" s="79">
        <v>1.02582E-3</v>
      </c>
      <c r="C20" s="80">
        <v>313.98</v>
      </c>
      <c r="D20" s="80">
        <v>314.06</v>
      </c>
      <c r="E20" s="210">
        <v>1.0157</v>
      </c>
      <c r="F20" s="82"/>
      <c r="G20" s="28"/>
    </row>
    <row r="21" spans="1:7" ht="18.75" customHeight="1" x14ac:dyDescent="0.25">
      <c r="A21" s="7">
        <v>80</v>
      </c>
      <c r="B21" s="79">
        <v>1.0290399999999999E-3</v>
      </c>
      <c r="C21" s="80">
        <v>334.96</v>
      </c>
      <c r="D21" s="80">
        <v>335.04</v>
      </c>
      <c r="E21" s="210">
        <v>1.0755999999999999</v>
      </c>
      <c r="F21" s="82"/>
      <c r="G21" s="28"/>
    </row>
    <row r="22" spans="1:7" ht="18.75" customHeight="1" x14ac:dyDescent="0.25">
      <c r="A22" s="7">
        <v>85</v>
      </c>
      <c r="B22" s="79">
        <v>1.03242E-3</v>
      </c>
      <c r="C22" s="80">
        <v>355.95</v>
      </c>
      <c r="D22" s="80">
        <v>356.03</v>
      </c>
      <c r="E22" s="210">
        <v>1.1346000000000001</v>
      </c>
      <c r="F22" s="82"/>
      <c r="G22" s="28"/>
    </row>
    <row r="23" spans="1:7" ht="18.75" customHeight="1" x14ac:dyDescent="0.25">
      <c r="A23" s="7">
        <v>90</v>
      </c>
      <c r="B23" s="79">
        <v>1.0359499999999999E-3</v>
      </c>
      <c r="C23" s="80">
        <v>376.97</v>
      </c>
      <c r="D23" s="80">
        <v>377.05</v>
      </c>
      <c r="E23" s="210">
        <v>1.1929000000000001</v>
      </c>
      <c r="F23" s="82"/>
      <c r="G23" s="28"/>
    </row>
    <row r="24" spans="1:7" ht="18.75" customHeight="1" x14ac:dyDescent="0.25">
      <c r="A24" s="7">
        <v>95</v>
      </c>
      <c r="B24" s="82">
        <v>2.0962999999999998</v>
      </c>
      <c r="C24" s="83">
        <v>2500.6</v>
      </c>
      <c r="D24" s="83">
        <v>2668.3</v>
      </c>
      <c r="E24" s="210">
        <v>7.4424000000000001</v>
      </c>
      <c r="F24" s="82"/>
      <c r="G24" s="28"/>
    </row>
    <row r="25" spans="1:7" ht="18.75" customHeight="1" x14ac:dyDescent="0.25">
      <c r="A25" s="7">
        <v>100</v>
      </c>
      <c r="B25" s="82">
        <v>2.1267</v>
      </c>
      <c r="C25" s="83">
        <v>2508.4</v>
      </c>
      <c r="D25" s="83">
        <v>2678.5</v>
      </c>
      <c r="E25" s="210">
        <v>7.4699</v>
      </c>
      <c r="F25" s="82"/>
      <c r="G25" s="28"/>
    </row>
    <row r="26" spans="1:7" ht="18.75" customHeight="1" x14ac:dyDescent="0.25">
      <c r="A26" s="7">
        <v>105</v>
      </c>
      <c r="B26" s="82">
        <v>2.1568999999999998</v>
      </c>
      <c r="C26" s="83">
        <v>2516</v>
      </c>
      <c r="D26" s="83">
        <v>2688.6</v>
      </c>
      <c r="E26" s="210">
        <v>7.4969000000000001</v>
      </c>
      <c r="F26" s="82"/>
      <c r="G26" s="28"/>
    </row>
    <row r="27" spans="1:7" ht="18.75" customHeight="1" x14ac:dyDescent="0.25">
      <c r="A27" s="7">
        <v>110</v>
      </c>
      <c r="B27" s="82">
        <v>2.1869999999999998</v>
      </c>
      <c r="C27" s="83">
        <v>2523.6999999999998</v>
      </c>
      <c r="D27" s="83">
        <v>2698.7</v>
      </c>
      <c r="E27" s="210">
        <v>7.5232999999999999</v>
      </c>
      <c r="F27" s="82"/>
      <c r="G27" s="28"/>
    </row>
    <row r="28" spans="1:7" ht="18.75" customHeight="1" x14ac:dyDescent="0.25">
      <c r="A28" s="7">
        <v>115</v>
      </c>
      <c r="B28" s="82">
        <v>2.2170000000000001</v>
      </c>
      <c r="C28" s="83">
        <v>2531.3000000000002</v>
      </c>
      <c r="D28" s="83">
        <v>2708.7</v>
      </c>
      <c r="E28" s="210">
        <v>7.5492999999999997</v>
      </c>
      <c r="F28" s="82"/>
      <c r="G28" s="28"/>
    </row>
    <row r="29" spans="1:7" ht="18.75" customHeight="1" x14ac:dyDescent="0.25">
      <c r="A29" s="7">
        <v>120</v>
      </c>
      <c r="B29" s="82">
        <v>2.2469000000000001</v>
      </c>
      <c r="C29" s="83">
        <v>2538.9</v>
      </c>
      <c r="D29" s="83">
        <v>2718.7</v>
      </c>
      <c r="E29" s="210">
        <v>7.5749000000000004</v>
      </c>
      <c r="F29" s="82"/>
      <c r="G29" s="28"/>
    </row>
    <row r="30" spans="1:7" ht="18.75" customHeight="1" x14ac:dyDescent="0.25">
      <c r="A30" s="7">
        <v>125</v>
      </c>
      <c r="B30" s="82">
        <v>2.2768000000000002</v>
      </c>
      <c r="C30" s="83">
        <v>2546.5</v>
      </c>
      <c r="D30" s="83">
        <v>2728.6</v>
      </c>
      <c r="E30" s="210">
        <v>7.6</v>
      </c>
      <c r="F30" s="82"/>
      <c r="G30" s="28"/>
    </row>
    <row r="31" spans="1:7" ht="18.75" customHeight="1" x14ac:dyDescent="0.25">
      <c r="A31" s="7">
        <v>130</v>
      </c>
      <c r="B31" s="82">
        <v>2.3065000000000002</v>
      </c>
      <c r="C31" s="83">
        <v>2554.1</v>
      </c>
      <c r="D31" s="83">
        <v>2738.6</v>
      </c>
      <c r="E31" s="210">
        <v>7.6247999999999996</v>
      </c>
      <c r="F31" s="82"/>
      <c r="G31" s="28"/>
    </row>
    <row r="32" spans="1:7" ht="18.75" customHeight="1" x14ac:dyDescent="0.25">
      <c r="A32" s="7">
        <v>135</v>
      </c>
      <c r="B32" s="82">
        <v>2.3361999999999998</v>
      </c>
      <c r="C32" s="83">
        <v>2561.6</v>
      </c>
      <c r="D32" s="83">
        <v>2748.5</v>
      </c>
      <c r="E32" s="210">
        <v>7.6492000000000004</v>
      </c>
      <c r="F32" s="82"/>
      <c r="G32" s="28"/>
    </row>
    <row r="33" spans="1:7" ht="18.75" customHeight="1" x14ac:dyDescent="0.25">
      <c r="A33" s="7">
        <v>140</v>
      </c>
      <c r="B33" s="82">
        <v>2.3658000000000001</v>
      </c>
      <c r="C33" s="83">
        <v>2569</v>
      </c>
      <c r="D33" s="83">
        <v>2758.3</v>
      </c>
      <c r="E33" s="210">
        <v>7.6733000000000002</v>
      </c>
      <c r="F33" s="82"/>
      <c r="G33" s="28"/>
    </row>
    <row r="34" spans="1:7" ht="18.75" customHeight="1" x14ac:dyDescent="0.25">
      <c r="A34" s="7">
        <v>145</v>
      </c>
      <c r="B34" s="82">
        <v>2.3954</v>
      </c>
      <c r="C34" s="83">
        <v>2576.6</v>
      </c>
      <c r="D34" s="83">
        <v>2768.2</v>
      </c>
      <c r="E34" s="210">
        <v>7.6970000000000001</v>
      </c>
      <c r="F34" s="82"/>
      <c r="G34" s="28"/>
    </row>
    <row r="35" spans="1:7" ht="18.75" customHeight="1" x14ac:dyDescent="0.25">
      <c r="A35" s="7">
        <v>150</v>
      </c>
      <c r="B35" s="82">
        <v>2.4249000000000001</v>
      </c>
      <c r="C35" s="83">
        <v>2584.1</v>
      </c>
      <c r="D35" s="83">
        <v>2778.1</v>
      </c>
      <c r="E35" s="210">
        <v>7.7203999999999997</v>
      </c>
      <c r="F35" s="82"/>
      <c r="G35" s="28"/>
    </row>
    <row r="36" spans="1:7" ht="18.75" customHeight="1" x14ac:dyDescent="0.25">
      <c r="A36" s="7">
        <v>155</v>
      </c>
      <c r="B36" s="82">
        <v>2.4544000000000001</v>
      </c>
      <c r="C36" s="83">
        <v>2591.5</v>
      </c>
      <c r="D36" s="83">
        <v>2787.9</v>
      </c>
      <c r="E36" s="210">
        <v>7.7435</v>
      </c>
      <c r="F36" s="82"/>
      <c r="G36" s="28"/>
    </row>
    <row r="37" spans="1:7" ht="18.75" customHeight="1" x14ac:dyDescent="0.25">
      <c r="A37" s="7">
        <v>160</v>
      </c>
      <c r="B37" s="82">
        <v>2.4839000000000002</v>
      </c>
      <c r="C37" s="83">
        <v>2599</v>
      </c>
      <c r="D37" s="83">
        <v>2797.7</v>
      </c>
      <c r="E37" s="210">
        <v>7.7664</v>
      </c>
      <c r="F37" s="82"/>
      <c r="G37" s="28"/>
    </row>
    <row r="38" spans="1:7" ht="18.75" customHeight="1" x14ac:dyDescent="0.25">
      <c r="A38" s="7">
        <v>165</v>
      </c>
      <c r="B38" s="82">
        <v>2.5133000000000001</v>
      </c>
      <c r="C38" s="83">
        <v>2606.5</v>
      </c>
      <c r="D38" s="83">
        <v>2807.6</v>
      </c>
      <c r="E38" s="210">
        <v>7.7888999999999999</v>
      </c>
      <c r="F38" s="82"/>
      <c r="G38" s="28"/>
    </row>
    <row r="39" spans="1:7" ht="18.75" customHeight="1" x14ac:dyDescent="0.25">
      <c r="A39" s="7">
        <v>170</v>
      </c>
      <c r="B39" s="82">
        <v>2.5427</v>
      </c>
      <c r="C39" s="83">
        <v>2614</v>
      </c>
      <c r="D39" s="83">
        <v>2817.4</v>
      </c>
      <c r="E39" s="210">
        <v>7.8113000000000001</v>
      </c>
      <c r="F39" s="82"/>
      <c r="G39" s="28"/>
    </row>
    <row r="40" spans="1:7" ht="18.75" customHeight="1" x14ac:dyDescent="0.25">
      <c r="A40" s="7">
        <v>175</v>
      </c>
      <c r="B40" s="82">
        <v>2.5720000000000001</v>
      </c>
      <c r="C40" s="83">
        <v>2621.4</v>
      </c>
      <c r="D40" s="83">
        <v>2827.2</v>
      </c>
      <c r="E40" s="210">
        <v>7.8333000000000004</v>
      </c>
      <c r="F40" s="82"/>
      <c r="G40" s="28"/>
    </row>
    <row r="41" spans="1:7" ht="18.75" customHeight="1" x14ac:dyDescent="0.25">
      <c r="A41" s="7">
        <v>180</v>
      </c>
      <c r="B41" s="82">
        <v>2.6013000000000002</v>
      </c>
      <c r="C41" s="83">
        <v>2629</v>
      </c>
      <c r="D41" s="83">
        <v>2837.1</v>
      </c>
      <c r="E41" s="210">
        <v>7.8551000000000002</v>
      </c>
      <c r="F41" s="82"/>
      <c r="G41" s="28"/>
    </row>
    <row r="42" spans="1:7" ht="18.75" customHeight="1" x14ac:dyDescent="0.25">
      <c r="A42" s="7">
        <v>185</v>
      </c>
      <c r="B42" s="82">
        <v>2.6305999999999998</v>
      </c>
      <c r="C42" s="83">
        <v>2636.5</v>
      </c>
      <c r="D42" s="83">
        <v>2846.9</v>
      </c>
      <c r="E42" s="210">
        <v>7.8766999999999996</v>
      </c>
      <c r="F42" s="82"/>
      <c r="G42" s="28"/>
    </row>
    <row r="43" spans="1:7" ht="18.75" customHeight="1" x14ac:dyDescent="0.25">
      <c r="A43" s="7">
        <v>190</v>
      </c>
      <c r="B43" s="82">
        <v>2.6598999999999999</v>
      </c>
      <c r="C43" s="83">
        <v>2643.9</v>
      </c>
      <c r="D43" s="83">
        <v>2856.7</v>
      </c>
      <c r="E43" s="210">
        <v>7.8979999999999997</v>
      </c>
      <c r="F43" s="82"/>
      <c r="G43" s="28"/>
    </row>
    <row r="44" spans="1:7" ht="18.75" customHeight="1" x14ac:dyDescent="0.25">
      <c r="A44" s="7">
        <v>195</v>
      </c>
      <c r="B44" s="82">
        <v>2.6890999999999998</v>
      </c>
      <c r="C44" s="83">
        <v>2651.4</v>
      </c>
      <c r="D44" s="83">
        <v>2866.5</v>
      </c>
      <c r="E44" s="210">
        <v>7.9191000000000003</v>
      </c>
      <c r="F44" s="82"/>
      <c r="G44" s="28"/>
    </row>
    <row r="45" spans="1:7" ht="18.75" customHeight="1" x14ac:dyDescent="0.25">
      <c r="A45" s="7">
        <v>200</v>
      </c>
      <c r="B45" s="82">
        <v>2.7183999999999999</v>
      </c>
      <c r="C45" s="83">
        <v>2658.9</v>
      </c>
      <c r="D45" s="83">
        <v>2876.4</v>
      </c>
      <c r="E45" s="210">
        <v>7.94</v>
      </c>
      <c r="F45" s="82"/>
      <c r="G45" s="28"/>
    </row>
    <row r="46" spans="1:7" ht="18.75" customHeight="1" x14ac:dyDescent="0.25">
      <c r="A46" s="7">
        <v>210</v>
      </c>
      <c r="B46" s="82">
        <v>2.7768000000000002</v>
      </c>
      <c r="C46" s="83">
        <v>2674</v>
      </c>
      <c r="D46" s="83">
        <v>2896.1</v>
      </c>
      <c r="E46" s="210">
        <v>7.9812000000000003</v>
      </c>
      <c r="F46" s="82"/>
      <c r="G46" s="28"/>
    </row>
    <row r="47" spans="1:7" ht="18.75" customHeight="1" x14ac:dyDescent="0.25">
      <c r="A47" s="7">
        <v>220</v>
      </c>
      <c r="B47" s="82">
        <v>2.8351000000000002</v>
      </c>
      <c r="C47" s="83">
        <v>2689</v>
      </c>
      <c r="D47" s="83">
        <v>2915.8</v>
      </c>
      <c r="E47" s="210">
        <v>8.0215999999999994</v>
      </c>
      <c r="F47" s="82"/>
      <c r="G47" s="28"/>
    </row>
    <row r="48" spans="1:7" ht="18.75" customHeight="1" x14ac:dyDescent="0.25">
      <c r="A48" s="7">
        <v>230</v>
      </c>
      <c r="B48" s="82">
        <v>2.8934000000000002</v>
      </c>
      <c r="C48" s="83">
        <v>2704</v>
      </c>
      <c r="D48" s="83">
        <v>2935.5</v>
      </c>
      <c r="E48" s="210">
        <v>8.0612999999999992</v>
      </c>
      <c r="F48" s="82"/>
      <c r="G48" s="28"/>
    </row>
    <row r="49" spans="1:7" ht="18.75" customHeight="1" x14ac:dyDescent="0.25">
      <c r="A49" s="7">
        <v>240</v>
      </c>
      <c r="B49" s="82">
        <v>2.9516</v>
      </c>
      <c r="C49" s="83">
        <v>2719.2</v>
      </c>
      <c r="D49" s="83">
        <v>2955.3</v>
      </c>
      <c r="E49" s="210">
        <v>8.1001999999999992</v>
      </c>
      <c r="F49" s="82"/>
      <c r="G49" s="28"/>
    </row>
    <row r="50" spans="1:7" ht="18.75" customHeight="1" x14ac:dyDescent="0.25">
      <c r="A50" s="7">
        <v>250</v>
      </c>
      <c r="B50" s="82">
        <v>3.0097999999999998</v>
      </c>
      <c r="C50" s="83">
        <v>2734.4</v>
      </c>
      <c r="D50" s="83">
        <v>2975.2</v>
      </c>
      <c r="E50" s="210">
        <v>8.1385000000000005</v>
      </c>
      <c r="F50" s="82"/>
      <c r="G50" s="28"/>
    </row>
    <row r="51" spans="1:7" ht="18.75" customHeight="1" x14ac:dyDescent="0.25">
      <c r="A51" s="7">
        <v>260</v>
      </c>
      <c r="B51" s="82">
        <v>3.0678999999999998</v>
      </c>
      <c r="C51" s="83">
        <v>2749.6</v>
      </c>
      <c r="D51" s="83">
        <v>2995</v>
      </c>
      <c r="E51" s="210">
        <v>8.1760999999999999</v>
      </c>
      <c r="F51" s="82"/>
      <c r="G51" s="28"/>
    </row>
    <row r="52" spans="1:7" ht="18.75" customHeight="1" x14ac:dyDescent="0.25">
      <c r="A52" s="7">
        <v>270</v>
      </c>
      <c r="B52" s="82">
        <v>3.1259999999999999</v>
      </c>
      <c r="C52" s="83">
        <v>2764.9</v>
      </c>
      <c r="D52" s="83">
        <v>3015</v>
      </c>
      <c r="E52" s="210">
        <v>8.2131000000000007</v>
      </c>
      <c r="F52" s="82"/>
      <c r="G52" s="28"/>
    </row>
    <row r="53" spans="1:7" ht="18.75" customHeight="1" x14ac:dyDescent="0.25">
      <c r="A53" s="7">
        <v>280</v>
      </c>
      <c r="B53" s="82">
        <v>3.1840999999999999</v>
      </c>
      <c r="C53" s="83">
        <v>2780.2</v>
      </c>
      <c r="D53" s="83">
        <v>3034.9</v>
      </c>
      <c r="E53" s="210">
        <v>8.2495999999999992</v>
      </c>
      <c r="F53" s="82"/>
      <c r="G53" s="28"/>
    </row>
    <row r="54" spans="1:7" ht="18.75" customHeight="1" x14ac:dyDescent="0.25">
      <c r="A54" s="7">
        <v>290</v>
      </c>
      <c r="B54" s="82">
        <v>3.2421000000000002</v>
      </c>
      <c r="C54" s="83">
        <v>2795.6</v>
      </c>
      <c r="D54" s="83">
        <v>3055</v>
      </c>
      <c r="E54" s="210">
        <v>8.2853999999999992</v>
      </c>
      <c r="F54" s="82"/>
      <c r="G54" s="28"/>
    </row>
    <row r="55" spans="1:7" ht="18.75" customHeight="1" x14ac:dyDescent="0.25">
      <c r="A55" s="7">
        <v>300</v>
      </c>
      <c r="B55" s="82">
        <v>3.3001</v>
      </c>
      <c r="C55" s="83">
        <v>2811</v>
      </c>
      <c r="D55" s="83">
        <v>3075</v>
      </c>
      <c r="E55" s="210">
        <v>8.3208000000000002</v>
      </c>
      <c r="F55" s="82"/>
      <c r="G55" s="28"/>
    </row>
    <row r="56" spans="1:7" ht="18.75" customHeight="1" x14ac:dyDescent="0.25">
      <c r="A56" s="7">
        <v>310</v>
      </c>
      <c r="B56" s="82">
        <v>3.3580999999999999</v>
      </c>
      <c r="C56" s="83">
        <v>2826.5</v>
      </c>
      <c r="D56" s="83">
        <v>3095.1</v>
      </c>
      <c r="E56" s="210">
        <v>8.3556000000000008</v>
      </c>
      <c r="F56" s="82"/>
      <c r="G56" s="28"/>
    </row>
    <row r="57" spans="1:7" ht="18.75" customHeight="1" x14ac:dyDescent="0.25">
      <c r="A57" s="7">
        <v>320</v>
      </c>
      <c r="B57" s="82">
        <v>3.4161000000000001</v>
      </c>
      <c r="C57" s="83">
        <v>2842</v>
      </c>
      <c r="D57" s="83">
        <v>3115.3</v>
      </c>
      <c r="E57" s="210">
        <v>8.3899000000000008</v>
      </c>
      <c r="F57" s="82"/>
      <c r="G57" s="28"/>
    </row>
    <row r="58" spans="1:7" ht="18.75" customHeight="1" x14ac:dyDescent="0.25">
      <c r="A58" s="7">
        <v>330</v>
      </c>
      <c r="B58" s="82">
        <v>3.4741</v>
      </c>
      <c r="C58" s="83">
        <v>2857.7</v>
      </c>
      <c r="D58" s="83">
        <v>3135.6</v>
      </c>
      <c r="E58" s="210">
        <v>8.4237000000000002</v>
      </c>
      <c r="F58" s="82"/>
      <c r="G58" s="28"/>
    </row>
    <row r="59" spans="1:7" ht="18.75" customHeight="1" x14ac:dyDescent="0.25">
      <c r="A59" s="7">
        <v>340</v>
      </c>
      <c r="B59" s="82">
        <v>3.532</v>
      </c>
      <c r="C59" s="83">
        <v>2873.3</v>
      </c>
      <c r="D59" s="83">
        <v>3155.9</v>
      </c>
      <c r="E59" s="210">
        <v>8.4571000000000005</v>
      </c>
      <c r="F59" s="82"/>
      <c r="G59" s="28"/>
    </row>
    <row r="60" spans="1:7" ht="18.75" customHeight="1" x14ac:dyDescent="0.25">
      <c r="A60" s="7">
        <v>350</v>
      </c>
      <c r="B60" s="82">
        <v>3.5899000000000001</v>
      </c>
      <c r="C60" s="83">
        <v>2889</v>
      </c>
      <c r="D60" s="83">
        <v>3176.2</v>
      </c>
      <c r="E60" s="210">
        <v>8.49</v>
      </c>
      <c r="F60" s="82"/>
      <c r="G60" s="28"/>
    </row>
    <row r="61" spans="1:7" ht="18.75" customHeight="1" x14ac:dyDescent="0.25">
      <c r="A61" s="7">
        <v>360</v>
      </c>
      <c r="B61" s="82">
        <v>3.6478000000000002</v>
      </c>
      <c r="C61" s="83">
        <v>2904.8</v>
      </c>
      <c r="D61" s="83">
        <v>3196.6</v>
      </c>
      <c r="E61" s="210">
        <v>8.5225000000000009</v>
      </c>
      <c r="F61" s="82"/>
      <c r="G61" s="28"/>
    </row>
    <row r="62" spans="1:7" ht="18.75" customHeight="1" x14ac:dyDescent="0.25">
      <c r="A62" s="7">
        <v>370</v>
      </c>
      <c r="B62" s="82">
        <v>3.7057000000000002</v>
      </c>
      <c r="C62" s="83">
        <v>2920.6</v>
      </c>
      <c r="D62" s="83">
        <v>3217.1</v>
      </c>
      <c r="E62" s="210">
        <v>8.5546000000000006</v>
      </c>
      <c r="F62" s="82"/>
      <c r="G62" s="28"/>
    </row>
    <row r="63" spans="1:7" ht="18.75" customHeight="1" x14ac:dyDescent="0.25">
      <c r="A63" s="7">
        <v>380</v>
      </c>
      <c r="B63" s="82">
        <v>3.7635999999999998</v>
      </c>
      <c r="C63" s="83">
        <v>2936.5</v>
      </c>
      <c r="D63" s="83">
        <v>3237.6</v>
      </c>
      <c r="E63" s="210">
        <v>8.5862999999999996</v>
      </c>
      <c r="F63" s="82"/>
      <c r="G63" s="28"/>
    </row>
    <row r="64" spans="1:7" ht="18.75" customHeight="1" x14ac:dyDescent="0.25">
      <c r="A64" s="7">
        <v>390</v>
      </c>
      <c r="B64" s="82">
        <v>3.8214999999999999</v>
      </c>
      <c r="C64" s="83">
        <v>2952.5</v>
      </c>
      <c r="D64" s="83">
        <v>3258.2</v>
      </c>
      <c r="E64" s="210">
        <v>8.6175999999999995</v>
      </c>
      <c r="F64" s="82"/>
      <c r="G64" s="28"/>
    </row>
    <row r="65" spans="1:7" ht="18.75" customHeight="1" x14ac:dyDescent="0.25">
      <c r="A65" s="7">
        <v>400</v>
      </c>
      <c r="B65" s="82">
        <v>3.8794</v>
      </c>
      <c r="C65" s="83">
        <v>2968.5</v>
      </c>
      <c r="D65" s="83">
        <v>3278.9</v>
      </c>
      <c r="E65" s="210">
        <v>8.6485000000000003</v>
      </c>
      <c r="F65" s="82"/>
      <c r="G65" s="28"/>
    </row>
    <row r="66" spans="1:7" ht="18.75" customHeight="1" x14ac:dyDescent="0.25">
      <c r="A66" s="7">
        <v>410</v>
      </c>
      <c r="B66" s="82">
        <v>3.9371999999999998</v>
      </c>
      <c r="C66" s="83">
        <v>2984.6</v>
      </c>
      <c r="D66" s="83">
        <v>3299.6</v>
      </c>
      <c r="E66" s="210">
        <v>8.6790000000000003</v>
      </c>
      <c r="F66" s="82"/>
      <c r="G66" s="28"/>
    </row>
    <row r="67" spans="1:7" ht="18.75" customHeight="1" x14ac:dyDescent="0.25">
      <c r="A67" s="7">
        <v>420</v>
      </c>
      <c r="B67" s="82">
        <v>3.9950999999999999</v>
      </c>
      <c r="C67" s="83">
        <v>3000.8</v>
      </c>
      <c r="D67" s="83">
        <v>3320.4</v>
      </c>
      <c r="E67" s="210">
        <v>8.7091999999999992</v>
      </c>
      <c r="F67" s="82"/>
      <c r="G67" s="28"/>
    </row>
    <row r="68" spans="1:7" ht="18.75" customHeight="1" x14ac:dyDescent="0.25">
      <c r="A68" s="7">
        <v>430</v>
      </c>
      <c r="B68" s="82">
        <v>4.0529000000000002</v>
      </c>
      <c r="C68" s="83">
        <v>3017</v>
      </c>
      <c r="D68" s="83">
        <v>3341.2</v>
      </c>
      <c r="E68" s="210">
        <v>8.7391000000000005</v>
      </c>
      <c r="F68" s="82"/>
      <c r="G68" s="28"/>
    </row>
    <row r="69" spans="1:7" ht="18.75" customHeight="1" x14ac:dyDescent="0.25">
      <c r="A69" s="7">
        <v>440</v>
      </c>
      <c r="B69" s="82">
        <v>4.1106999999999996</v>
      </c>
      <c r="C69" s="83">
        <v>3033.2</v>
      </c>
      <c r="D69" s="83">
        <v>3362.1</v>
      </c>
      <c r="E69" s="210">
        <v>8.7685999999999993</v>
      </c>
      <c r="F69" s="82"/>
      <c r="G69" s="28"/>
    </row>
    <row r="70" spans="1:7" ht="18.75" customHeight="1" x14ac:dyDescent="0.25">
      <c r="A70" s="7">
        <v>450</v>
      </c>
      <c r="B70" s="82">
        <v>4.1685999999999996</v>
      </c>
      <c r="C70" s="83">
        <v>3049.6</v>
      </c>
      <c r="D70" s="83">
        <v>3383.1</v>
      </c>
      <c r="E70" s="210">
        <v>8.7978000000000005</v>
      </c>
      <c r="F70" s="82"/>
      <c r="G70" s="28"/>
    </row>
    <row r="71" spans="1:7" ht="18.75" customHeight="1" x14ac:dyDescent="0.25">
      <c r="A71" s="7">
        <v>460</v>
      </c>
      <c r="B71" s="82">
        <v>4.2263999999999999</v>
      </c>
      <c r="C71" s="83">
        <v>3066</v>
      </c>
      <c r="D71" s="83">
        <v>3404.1</v>
      </c>
      <c r="E71" s="210">
        <v>8.8267000000000007</v>
      </c>
      <c r="F71" s="82"/>
      <c r="G71" s="28"/>
    </row>
    <row r="72" spans="1:7" ht="18.75" customHeight="1" x14ac:dyDescent="0.25">
      <c r="A72" s="7">
        <v>470</v>
      </c>
      <c r="B72" s="82">
        <v>4.2842000000000002</v>
      </c>
      <c r="C72" s="83">
        <v>3082.5</v>
      </c>
      <c r="D72" s="83">
        <v>3425.2</v>
      </c>
      <c r="E72" s="210">
        <v>8.8552999999999997</v>
      </c>
      <c r="F72" s="82"/>
      <c r="G72" s="28"/>
    </row>
    <row r="73" spans="1:7" ht="18.75" customHeight="1" x14ac:dyDescent="0.25">
      <c r="A73" s="7">
        <v>480</v>
      </c>
      <c r="B73" s="82">
        <v>4.3419999999999996</v>
      </c>
      <c r="C73" s="83">
        <v>3099</v>
      </c>
      <c r="D73" s="83">
        <v>3446.4</v>
      </c>
      <c r="E73" s="210">
        <v>8.8835999999999995</v>
      </c>
      <c r="F73" s="82"/>
      <c r="G73" s="28"/>
    </row>
    <row r="74" spans="1:7" ht="18.75" customHeight="1" x14ac:dyDescent="0.25">
      <c r="A74" s="7">
        <v>490</v>
      </c>
      <c r="B74" s="82">
        <v>4.3997999999999999</v>
      </c>
      <c r="C74" s="83">
        <v>3115.6</v>
      </c>
      <c r="D74" s="83">
        <v>3467.6</v>
      </c>
      <c r="E74" s="210">
        <v>8.9116</v>
      </c>
      <c r="F74" s="82"/>
      <c r="G74" s="28"/>
    </row>
    <row r="75" spans="1:7" ht="18.75" customHeight="1" x14ac:dyDescent="0.25">
      <c r="A75" s="7">
        <v>500</v>
      </c>
      <c r="B75" s="82">
        <v>4.4576000000000002</v>
      </c>
      <c r="C75" s="83">
        <v>3132.3</v>
      </c>
      <c r="D75" s="83">
        <v>3488.9</v>
      </c>
      <c r="E75" s="210">
        <v>8.9392999999999994</v>
      </c>
      <c r="F75" s="82"/>
      <c r="G75" s="28"/>
    </row>
    <row r="76" spans="1:7" ht="18.75" customHeight="1" x14ac:dyDescent="0.25">
      <c r="A76" s="7">
        <v>520</v>
      </c>
      <c r="B76" s="82">
        <v>4.5731999999999999</v>
      </c>
      <c r="C76" s="83">
        <v>3165.9</v>
      </c>
      <c r="D76" s="83">
        <v>3531.8</v>
      </c>
      <c r="E76" s="210">
        <v>8.9939999999999998</v>
      </c>
      <c r="F76" s="82"/>
      <c r="G76" s="28"/>
    </row>
    <row r="77" spans="1:7" ht="18.75" customHeight="1" x14ac:dyDescent="0.25">
      <c r="A77" s="7">
        <v>540</v>
      </c>
      <c r="B77" s="82">
        <v>4.6886999999999999</v>
      </c>
      <c r="C77" s="83">
        <v>3199.7</v>
      </c>
      <c r="D77" s="83">
        <v>3574.8</v>
      </c>
      <c r="E77" s="210">
        <v>9.0475999999999992</v>
      </c>
      <c r="F77" s="82"/>
      <c r="G77" s="28"/>
    </row>
    <row r="78" spans="1:7" ht="18.75" customHeight="1" x14ac:dyDescent="0.25">
      <c r="A78" s="7">
        <v>560</v>
      </c>
      <c r="B78" s="82">
        <v>4.8042999999999996</v>
      </c>
      <c r="C78" s="83">
        <v>3233.9</v>
      </c>
      <c r="D78" s="83">
        <v>3618.2</v>
      </c>
      <c r="E78" s="210">
        <v>9.1003000000000007</v>
      </c>
      <c r="F78" s="82"/>
      <c r="G78" s="28"/>
    </row>
    <row r="79" spans="1:7" ht="18.75" customHeight="1" x14ac:dyDescent="0.25">
      <c r="A79" s="7">
        <v>580</v>
      </c>
      <c r="B79" s="82">
        <v>4.9198000000000004</v>
      </c>
      <c r="C79" s="83">
        <v>3268.2</v>
      </c>
      <c r="D79" s="83">
        <v>3661.8</v>
      </c>
      <c r="E79" s="210">
        <v>9.1521000000000008</v>
      </c>
      <c r="F79" s="82"/>
      <c r="G79" s="28"/>
    </row>
    <row r="80" spans="1:7" ht="18.75" customHeight="1" x14ac:dyDescent="0.25">
      <c r="A80" s="7">
        <v>600</v>
      </c>
      <c r="B80" s="82">
        <v>5.0353000000000003</v>
      </c>
      <c r="C80" s="83">
        <v>3302.9</v>
      </c>
      <c r="D80" s="83">
        <v>3705.7</v>
      </c>
      <c r="E80" s="210">
        <v>9.2028999999999996</v>
      </c>
      <c r="F80" s="82"/>
      <c r="G80" s="28"/>
    </row>
    <row r="81" spans="1:7" ht="18.75" customHeight="1" x14ac:dyDescent="0.25">
      <c r="A81" s="7">
        <v>620</v>
      </c>
      <c r="B81" s="82">
        <v>5.1508000000000003</v>
      </c>
      <c r="C81" s="83">
        <v>3337.8</v>
      </c>
      <c r="D81" s="83">
        <v>3749.9</v>
      </c>
      <c r="E81" s="210">
        <v>9.2530000000000001</v>
      </c>
      <c r="F81" s="82"/>
      <c r="G81" s="28"/>
    </row>
    <row r="82" spans="1:7" ht="18.75" customHeight="1" x14ac:dyDescent="0.25">
      <c r="A82" s="7">
        <v>640</v>
      </c>
      <c r="B82" s="82">
        <v>5.2663000000000002</v>
      </c>
      <c r="C82" s="83">
        <v>3373.1</v>
      </c>
      <c r="D82" s="83">
        <v>3794.4</v>
      </c>
      <c r="E82" s="210">
        <v>9.3021999999999991</v>
      </c>
      <c r="F82" s="82"/>
      <c r="G82" s="28"/>
    </row>
    <row r="83" spans="1:7" ht="18.75" customHeight="1" x14ac:dyDescent="0.25">
      <c r="A83" s="7">
        <v>660</v>
      </c>
      <c r="B83" s="82">
        <v>5.3818000000000001</v>
      </c>
      <c r="C83" s="83">
        <v>3408.6</v>
      </c>
      <c r="D83" s="83">
        <v>3839.1</v>
      </c>
      <c r="E83" s="210">
        <v>9.3506999999999998</v>
      </c>
      <c r="F83" s="82"/>
      <c r="G83" s="28"/>
    </row>
    <row r="84" spans="1:7" ht="18.75" customHeight="1" x14ac:dyDescent="0.25">
      <c r="A84" s="7">
        <v>680</v>
      </c>
      <c r="B84" s="82">
        <v>5.4973000000000001</v>
      </c>
      <c r="C84" s="83">
        <v>3444.4</v>
      </c>
      <c r="D84" s="83">
        <v>3884.2</v>
      </c>
      <c r="E84" s="210">
        <v>9.3984000000000005</v>
      </c>
      <c r="F84" s="82"/>
      <c r="G84" s="28"/>
    </row>
    <row r="85" spans="1:7" ht="18.75" customHeight="1" x14ac:dyDescent="0.25">
      <c r="A85" s="7">
        <v>700</v>
      </c>
      <c r="B85" s="82">
        <v>5.6128</v>
      </c>
      <c r="C85" s="83">
        <v>3480.5</v>
      </c>
      <c r="D85" s="83">
        <v>3929.5</v>
      </c>
      <c r="E85" s="210">
        <v>9.4454999999999991</v>
      </c>
      <c r="F85" s="82"/>
      <c r="G85" s="28"/>
    </row>
    <row r="86" spans="1:7" ht="18.75" customHeight="1" x14ac:dyDescent="0.25">
      <c r="A86" s="7">
        <v>720</v>
      </c>
      <c r="B86" s="82">
        <v>5.7282999999999999</v>
      </c>
      <c r="C86" s="83">
        <v>3516.8</v>
      </c>
      <c r="D86" s="83">
        <v>3975.1</v>
      </c>
      <c r="E86" s="210">
        <v>9.4918999999999993</v>
      </c>
      <c r="F86" s="82"/>
      <c r="G86" s="28"/>
    </row>
    <row r="87" spans="1:7" ht="18.75" customHeight="1" x14ac:dyDescent="0.25">
      <c r="A87" s="7">
        <v>740</v>
      </c>
      <c r="B87" s="82">
        <v>5.8437000000000001</v>
      </c>
      <c r="C87" s="83">
        <v>3553.5</v>
      </c>
      <c r="D87" s="83">
        <v>4021</v>
      </c>
      <c r="E87" s="210">
        <v>9.5375999999999994</v>
      </c>
      <c r="F87" s="82"/>
      <c r="G87" s="28"/>
    </row>
    <row r="88" spans="1:7" ht="18.75" customHeight="1" x14ac:dyDescent="0.25">
      <c r="A88" s="7">
        <v>760</v>
      </c>
      <c r="B88" s="82">
        <v>5.9592000000000001</v>
      </c>
      <c r="C88" s="83">
        <v>3590.4</v>
      </c>
      <c r="D88" s="83">
        <v>4067.1</v>
      </c>
      <c r="E88" s="210">
        <v>9.5827000000000009</v>
      </c>
      <c r="F88" s="82"/>
      <c r="G88" s="28"/>
    </row>
    <row r="89" spans="1:7" ht="18.75" customHeight="1" x14ac:dyDescent="0.25">
      <c r="A89" s="7">
        <v>780</v>
      </c>
      <c r="B89" s="82">
        <v>6.0746000000000002</v>
      </c>
      <c r="C89" s="83">
        <v>3627.6</v>
      </c>
      <c r="D89" s="83">
        <v>4113.6000000000004</v>
      </c>
      <c r="E89" s="210">
        <v>9.6273</v>
      </c>
      <c r="F89" s="82"/>
      <c r="G89" s="28"/>
    </row>
    <row r="90" spans="1:7" ht="18.75" customHeight="1" x14ac:dyDescent="0.25">
      <c r="A90" s="7">
        <v>800</v>
      </c>
      <c r="B90" s="82">
        <v>6.1901000000000002</v>
      </c>
      <c r="C90" s="83">
        <v>3665.1</v>
      </c>
      <c r="D90" s="83">
        <v>4160.3</v>
      </c>
      <c r="E90" s="210">
        <v>9.6712000000000007</v>
      </c>
      <c r="F90" s="82"/>
      <c r="G90" s="28"/>
    </row>
    <row r="91" spans="1:7" ht="18.75" customHeight="1" x14ac:dyDescent="0.25">
      <c r="A91" s="7">
        <v>820</v>
      </c>
      <c r="B91" s="82">
        <v>6.3055000000000003</v>
      </c>
      <c r="C91" s="83">
        <v>3702.9</v>
      </c>
      <c r="D91" s="83">
        <v>4207.3</v>
      </c>
      <c r="E91" s="210">
        <v>9.7146000000000008</v>
      </c>
      <c r="F91" s="82"/>
      <c r="G91" s="28"/>
    </row>
    <row r="92" spans="1:7" ht="18.75" customHeight="1" x14ac:dyDescent="0.25">
      <c r="A92" s="7">
        <v>840</v>
      </c>
      <c r="B92" s="82">
        <v>6.4210000000000003</v>
      </c>
      <c r="C92" s="83">
        <v>3740.9</v>
      </c>
      <c r="D92" s="83">
        <v>4254.6000000000004</v>
      </c>
      <c r="E92" s="210">
        <v>9.7575000000000003</v>
      </c>
      <c r="F92" s="82"/>
      <c r="G92" s="28"/>
    </row>
    <row r="93" spans="1:7" ht="18.75" customHeight="1" x14ac:dyDescent="0.25">
      <c r="A93" s="7">
        <v>860</v>
      </c>
      <c r="B93" s="82">
        <v>6.5364000000000004</v>
      </c>
      <c r="C93" s="83">
        <v>3779.2</v>
      </c>
      <c r="D93" s="83">
        <v>4302.1000000000004</v>
      </c>
      <c r="E93" s="210">
        <v>9.7997999999999994</v>
      </c>
      <c r="F93" s="82"/>
      <c r="G93" s="28"/>
    </row>
    <row r="94" spans="1:7" ht="18.75" customHeight="1" x14ac:dyDescent="0.25">
      <c r="A94" s="7">
        <v>880</v>
      </c>
      <c r="B94" s="82">
        <v>6.6517999999999997</v>
      </c>
      <c r="C94" s="83">
        <v>3817.9</v>
      </c>
      <c r="D94" s="83">
        <v>4350</v>
      </c>
      <c r="E94" s="210">
        <v>9.8415999999999997</v>
      </c>
      <c r="F94" s="82"/>
      <c r="G94" s="28"/>
    </row>
    <row r="95" spans="1:7" ht="18.75" customHeight="1" x14ac:dyDescent="0.25">
      <c r="A95" s="7">
        <v>900</v>
      </c>
      <c r="B95" s="82">
        <v>6.7672999999999996</v>
      </c>
      <c r="C95" s="83">
        <v>3856.7</v>
      </c>
      <c r="D95" s="83">
        <v>4398.1000000000004</v>
      </c>
      <c r="E95" s="210">
        <v>9.8829999999999991</v>
      </c>
      <c r="F95" s="82"/>
      <c r="G95" s="28"/>
    </row>
    <row r="96" spans="1:7" ht="18.75" customHeight="1" x14ac:dyDescent="0.25">
      <c r="A96" s="7">
        <v>920</v>
      </c>
      <c r="B96" s="82">
        <v>6.8826999999999998</v>
      </c>
      <c r="C96" s="83">
        <v>3895.9</v>
      </c>
      <c r="D96" s="83">
        <v>4446.5</v>
      </c>
      <c r="E96" s="210">
        <v>9.9238999999999997</v>
      </c>
      <c r="F96" s="82"/>
      <c r="G96" s="28"/>
    </row>
    <row r="97" spans="1:7" ht="18.75" customHeight="1" x14ac:dyDescent="0.25">
      <c r="A97" s="7">
        <v>940</v>
      </c>
      <c r="B97" s="82">
        <v>6.9981</v>
      </c>
      <c r="C97" s="83">
        <v>3935.3</v>
      </c>
      <c r="D97" s="83">
        <v>4495.1000000000004</v>
      </c>
      <c r="E97" s="210">
        <v>9.9642999999999997</v>
      </c>
      <c r="F97" s="82"/>
      <c r="G97" s="28"/>
    </row>
    <row r="98" spans="1:7" ht="18.75" customHeight="1" x14ac:dyDescent="0.25">
      <c r="A98" s="7">
        <v>960</v>
      </c>
      <c r="B98" s="82">
        <v>7.1135999999999999</v>
      </c>
      <c r="C98" s="83">
        <v>3974.9</v>
      </c>
      <c r="D98" s="83">
        <v>4544</v>
      </c>
      <c r="E98" s="211">
        <v>10.004</v>
      </c>
      <c r="F98" s="46"/>
      <c r="G98" s="28"/>
    </row>
    <row r="99" spans="1:7" ht="18.75" customHeight="1" x14ac:dyDescent="0.25">
      <c r="A99" s="7">
        <v>980</v>
      </c>
      <c r="B99" s="82">
        <v>7.2290000000000001</v>
      </c>
      <c r="C99" s="83">
        <v>4014.9</v>
      </c>
      <c r="D99" s="83">
        <v>4593.2</v>
      </c>
      <c r="E99" s="211">
        <v>10.044</v>
      </c>
      <c r="F99" s="46"/>
      <c r="G99" s="28"/>
    </row>
    <row r="100" spans="1:7" ht="13.8" x14ac:dyDescent="0.25">
      <c r="A100" s="7">
        <v>1000</v>
      </c>
      <c r="B100" s="82">
        <v>7.3444000000000003</v>
      </c>
      <c r="C100" s="83">
        <v>4055</v>
      </c>
      <c r="D100" s="83">
        <v>4642.6000000000004</v>
      </c>
      <c r="E100" s="211">
        <v>10.083</v>
      </c>
      <c r="F100" s="46"/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100"/>
  <sheetViews>
    <sheetView topLeftCell="A10" workbookViewId="0">
      <selection activeCell="A25" sqref="A25:XFD25"/>
    </sheetView>
  </sheetViews>
  <sheetFormatPr defaultRowHeight="13.2" x14ac:dyDescent="0.25"/>
  <cols>
    <col min="1" max="1" width="10" customWidth="1"/>
    <col min="2" max="2" width="11.10937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93" t="s">
        <v>40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90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</row>
    <row r="5" spans="1:8" ht="18.75" customHeight="1" x14ac:dyDescent="0.25">
      <c r="A5" s="38">
        <v>0</v>
      </c>
      <c r="B5" s="79">
        <v>1.0001599999999999E-3</v>
      </c>
      <c r="C5" s="80">
        <v>-0.04</v>
      </c>
      <c r="D5" s="80">
        <v>0.05</v>
      </c>
      <c r="E5" s="81">
        <v>-1.4999999999999999E-4</v>
      </c>
      <c r="F5" s="81"/>
      <c r="G5" s="28"/>
    </row>
    <row r="6" spans="1:8" ht="18.75" customHeight="1" x14ac:dyDescent="0.25">
      <c r="A6" s="7">
        <v>5</v>
      </c>
      <c r="B6" s="79">
        <v>1.00004E-3</v>
      </c>
      <c r="C6" s="80">
        <v>21.02</v>
      </c>
      <c r="D6" s="80">
        <v>21.11</v>
      </c>
      <c r="E6" s="81">
        <v>7.6249999999999998E-2</v>
      </c>
      <c r="F6" s="81"/>
      <c r="G6" s="28"/>
    </row>
    <row r="7" spans="1:8" ht="18.75" customHeight="1" x14ac:dyDescent="0.25">
      <c r="A7" s="7">
        <v>10</v>
      </c>
      <c r="B7" s="79">
        <v>1.0003E-3</v>
      </c>
      <c r="C7" s="80">
        <v>42.02</v>
      </c>
      <c r="D7" s="80">
        <v>42.11</v>
      </c>
      <c r="E7" s="81">
        <v>0.15107999999999999</v>
      </c>
      <c r="F7" s="81"/>
      <c r="G7" s="28"/>
    </row>
    <row r="8" spans="1:8" ht="18.75" customHeight="1" x14ac:dyDescent="0.25">
      <c r="A8" s="7">
        <v>15</v>
      </c>
      <c r="B8" s="79">
        <v>1.0009000000000001E-3</v>
      </c>
      <c r="C8" s="80">
        <v>62.98</v>
      </c>
      <c r="D8" s="80">
        <v>63.07</v>
      </c>
      <c r="E8" s="81">
        <v>0.22445000000000001</v>
      </c>
      <c r="F8" s="81"/>
      <c r="G8" s="28"/>
    </row>
    <row r="9" spans="1:8" ht="18.75" customHeight="1" x14ac:dyDescent="0.25">
      <c r="A9" s="7">
        <v>20</v>
      </c>
      <c r="B9" s="79">
        <v>1.0018E-3</v>
      </c>
      <c r="C9" s="80">
        <v>83.91</v>
      </c>
      <c r="D9" s="80">
        <v>84</v>
      </c>
      <c r="E9" s="81">
        <v>0.29647000000000001</v>
      </c>
      <c r="F9" s="81"/>
      <c r="G9" s="28"/>
    </row>
    <row r="10" spans="1:8" ht="18.75" customHeight="1" x14ac:dyDescent="0.25">
      <c r="A10" s="7">
        <v>25</v>
      </c>
      <c r="B10" s="79">
        <v>1.0029699999999999E-3</v>
      </c>
      <c r="C10" s="80">
        <v>104.82</v>
      </c>
      <c r="D10" s="80">
        <v>104.91</v>
      </c>
      <c r="E10" s="81">
        <v>0.36720000000000003</v>
      </c>
      <c r="F10" s="81"/>
      <c r="G10" s="28"/>
    </row>
    <row r="11" spans="1:8" ht="18.75" customHeight="1" x14ac:dyDescent="0.25">
      <c r="A11" s="7">
        <v>30</v>
      </c>
      <c r="B11" s="79">
        <v>1.0043700000000001E-3</v>
      </c>
      <c r="C11" s="80">
        <v>125.72</v>
      </c>
      <c r="D11" s="80">
        <v>125.81</v>
      </c>
      <c r="E11" s="81">
        <v>0.43673000000000001</v>
      </c>
      <c r="F11" s="81"/>
      <c r="G11" s="28"/>
    </row>
    <row r="12" spans="1:8" ht="18.75" customHeight="1" x14ac:dyDescent="0.25">
      <c r="A12" s="7">
        <v>35</v>
      </c>
      <c r="B12" s="79">
        <v>1.0060100000000001E-3</v>
      </c>
      <c r="C12" s="80">
        <v>146.62</v>
      </c>
      <c r="D12" s="80">
        <v>146.71</v>
      </c>
      <c r="E12" s="81">
        <v>0.50509999999999999</v>
      </c>
      <c r="F12" s="81"/>
      <c r="G12" s="28"/>
    </row>
    <row r="13" spans="1:8" ht="18.75" customHeight="1" x14ac:dyDescent="0.25">
      <c r="A13" s="7">
        <v>40</v>
      </c>
      <c r="B13" s="79">
        <v>1.00785E-3</v>
      </c>
      <c r="C13" s="80">
        <v>167.52</v>
      </c>
      <c r="D13" s="80">
        <v>167.61</v>
      </c>
      <c r="E13" s="81">
        <v>0.57237000000000005</v>
      </c>
      <c r="F13" s="81"/>
      <c r="G13" s="28"/>
    </row>
    <row r="14" spans="1:8" ht="18.75" customHeight="1" x14ac:dyDescent="0.25">
      <c r="A14" s="7">
        <v>45</v>
      </c>
      <c r="B14" s="79">
        <v>1.00989E-3</v>
      </c>
      <c r="C14" s="80">
        <v>188.42</v>
      </c>
      <c r="D14" s="80">
        <v>188.51</v>
      </c>
      <c r="E14" s="81">
        <v>0.63858000000000004</v>
      </c>
      <c r="F14" s="81"/>
      <c r="G14" s="28"/>
    </row>
    <row r="15" spans="1:8" ht="18.75" customHeight="1" x14ac:dyDescent="0.25">
      <c r="A15" s="7">
        <v>50</v>
      </c>
      <c r="B15" s="79">
        <v>1.0121100000000001E-3</v>
      </c>
      <c r="C15" s="80">
        <v>209.32</v>
      </c>
      <c r="D15" s="80">
        <v>209.41</v>
      </c>
      <c r="E15" s="81">
        <v>0.70377000000000001</v>
      </c>
      <c r="F15" s="81"/>
      <c r="G15" s="28"/>
    </row>
    <row r="16" spans="1:8" ht="18.75" customHeight="1" x14ac:dyDescent="0.25">
      <c r="A16" s="7">
        <v>55</v>
      </c>
      <c r="B16" s="79">
        <v>1.0145200000000001E-3</v>
      </c>
      <c r="C16" s="80">
        <v>230.23</v>
      </c>
      <c r="D16" s="80">
        <v>230.32</v>
      </c>
      <c r="E16" s="81">
        <v>0.76798999999999995</v>
      </c>
      <c r="F16" s="81"/>
      <c r="G16" s="28"/>
    </row>
    <row r="17" spans="1:7" ht="18.75" customHeight="1" x14ac:dyDescent="0.25">
      <c r="A17" s="7">
        <v>60</v>
      </c>
      <c r="B17" s="79">
        <v>1.0170999999999999E-3</v>
      </c>
      <c r="C17" s="80">
        <v>251.15</v>
      </c>
      <c r="D17" s="80">
        <v>251.24</v>
      </c>
      <c r="E17" s="81">
        <v>0.83126</v>
      </c>
      <c r="F17" s="81"/>
      <c r="G17" s="28"/>
    </row>
    <row r="18" spans="1:7" ht="18.75" customHeight="1" x14ac:dyDescent="0.25">
      <c r="A18" s="7">
        <v>65</v>
      </c>
      <c r="B18" s="79">
        <v>1.0198399999999999E-3</v>
      </c>
      <c r="C18" s="80">
        <v>272.08</v>
      </c>
      <c r="D18" s="80">
        <v>272.17</v>
      </c>
      <c r="E18" s="81">
        <v>0.89361999999999997</v>
      </c>
      <c r="F18" s="81"/>
      <c r="G18" s="28"/>
    </row>
    <row r="19" spans="1:7" ht="18.75" customHeight="1" x14ac:dyDescent="0.25">
      <c r="A19" s="7">
        <v>70</v>
      </c>
      <c r="B19" s="79">
        <v>1.02275E-3</v>
      </c>
      <c r="C19" s="80">
        <v>293.02</v>
      </c>
      <c r="D19" s="80">
        <v>293.11</v>
      </c>
      <c r="E19" s="81">
        <v>0.95509999999999995</v>
      </c>
      <c r="F19" s="81"/>
      <c r="G19" s="28"/>
    </row>
    <row r="20" spans="1:7" ht="18.75" customHeight="1" x14ac:dyDescent="0.25">
      <c r="A20" s="7">
        <v>75</v>
      </c>
      <c r="B20" s="79">
        <v>1.02581E-3</v>
      </c>
      <c r="C20" s="80">
        <v>313.98</v>
      </c>
      <c r="D20" s="80">
        <v>314.07</v>
      </c>
      <c r="E20" s="82">
        <v>1.0157</v>
      </c>
      <c r="F20" s="82"/>
      <c r="G20" s="28"/>
    </row>
    <row r="21" spans="1:7" ht="18.75" customHeight="1" x14ac:dyDescent="0.25">
      <c r="A21" s="7">
        <v>80</v>
      </c>
      <c r="B21" s="79">
        <v>1.02903E-3</v>
      </c>
      <c r="C21" s="80">
        <v>334.96</v>
      </c>
      <c r="D21" s="80">
        <v>335.05</v>
      </c>
      <c r="E21" s="82">
        <v>1.0755999999999999</v>
      </c>
      <c r="F21" s="82"/>
      <c r="G21" s="28"/>
    </row>
    <row r="22" spans="1:7" ht="18.75" customHeight="1" x14ac:dyDescent="0.25">
      <c r="A22" s="7">
        <v>85</v>
      </c>
      <c r="B22" s="79">
        <v>1.0324100000000001E-3</v>
      </c>
      <c r="C22" s="80">
        <v>355.95</v>
      </c>
      <c r="D22" s="80">
        <v>356.04</v>
      </c>
      <c r="E22" s="82">
        <v>1.1346000000000001</v>
      </c>
      <c r="F22" s="82"/>
      <c r="G22" s="28"/>
    </row>
    <row r="23" spans="1:7" ht="18.75" customHeight="1" x14ac:dyDescent="0.25">
      <c r="A23" s="7">
        <v>90</v>
      </c>
      <c r="B23" s="79">
        <v>1.03594E-3</v>
      </c>
      <c r="C23" s="80">
        <v>376.96</v>
      </c>
      <c r="D23" s="80">
        <v>377.05</v>
      </c>
      <c r="E23" s="82">
        <v>1.1929000000000001</v>
      </c>
      <c r="F23" s="82"/>
      <c r="G23" s="28"/>
    </row>
    <row r="24" spans="1:7" ht="18.75" customHeight="1" x14ac:dyDescent="0.25">
      <c r="A24" s="7">
        <v>95</v>
      </c>
      <c r="B24" s="79">
        <v>1.0396299999999999E-3</v>
      </c>
      <c r="C24" s="80">
        <v>398</v>
      </c>
      <c r="D24" s="80">
        <v>398.09</v>
      </c>
      <c r="E24" s="82">
        <v>1.2504</v>
      </c>
      <c r="F24" s="82"/>
      <c r="G24" s="28"/>
    </row>
    <row r="25" spans="1:7" ht="18.75" customHeight="1" x14ac:dyDescent="0.25">
      <c r="A25" s="7">
        <v>100</v>
      </c>
      <c r="B25" s="82">
        <v>1.8874</v>
      </c>
      <c r="C25" s="83">
        <v>2507.1999999999998</v>
      </c>
      <c r="D25" s="83">
        <v>2677.1</v>
      </c>
      <c r="E25" s="82">
        <v>7.4126000000000003</v>
      </c>
      <c r="F25" s="82"/>
      <c r="G25" s="28"/>
    </row>
    <row r="26" spans="1:7" ht="18.75" customHeight="1" x14ac:dyDescent="0.25">
      <c r="A26" s="7">
        <v>105</v>
      </c>
      <c r="B26" s="82">
        <v>1.9144000000000001</v>
      </c>
      <c r="C26" s="83">
        <v>2515.1</v>
      </c>
      <c r="D26" s="83">
        <v>2687.4</v>
      </c>
      <c r="E26" s="82">
        <v>7.4398999999999997</v>
      </c>
      <c r="F26" s="82"/>
      <c r="G26" s="28"/>
    </row>
    <row r="27" spans="1:7" ht="18.75" customHeight="1" x14ac:dyDescent="0.25">
      <c r="A27" s="7">
        <v>110</v>
      </c>
      <c r="B27" s="82">
        <v>1.9413</v>
      </c>
      <c r="C27" s="83">
        <v>2522.8000000000002</v>
      </c>
      <c r="D27" s="83">
        <v>2697.5</v>
      </c>
      <c r="E27" s="82">
        <v>7.4664999999999999</v>
      </c>
      <c r="F27" s="82"/>
      <c r="G27" s="28"/>
    </row>
    <row r="28" spans="1:7" ht="18.75" customHeight="1" x14ac:dyDescent="0.25">
      <c r="A28" s="7">
        <v>115</v>
      </c>
      <c r="B28" s="82">
        <v>1.9681</v>
      </c>
      <c r="C28" s="83">
        <v>2530.5</v>
      </c>
      <c r="D28" s="83">
        <v>2707.6</v>
      </c>
      <c r="E28" s="82">
        <v>7.4927000000000001</v>
      </c>
      <c r="F28" s="82"/>
      <c r="G28" s="28"/>
    </row>
    <row r="29" spans="1:7" ht="18.75" customHeight="1" x14ac:dyDescent="0.25">
      <c r="A29" s="7">
        <v>120</v>
      </c>
      <c r="B29" s="82">
        <v>1.9947999999999999</v>
      </c>
      <c r="C29" s="83">
        <v>2538.1999999999998</v>
      </c>
      <c r="D29" s="83">
        <v>2717.7</v>
      </c>
      <c r="E29" s="82">
        <v>7.5185000000000004</v>
      </c>
      <c r="F29" s="82"/>
      <c r="G29" s="28"/>
    </row>
    <row r="30" spans="1:7" ht="18.75" customHeight="1" x14ac:dyDescent="0.25">
      <c r="A30" s="7">
        <v>125</v>
      </c>
      <c r="B30" s="82">
        <v>2.0215000000000001</v>
      </c>
      <c r="C30" s="83">
        <v>2545.8000000000002</v>
      </c>
      <c r="D30" s="83">
        <v>2727.7</v>
      </c>
      <c r="E30" s="82">
        <v>7.5438000000000001</v>
      </c>
      <c r="F30" s="82"/>
      <c r="G30" s="28"/>
    </row>
    <row r="31" spans="1:7" ht="18.75" customHeight="1" x14ac:dyDescent="0.25">
      <c r="A31" s="7">
        <v>130</v>
      </c>
      <c r="B31" s="82">
        <v>2.048</v>
      </c>
      <c r="C31" s="83">
        <v>2553.4</v>
      </c>
      <c r="D31" s="83">
        <v>2737.7</v>
      </c>
      <c r="E31" s="82">
        <v>7.5686999999999998</v>
      </c>
      <c r="F31" s="82"/>
      <c r="G31" s="28"/>
    </row>
    <row r="32" spans="1:7" ht="18.75" customHeight="1" x14ac:dyDescent="0.25">
      <c r="A32" s="7">
        <v>135</v>
      </c>
      <c r="B32" s="82">
        <v>2.0745</v>
      </c>
      <c r="C32" s="83">
        <v>2560.9</v>
      </c>
      <c r="D32" s="83">
        <v>2747.6</v>
      </c>
      <c r="E32" s="82">
        <v>7.5932000000000004</v>
      </c>
      <c r="F32" s="82"/>
      <c r="G32" s="28"/>
    </row>
    <row r="33" spans="1:7" ht="18.75" customHeight="1" x14ac:dyDescent="0.25">
      <c r="A33" s="7">
        <v>140</v>
      </c>
      <c r="B33" s="82">
        <v>2.101</v>
      </c>
      <c r="C33" s="83">
        <v>2568.4</v>
      </c>
      <c r="D33" s="83">
        <v>2757.5</v>
      </c>
      <c r="E33" s="82">
        <v>7.6173999999999999</v>
      </c>
      <c r="F33" s="82"/>
      <c r="G33" s="28"/>
    </row>
    <row r="34" spans="1:7" ht="18.75" customHeight="1" x14ac:dyDescent="0.25">
      <c r="A34" s="7">
        <v>145</v>
      </c>
      <c r="B34" s="82">
        <v>2.1273</v>
      </c>
      <c r="C34" s="83">
        <v>2575.9</v>
      </c>
      <c r="D34" s="83">
        <v>2767.4</v>
      </c>
      <c r="E34" s="82">
        <v>7.6412000000000004</v>
      </c>
      <c r="F34" s="82"/>
      <c r="G34" s="28"/>
    </row>
    <row r="35" spans="1:7" ht="18.75" customHeight="1" x14ac:dyDescent="0.25">
      <c r="A35" s="7">
        <v>150</v>
      </c>
      <c r="B35" s="82">
        <v>2.1537000000000002</v>
      </c>
      <c r="C35" s="83">
        <v>2583.5</v>
      </c>
      <c r="D35" s="83">
        <v>2777.3</v>
      </c>
      <c r="E35" s="82">
        <v>7.6646999999999998</v>
      </c>
      <c r="F35" s="82"/>
      <c r="G35" s="28"/>
    </row>
    <row r="36" spans="1:7" ht="18.75" customHeight="1" x14ac:dyDescent="0.25">
      <c r="A36" s="7">
        <v>155</v>
      </c>
      <c r="B36" s="82">
        <v>2.1800000000000002</v>
      </c>
      <c r="C36" s="83">
        <v>2591</v>
      </c>
      <c r="D36" s="83">
        <v>2787.2</v>
      </c>
      <c r="E36" s="82">
        <v>7.6879</v>
      </c>
      <c r="F36" s="82"/>
      <c r="G36" s="28"/>
    </row>
    <row r="37" spans="1:7" ht="18.75" customHeight="1" x14ac:dyDescent="0.25">
      <c r="A37" s="7">
        <v>160</v>
      </c>
      <c r="B37" s="82">
        <v>2.2061999999999999</v>
      </c>
      <c r="C37" s="83">
        <v>2598.5</v>
      </c>
      <c r="D37" s="83">
        <v>2797.1</v>
      </c>
      <c r="E37" s="82">
        <v>7.7107999999999999</v>
      </c>
      <c r="F37" s="82"/>
      <c r="G37" s="28"/>
    </row>
    <row r="38" spans="1:7" ht="18.75" customHeight="1" x14ac:dyDescent="0.25">
      <c r="A38" s="7">
        <v>165</v>
      </c>
      <c r="B38" s="82">
        <v>2.2324000000000002</v>
      </c>
      <c r="C38" s="83">
        <v>2606</v>
      </c>
      <c r="D38" s="83">
        <v>2806.9</v>
      </c>
      <c r="E38" s="82">
        <v>7.7335000000000003</v>
      </c>
      <c r="F38" s="82"/>
      <c r="G38" s="28"/>
    </row>
    <row r="39" spans="1:7" ht="18.75" customHeight="1" x14ac:dyDescent="0.25">
      <c r="A39" s="7">
        <v>170</v>
      </c>
      <c r="B39" s="82">
        <v>2.2585999999999999</v>
      </c>
      <c r="C39" s="83">
        <v>2613.5</v>
      </c>
      <c r="D39" s="83">
        <v>2816.8</v>
      </c>
      <c r="E39" s="82">
        <v>7.7558999999999996</v>
      </c>
      <c r="F39" s="82"/>
      <c r="G39" s="28"/>
    </row>
    <row r="40" spans="1:7" ht="18.75" customHeight="1" x14ac:dyDescent="0.25">
      <c r="A40" s="7">
        <v>175</v>
      </c>
      <c r="B40" s="82">
        <v>2.2847</v>
      </c>
      <c r="C40" s="83">
        <v>2621.1</v>
      </c>
      <c r="D40" s="83">
        <v>2826.7</v>
      </c>
      <c r="E40" s="82">
        <v>7.7779999999999996</v>
      </c>
      <c r="F40" s="82"/>
      <c r="G40" s="28"/>
    </row>
    <row r="41" spans="1:7" ht="18.75" customHeight="1" x14ac:dyDescent="0.25">
      <c r="A41" s="7">
        <v>180</v>
      </c>
      <c r="B41" s="82">
        <v>2.3109000000000002</v>
      </c>
      <c r="C41" s="83">
        <v>2628.5</v>
      </c>
      <c r="D41" s="83">
        <v>2836.5</v>
      </c>
      <c r="E41" s="82">
        <v>7.7998000000000003</v>
      </c>
      <c r="F41" s="82"/>
      <c r="G41" s="28"/>
    </row>
    <row r="42" spans="1:7" ht="18.75" customHeight="1" x14ac:dyDescent="0.25">
      <c r="A42" s="7">
        <v>185</v>
      </c>
      <c r="B42" s="82">
        <v>2.3369</v>
      </c>
      <c r="C42" s="83">
        <v>2636.1</v>
      </c>
      <c r="D42" s="83">
        <v>2846.4</v>
      </c>
      <c r="E42" s="82">
        <v>7.8213999999999997</v>
      </c>
      <c r="F42" s="82"/>
      <c r="G42" s="28"/>
    </row>
    <row r="43" spans="1:7" ht="18.75" customHeight="1" x14ac:dyDescent="0.25">
      <c r="A43" s="7">
        <v>190</v>
      </c>
      <c r="B43" s="82">
        <v>2.363</v>
      </c>
      <c r="C43" s="83">
        <v>2643.5</v>
      </c>
      <c r="D43" s="83">
        <v>2856.2</v>
      </c>
      <c r="E43" s="82">
        <v>7.8428000000000004</v>
      </c>
      <c r="F43" s="82"/>
      <c r="G43" s="28"/>
    </row>
    <row r="44" spans="1:7" ht="18.75" customHeight="1" x14ac:dyDescent="0.25">
      <c r="A44" s="7">
        <v>195</v>
      </c>
      <c r="B44" s="82">
        <v>2.3891</v>
      </c>
      <c r="C44" s="83">
        <v>2651.1</v>
      </c>
      <c r="D44" s="83">
        <v>2866.1</v>
      </c>
      <c r="E44" s="82">
        <v>7.8639999999999999</v>
      </c>
      <c r="F44" s="82"/>
      <c r="G44" s="28"/>
    </row>
    <row r="45" spans="1:7" ht="18.75" customHeight="1" x14ac:dyDescent="0.25">
      <c r="A45" s="7">
        <v>200</v>
      </c>
      <c r="B45" s="82">
        <v>2.4150999999999998</v>
      </c>
      <c r="C45" s="83">
        <v>2658.5</v>
      </c>
      <c r="D45" s="83">
        <v>2875.9</v>
      </c>
      <c r="E45" s="82">
        <v>7.8849</v>
      </c>
      <c r="F45" s="82"/>
      <c r="G45" s="28"/>
    </row>
    <row r="46" spans="1:7" ht="18.75" customHeight="1" x14ac:dyDescent="0.25">
      <c r="A46" s="7">
        <v>210</v>
      </c>
      <c r="B46" s="82">
        <v>2.4670999999999998</v>
      </c>
      <c r="C46" s="83">
        <v>2673.6</v>
      </c>
      <c r="D46" s="83">
        <v>2895.6</v>
      </c>
      <c r="E46" s="82">
        <v>7.9261999999999997</v>
      </c>
      <c r="F46" s="82"/>
      <c r="G46" s="28"/>
    </row>
    <row r="47" spans="1:7" ht="18.75" customHeight="1" x14ac:dyDescent="0.25">
      <c r="A47" s="7">
        <v>220</v>
      </c>
      <c r="B47" s="82">
        <v>2.5190000000000001</v>
      </c>
      <c r="C47" s="83">
        <v>2688.7</v>
      </c>
      <c r="D47" s="83">
        <v>2915.4</v>
      </c>
      <c r="E47" s="82">
        <v>7.9667000000000003</v>
      </c>
      <c r="F47" s="82"/>
      <c r="G47" s="28"/>
    </row>
    <row r="48" spans="1:7" ht="18.75" customHeight="1" x14ac:dyDescent="0.25">
      <c r="A48" s="7">
        <v>230</v>
      </c>
      <c r="B48" s="82">
        <v>2.5708000000000002</v>
      </c>
      <c r="C48" s="83">
        <v>2703.8</v>
      </c>
      <c r="D48" s="83">
        <v>2935.2</v>
      </c>
      <c r="E48" s="82">
        <v>8.0063999999999993</v>
      </c>
      <c r="F48" s="82"/>
      <c r="G48" s="28"/>
    </row>
    <row r="49" spans="1:7" ht="18.75" customHeight="1" x14ac:dyDescent="0.25">
      <c r="A49" s="7">
        <v>240</v>
      </c>
      <c r="B49" s="82">
        <v>2.6227</v>
      </c>
      <c r="C49" s="83">
        <v>2719</v>
      </c>
      <c r="D49" s="83">
        <v>2955</v>
      </c>
      <c r="E49" s="82">
        <v>8.0454000000000008</v>
      </c>
      <c r="F49" s="82"/>
      <c r="G49" s="28"/>
    </row>
    <row r="50" spans="1:7" ht="18.75" customHeight="1" x14ac:dyDescent="0.25">
      <c r="A50" s="7">
        <v>250</v>
      </c>
      <c r="B50" s="82">
        <v>2.6743999999999999</v>
      </c>
      <c r="C50" s="83">
        <v>2734.1</v>
      </c>
      <c r="D50" s="83">
        <v>2974.8</v>
      </c>
      <c r="E50" s="82">
        <v>8.0837000000000003</v>
      </c>
      <c r="F50" s="82"/>
      <c r="G50" s="28"/>
    </row>
    <row r="51" spans="1:7" ht="18.75" customHeight="1" x14ac:dyDescent="0.25">
      <c r="A51" s="7">
        <v>260</v>
      </c>
      <c r="B51" s="82">
        <v>2.7262</v>
      </c>
      <c r="C51" s="83">
        <v>2749.3</v>
      </c>
      <c r="D51" s="83">
        <v>2994.7</v>
      </c>
      <c r="E51" s="82">
        <v>8.1212999999999997</v>
      </c>
      <c r="F51" s="82"/>
      <c r="G51" s="28"/>
    </row>
    <row r="52" spans="1:7" ht="18.75" customHeight="1" x14ac:dyDescent="0.25">
      <c r="A52" s="7">
        <v>270</v>
      </c>
      <c r="B52" s="82">
        <v>2.7778999999999998</v>
      </c>
      <c r="C52" s="83">
        <v>2764.7</v>
      </c>
      <c r="D52" s="83">
        <v>3014.7</v>
      </c>
      <c r="E52" s="82">
        <v>8.1584000000000003</v>
      </c>
      <c r="F52" s="82"/>
      <c r="G52" s="28"/>
    </row>
    <row r="53" spans="1:7" ht="18.75" customHeight="1" x14ac:dyDescent="0.25">
      <c r="A53" s="7">
        <v>280</v>
      </c>
      <c r="B53" s="82">
        <v>2.8294999999999999</v>
      </c>
      <c r="C53" s="83">
        <v>2780</v>
      </c>
      <c r="D53" s="83">
        <v>3034.7</v>
      </c>
      <c r="E53" s="82">
        <v>8.1949000000000005</v>
      </c>
      <c r="F53" s="82"/>
      <c r="G53" s="28"/>
    </row>
    <row r="54" spans="1:7" ht="18.75" customHeight="1" x14ac:dyDescent="0.25">
      <c r="A54" s="7">
        <v>290</v>
      </c>
      <c r="B54" s="82">
        <v>2.8811</v>
      </c>
      <c r="C54" s="83">
        <v>2795.4</v>
      </c>
      <c r="D54" s="83">
        <v>3054.7</v>
      </c>
      <c r="E54" s="82">
        <v>8.2307000000000006</v>
      </c>
      <c r="F54" s="82"/>
      <c r="G54" s="28"/>
    </row>
    <row r="55" spans="1:7" ht="18.75" customHeight="1" x14ac:dyDescent="0.25">
      <c r="A55" s="7">
        <v>300</v>
      </c>
      <c r="B55" s="82">
        <v>2.9327999999999999</v>
      </c>
      <c r="C55" s="83">
        <v>2810.8</v>
      </c>
      <c r="D55" s="83">
        <v>3074.8</v>
      </c>
      <c r="E55" s="82">
        <v>8.2660999999999998</v>
      </c>
      <c r="F55" s="82"/>
      <c r="G55" s="28"/>
    </row>
    <row r="56" spans="1:7" ht="18.75" customHeight="1" x14ac:dyDescent="0.25">
      <c r="A56" s="7">
        <v>310</v>
      </c>
      <c r="B56" s="82">
        <v>2.9843000000000002</v>
      </c>
      <c r="C56" s="83">
        <v>2826.3</v>
      </c>
      <c r="D56" s="83">
        <v>3094.9</v>
      </c>
      <c r="E56" s="82">
        <v>8.3009000000000004</v>
      </c>
      <c r="F56" s="82"/>
      <c r="G56" s="28"/>
    </row>
    <row r="57" spans="1:7" ht="18.75" customHeight="1" x14ac:dyDescent="0.25">
      <c r="A57" s="7">
        <v>320</v>
      </c>
      <c r="B57" s="82">
        <v>3.0358999999999998</v>
      </c>
      <c r="C57" s="83">
        <v>2841.9</v>
      </c>
      <c r="D57" s="83">
        <v>3115.1</v>
      </c>
      <c r="E57" s="82">
        <v>8.3353000000000002</v>
      </c>
      <c r="F57" s="82"/>
      <c r="G57" s="28"/>
    </row>
    <row r="58" spans="1:7" ht="18.75" customHeight="1" x14ac:dyDescent="0.25">
      <c r="A58" s="7">
        <v>330</v>
      </c>
      <c r="B58" s="82">
        <v>3.0874999999999999</v>
      </c>
      <c r="C58" s="83">
        <v>2857.5</v>
      </c>
      <c r="D58" s="83">
        <v>3135.4</v>
      </c>
      <c r="E58" s="82">
        <v>8.3690999999999995</v>
      </c>
      <c r="F58" s="82"/>
      <c r="G58" s="28"/>
    </row>
    <row r="59" spans="1:7" ht="18.75" customHeight="1" x14ac:dyDescent="0.25">
      <c r="A59" s="7">
        <v>340</v>
      </c>
      <c r="B59" s="82">
        <v>3.1389999999999998</v>
      </c>
      <c r="C59" s="83">
        <v>2873.2</v>
      </c>
      <c r="D59" s="83">
        <v>3155.7</v>
      </c>
      <c r="E59" s="82">
        <v>8.4024999999999999</v>
      </c>
      <c r="F59" s="82"/>
      <c r="G59" s="28"/>
    </row>
    <row r="60" spans="1:7" ht="18.75" customHeight="1" x14ac:dyDescent="0.25">
      <c r="A60" s="7">
        <v>350</v>
      </c>
      <c r="B60" s="82">
        <v>3.1905000000000001</v>
      </c>
      <c r="C60" s="83">
        <v>2888.9</v>
      </c>
      <c r="D60" s="83">
        <v>3176</v>
      </c>
      <c r="E60" s="82">
        <v>8.4353999999999996</v>
      </c>
      <c r="F60" s="82"/>
      <c r="G60" s="28"/>
    </row>
    <row r="61" spans="1:7" ht="18.75" customHeight="1" x14ac:dyDescent="0.25">
      <c r="A61" s="7">
        <v>360</v>
      </c>
      <c r="B61" s="82">
        <v>3.242</v>
      </c>
      <c r="C61" s="83">
        <v>2904.6</v>
      </c>
      <c r="D61" s="83">
        <v>3196.4</v>
      </c>
      <c r="E61" s="82">
        <v>8.4679000000000002</v>
      </c>
      <c r="F61" s="82"/>
      <c r="G61" s="28"/>
    </row>
    <row r="62" spans="1:7" ht="18.75" customHeight="1" x14ac:dyDescent="0.25">
      <c r="A62" s="7">
        <v>370</v>
      </c>
      <c r="B62" s="82">
        <v>3.2934999999999999</v>
      </c>
      <c r="C62" s="83">
        <v>2920.5</v>
      </c>
      <c r="D62" s="83">
        <v>3216.9</v>
      </c>
      <c r="E62" s="82">
        <v>8.5</v>
      </c>
      <c r="F62" s="82"/>
      <c r="G62" s="28"/>
    </row>
    <row r="63" spans="1:7" ht="18.75" customHeight="1" x14ac:dyDescent="0.25">
      <c r="A63" s="7">
        <v>380</v>
      </c>
      <c r="B63" s="82">
        <v>3.3450000000000002</v>
      </c>
      <c r="C63" s="83">
        <v>2936.4</v>
      </c>
      <c r="D63" s="83">
        <v>3237.5</v>
      </c>
      <c r="E63" s="82">
        <v>8.5317000000000007</v>
      </c>
      <c r="F63" s="82"/>
      <c r="G63" s="28"/>
    </row>
    <row r="64" spans="1:7" ht="18.75" customHeight="1" x14ac:dyDescent="0.25">
      <c r="A64" s="7">
        <v>390</v>
      </c>
      <c r="B64" s="82">
        <v>3.3963999999999999</v>
      </c>
      <c r="C64" s="83">
        <v>2952.4</v>
      </c>
      <c r="D64" s="83">
        <v>3258.1</v>
      </c>
      <c r="E64" s="82">
        <v>8.5630000000000006</v>
      </c>
      <c r="F64" s="82"/>
      <c r="G64" s="28"/>
    </row>
    <row r="65" spans="1:7" ht="18.75" customHeight="1" x14ac:dyDescent="0.25">
      <c r="A65" s="7">
        <v>400</v>
      </c>
      <c r="B65" s="82">
        <v>3.4479000000000002</v>
      </c>
      <c r="C65" s="83">
        <v>2968.4</v>
      </c>
      <c r="D65" s="83">
        <v>3278.7</v>
      </c>
      <c r="E65" s="82">
        <v>8.5938999999999997</v>
      </c>
      <c r="F65" s="82"/>
      <c r="G65" s="28"/>
    </row>
    <row r="66" spans="1:7" ht="18.75" customHeight="1" x14ac:dyDescent="0.25">
      <c r="A66" s="7">
        <v>410</v>
      </c>
      <c r="B66" s="82">
        <v>3.4992999999999999</v>
      </c>
      <c r="C66" s="83">
        <v>2984.5</v>
      </c>
      <c r="D66" s="83">
        <v>3299.4</v>
      </c>
      <c r="E66" s="82">
        <v>8.6244999999999994</v>
      </c>
      <c r="F66" s="82"/>
      <c r="G66" s="28"/>
    </row>
    <row r="67" spans="1:7" ht="18.75" customHeight="1" x14ac:dyDescent="0.25">
      <c r="A67" s="7">
        <v>420</v>
      </c>
      <c r="B67" s="82">
        <v>3.5508000000000002</v>
      </c>
      <c r="C67" s="83">
        <v>3000.6</v>
      </c>
      <c r="D67" s="83">
        <v>3320.2</v>
      </c>
      <c r="E67" s="82">
        <v>8.6547000000000001</v>
      </c>
      <c r="F67" s="82"/>
      <c r="G67" s="28"/>
    </row>
    <row r="68" spans="1:7" ht="18.75" customHeight="1" x14ac:dyDescent="0.25">
      <c r="A68" s="7">
        <v>430</v>
      </c>
      <c r="B68" s="82">
        <v>3.6021999999999998</v>
      </c>
      <c r="C68" s="83">
        <v>3016.9</v>
      </c>
      <c r="D68" s="83">
        <v>3341.1</v>
      </c>
      <c r="E68" s="82">
        <v>8.6845999999999997</v>
      </c>
      <c r="F68" s="82"/>
      <c r="G68" s="28"/>
    </row>
    <row r="69" spans="1:7" ht="18.75" customHeight="1" x14ac:dyDescent="0.25">
      <c r="A69" s="7">
        <v>440</v>
      </c>
      <c r="B69" s="82">
        <v>3.6536</v>
      </c>
      <c r="C69" s="83">
        <v>3033.2</v>
      </c>
      <c r="D69" s="83">
        <v>3362</v>
      </c>
      <c r="E69" s="82">
        <v>8.7141000000000002</v>
      </c>
      <c r="F69" s="82"/>
      <c r="G69" s="28"/>
    </row>
    <row r="70" spans="1:7" ht="18.75" customHeight="1" x14ac:dyDescent="0.25">
      <c r="A70" s="7">
        <v>450</v>
      </c>
      <c r="B70" s="82">
        <v>3.7050000000000001</v>
      </c>
      <c r="C70" s="83">
        <v>3049.6</v>
      </c>
      <c r="D70" s="83">
        <v>3383</v>
      </c>
      <c r="E70" s="82">
        <v>8.7432999999999996</v>
      </c>
      <c r="F70" s="82"/>
      <c r="G70" s="28"/>
    </row>
    <row r="71" spans="1:7" ht="18.75" customHeight="1" x14ac:dyDescent="0.25">
      <c r="A71" s="7">
        <v>460</v>
      </c>
      <c r="B71" s="82">
        <v>3.7564000000000002</v>
      </c>
      <c r="C71" s="83">
        <v>3065.9</v>
      </c>
      <c r="D71" s="83">
        <v>3404</v>
      </c>
      <c r="E71" s="82">
        <v>8.7721999999999998</v>
      </c>
      <c r="F71" s="82"/>
      <c r="G71" s="28"/>
    </row>
    <row r="72" spans="1:7" ht="18.75" customHeight="1" x14ac:dyDescent="0.25">
      <c r="A72" s="7">
        <v>470</v>
      </c>
      <c r="B72" s="82">
        <v>3.8077999999999999</v>
      </c>
      <c r="C72" s="83">
        <v>3082.4</v>
      </c>
      <c r="D72" s="83">
        <v>3425.1</v>
      </c>
      <c r="E72" s="82">
        <v>8.8008000000000006</v>
      </c>
      <c r="F72" s="82"/>
      <c r="G72" s="28"/>
    </row>
    <row r="73" spans="1:7" ht="18.75" customHeight="1" x14ac:dyDescent="0.25">
      <c r="A73" s="7">
        <v>480</v>
      </c>
      <c r="B73" s="82">
        <v>3.8592</v>
      </c>
      <c r="C73" s="83">
        <v>3099</v>
      </c>
      <c r="D73" s="83">
        <v>3446.3</v>
      </c>
      <c r="E73" s="82">
        <v>8.8291000000000004</v>
      </c>
      <c r="F73" s="82"/>
      <c r="G73" s="28"/>
    </row>
    <row r="74" spans="1:7" ht="18.75" customHeight="1" x14ac:dyDescent="0.25">
      <c r="A74" s="7">
        <v>490</v>
      </c>
      <c r="B74" s="82">
        <v>3.9106000000000001</v>
      </c>
      <c r="C74" s="83">
        <v>3115.5</v>
      </c>
      <c r="D74" s="83">
        <v>3467.5</v>
      </c>
      <c r="E74" s="82">
        <v>8.8571000000000009</v>
      </c>
      <c r="F74" s="82"/>
      <c r="G74" s="28"/>
    </row>
    <row r="75" spans="1:7" ht="18.75" customHeight="1" x14ac:dyDescent="0.25">
      <c r="A75" s="7">
        <v>500</v>
      </c>
      <c r="B75" s="82">
        <v>3.9620000000000002</v>
      </c>
      <c r="C75" s="83">
        <v>3132.2</v>
      </c>
      <c r="D75" s="83">
        <v>3488.8</v>
      </c>
      <c r="E75" s="82">
        <v>8.8849</v>
      </c>
      <c r="F75" s="82"/>
      <c r="G75" s="28"/>
    </row>
    <row r="76" spans="1:7" ht="18.75" customHeight="1" x14ac:dyDescent="0.25">
      <c r="A76" s="7">
        <v>520</v>
      </c>
      <c r="B76" s="82">
        <v>4.0648</v>
      </c>
      <c r="C76" s="83">
        <v>3165.9</v>
      </c>
      <c r="D76" s="83">
        <v>3531.7</v>
      </c>
      <c r="E76" s="82">
        <v>8.9396000000000004</v>
      </c>
      <c r="F76" s="82"/>
      <c r="G76" s="28"/>
    </row>
    <row r="77" spans="1:7" ht="18.75" customHeight="1" x14ac:dyDescent="0.25">
      <c r="A77" s="7">
        <v>540</v>
      </c>
      <c r="B77" s="82">
        <v>4.1675000000000004</v>
      </c>
      <c r="C77" s="83">
        <v>3199.6</v>
      </c>
      <c r="D77" s="83">
        <v>3574.7</v>
      </c>
      <c r="E77" s="82">
        <v>8.9931999999999999</v>
      </c>
      <c r="F77" s="82"/>
      <c r="G77" s="28"/>
    </row>
    <row r="78" spans="1:7" ht="18.75" customHeight="1" x14ac:dyDescent="0.25">
      <c r="A78" s="7">
        <v>560</v>
      </c>
      <c r="B78" s="82">
        <v>4.2702</v>
      </c>
      <c r="C78" s="83">
        <v>3233.8</v>
      </c>
      <c r="D78" s="83">
        <v>3618.1</v>
      </c>
      <c r="E78" s="82">
        <v>9.0458999999999996</v>
      </c>
      <c r="F78" s="82"/>
      <c r="G78" s="28"/>
    </row>
    <row r="79" spans="1:7" ht="18.75" customHeight="1" x14ac:dyDescent="0.25">
      <c r="A79" s="7">
        <v>580</v>
      </c>
      <c r="B79" s="82">
        <v>4.3728999999999996</v>
      </c>
      <c r="C79" s="83">
        <v>3268.1</v>
      </c>
      <c r="D79" s="83">
        <v>3661.7</v>
      </c>
      <c r="E79" s="82">
        <v>9.0975999999999999</v>
      </c>
      <c r="F79" s="82"/>
      <c r="G79" s="28"/>
    </row>
    <row r="80" spans="1:7" ht="18.75" customHeight="1" x14ac:dyDescent="0.25">
      <c r="A80" s="7">
        <v>600</v>
      </c>
      <c r="B80" s="82">
        <v>4.4756</v>
      </c>
      <c r="C80" s="83">
        <v>3302.9</v>
      </c>
      <c r="D80" s="83">
        <v>3705.7</v>
      </c>
      <c r="E80" s="82">
        <v>9.1485000000000003</v>
      </c>
      <c r="F80" s="82"/>
      <c r="G80" s="28"/>
    </row>
    <row r="81" spans="1:7" ht="18.75" customHeight="1" x14ac:dyDescent="0.25">
      <c r="A81" s="7">
        <v>620</v>
      </c>
      <c r="B81" s="82">
        <v>4.5782999999999996</v>
      </c>
      <c r="C81" s="83">
        <v>3337.8</v>
      </c>
      <c r="D81" s="83">
        <v>3749.8</v>
      </c>
      <c r="E81" s="82">
        <v>9.1986000000000008</v>
      </c>
      <c r="F81" s="82"/>
      <c r="G81" s="28"/>
    </row>
    <row r="82" spans="1:7" ht="18.75" customHeight="1" x14ac:dyDescent="0.25">
      <c r="A82" s="7">
        <v>640</v>
      </c>
      <c r="B82" s="82">
        <v>4.681</v>
      </c>
      <c r="C82" s="83">
        <v>3373</v>
      </c>
      <c r="D82" s="83">
        <v>3794.3</v>
      </c>
      <c r="E82" s="82">
        <v>9.2477999999999998</v>
      </c>
      <c r="F82" s="82"/>
      <c r="G82" s="28"/>
    </row>
    <row r="83" spans="1:7" ht="18.75" customHeight="1" x14ac:dyDescent="0.25">
      <c r="A83" s="7">
        <v>660</v>
      </c>
      <c r="B83" s="82">
        <v>4.7836999999999996</v>
      </c>
      <c r="C83" s="83">
        <v>3408.6</v>
      </c>
      <c r="D83" s="83">
        <v>3839.1</v>
      </c>
      <c r="E83" s="82">
        <v>9.2963000000000005</v>
      </c>
      <c r="F83" s="82"/>
      <c r="G83" s="28"/>
    </row>
    <row r="84" spans="1:7" ht="18.75" customHeight="1" x14ac:dyDescent="0.25">
      <c r="A84" s="7">
        <v>680</v>
      </c>
      <c r="B84" s="82">
        <v>4.8863000000000003</v>
      </c>
      <c r="C84" s="83">
        <v>3444.3</v>
      </c>
      <c r="D84" s="83">
        <v>3884.1</v>
      </c>
      <c r="E84" s="82">
        <v>9.3439999999999994</v>
      </c>
      <c r="F84" s="82"/>
      <c r="G84" s="28"/>
    </row>
    <row r="85" spans="1:7" ht="18.75" customHeight="1" x14ac:dyDescent="0.25">
      <c r="A85" s="7">
        <v>700</v>
      </c>
      <c r="B85" s="82">
        <v>4.9889999999999999</v>
      </c>
      <c r="C85" s="83">
        <v>3480.4</v>
      </c>
      <c r="D85" s="83">
        <v>3929.4</v>
      </c>
      <c r="E85" s="82">
        <v>9.3910999999999998</v>
      </c>
      <c r="F85" s="82"/>
      <c r="G85" s="28"/>
    </row>
    <row r="86" spans="1:7" ht="18.75" customHeight="1" x14ac:dyDescent="0.25">
      <c r="A86" s="7">
        <v>720</v>
      </c>
      <c r="B86" s="82">
        <v>5.0915999999999997</v>
      </c>
      <c r="C86" s="83">
        <v>3516.8</v>
      </c>
      <c r="D86" s="83">
        <v>3975</v>
      </c>
      <c r="E86" s="82">
        <v>9.4375</v>
      </c>
      <c r="F86" s="82"/>
      <c r="G86" s="28"/>
    </row>
    <row r="87" spans="1:7" ht="18.75" customHeight="1" x14ac:dyDescent="0.25">
      <c r="A87" s="7">
        <v>740</v>
      </c>
      <c r="B87" s="82">
        <v>5.1943000000000001</v>
      </c>
      <c r="C87" s="83">
        <v>3553.4</v>
      </c>
      <c r="D87" s="83">
        <v>4020.9</v>
      </c>
      <c r="E87" s="82">
        <v>9.4832000000000001</v>
      </c>
      <c r="F87" s="82"/>
      <c r="G87" s="28"/>
    </row>
    <row r="88" spans="1:7" ht="18.75" customHeight="1" x14ac:dyDescent="0.25">
      <c r="A88" s="7">
        <v>760</v>
      </c>
      <c r="B88" s="82">
        <v>5.2968999999999999</v>
      </c>
      <c r="C88" s="83">
        <v>3590.4</v>
      </c>
      <c r="D88" s="83">
        <v>4067.1</v>
      </c>
      <c r="E88" s="82">
        <v>9.5282999999999998</v>
      </c>
      <c r="F88" s="82"/>
      <c r="G88" s="28"/>
    </row>
    <row r="89" spans="1:7" ht="18.75" customHeight="1" x14ac:dyDescent="0.25">
      <c r="A89" s="7">
        <v>780</v>
      </c>
      <c r="B89" s="82">
        <v>5.3996000000000004</v>
      </c>
      <c r="C89" s="83">
        <v>3627.5</v>
      </c>
      <c r="D89" s="83">
        <v>4113.5</v>
      </c>
      <c r="E89" s="82">
        <v>9.5729000000000006</v>
      </c>
      <c r="F89" s="82"/>
      <c r="G89" s="28"/>
    </row>
    <row r="90" spans="1:7" ht="18.75" customHeight="1" x14ac:dyDescent="0.25">
      <c r="A90" s="7">
        <v>800</v>
      </c>
      <c r="B90" s="82">
        <v>5.5022000000000002</v>
      </c>
      <c r="C90" s="83">
        <v>3665.1</v>
      </c>
      <c r="D90" s="83">
        <v>4160.3</v>
      </c>
      <c r="E90" s="82">
        <v>9.6167999999999996</v>
      </c>
      <c r="F90" s="82"/>
      <c r="G90" s="28"/>
    </row>
    <row r="91" spans="1:7" ht="18.75" customHeight="1" x14ac:dyDescent="0.25">
      <c r="A91" s="7">
        <v>820</v>
      </c>
      <c r="B91" s="82">
        <v>5.6048</v>
      </c>
      <c r="C91" s="83">
        <v>3702.9</v>
      </c>
      <c r="D91" s="83">
        <v>4207.3</v>
      </c>
      <c r="E91" s="82">
        <v>9.6601999999999997</v>
      </c>
      <c r="F91" s="82"/>
      <c r="G91" s="28"/>
    </row>
    <row r="92" spans="1:7" ht="18.75" customHeight="1" x14ac:dyDescent="0.25">
      <c r="A92" s="7">
        <v>840</v>
      </c>
      <c r="B92" s="82">
        <v>5.7073999999999998</v>
      </c>
      <c r="C92" s="83">
        <v>3740.8</v>
      </c>
      <c r="D92" s="83">
        <v>4254.5</v>
      </c>
      <c r="E92" s="82">
        <v>9.7030999999999992</v>
      </c>
      <c r="F92" s="82"/>
      <c r="G92" s="28"/>
    </row>
    <row r="93" spans="1:7" ht="18.75" customHeight="1" x14ac:dyDescent="0.25">
      <c r="A93" s="7">
        <v>860</v>
      </c>
      <c r="B93" s="82">
        <v>5.8101000000000003</v>
      </c>
      <c r="C93" s="83">
        <v>3779.2</v>
      </c>
      <c r="D93" s="83">
        <v>4302.1000000000004</v>
      </c>
      <c r="E93" s="82">
        <v>9.7454000000000001</v>
      </c>
      <c r="F93" s="82"/>
      <c r="G93" s="28"/>
    </row>
    <row r="94" spans="1:7" ht="18.75" customHeight="1" x14ac:dyDescent="0.25">
      <c r="A94" s="7">
        <v>880</v>
      </c>
      <c r="B94" s="82">
        <v>5.9127000000000001</v>
      </c>
      <c r="C94" s="83">
        <v>3817.8</v>
      </c>
      <c r="D94" s="83">
        <v>4349.8999999999996</v>
      </c>
      <c r="E94" s="82">
        <v>9.7873000000000001</v>
      </c>
      <c r="F94" s="82"/>
      <c r="G94" s="28"/>
    </row>
    <row r="95" spans="1:7" ht="18.75" customHeight="1" x14ac:dyDescent="0.25">
      <c r="A95" s="7">
        <v>900</v>
      </c>
      <c r="B95" s="82">
        <v>6.0152999999999999</v>
      </c>
      <c r="C95" s="83">
        <v>3856.6</v>
      </c>
      <c r="D95" s="83">
        <v>4398</v>
      </c>
      <c r="E95" s="82">
        <v>9.8285999999999998</v>
      </c>
      <c r="F95" s="82"/>
      <c r="G95" s="28"/>
    </row>
    <row r="96" spans="1:7" ht="18.75" customHeight="1" x14ac:dyDescent="0.25">
      <c r="A96" s="7">
        <v>920</v>
      </c>
      <c r="B96" s="82">
        <v>6.1178999999999997</v>
      </c>
      <c r="C96" s="83">
        <v>3895.8</v>
      </c>
      <c r="D96" s="83">
        <v>4446.3999999999996</v>
      </c>
      <c r="E96" s="82">
        <v>9.8695000000000004</v>
      </c>
      <c r="F96" s="82"/>
      <c r="G96" s="28"/>
    </row>
    <row r="97" spans="1:7" ht="18.75" customHeight="1" x14ac:dyDescent="0.25">
      <c r="A97" s="7">
        <v>940</v>
      </c>
      <c r="B97" s="82">
        <v>6.2205000000000004</v>
      </c>
      <c r="C97" s="83">
        <v>3935.3</v>
      </c>
      <c r="D97" s="83">
        <v>4495.1000000000004</v>
      </c>
      <c r="E97" s="82">
        <v>9.9099000000000004</v>
      </c>
      <c r="F97" s="82"/>
      <c r="G97" s="28"/>
    </row>
    <row r="98" spans="1:7" ht="18.75" customHeight="1" x14ac:dyDescent="0.25">
      <c r="A98" s="7">
        <v>960</v>
      </c>
      <c r="B98" s="82">
        <v>6.3231000000000002</v>
      </c>
      <c r="C98" s="83">
        <v>3974.9</v>
      </c>
      <c r="D98" s="83">
        <v>4544</v>
      </c>
      <c r="E98" s="82">
        <v>9.9498999999999995</v>
      </c>
      <c r="F98" s="82"/>
      <c r="G98" s="28"/>
    </row>
    <row r="99" spans="1:7" ht="18.75" customHeight="1" x14ac:dyDescent="0.25">
      <c r="A99" s="7">
        <v>980</v>
      </c>
      <c r="B99" s="82">
        <v>6.4257</v>
      </c>
      <c r="C99" s="83">
        <v>4014.9</v>
      </c>
      <c r="D99" s="83">
        <v>4593.2</v>
      </c>
      <c r="E99" s="82">
        <v>9.9894999999999996</v>
      </c>
      <c r="F99" s="82"/>
      <c r="G99" s="28"/>
    </row>
    <row r="100" spans="1:7" ht="13.8" x14ac:dyDescent="0.25">
      <c r="A100" s="7">
        <v>1000</v>
      </c>
      <c r="B100" s="82">
        <v>6.5282999999999998</v>
      </c>
      <c r="C100" s="83">
        <v>4055.1</v>
      </c>
      <c r="D100" s="83">
        <v>4642.6000000000004</v>
      </c>
      <c r="E100" s="46">
        <v>10.029</v>
      </c>
      <c r="F100" s="46"/>
    </row>
  </sheetData>
  <mergeCells count="1">
    <mergeCell ref="A1:H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100"/>
  <sheetViews>
    <sheetView topLeftCell="A15" workbookViewId="0">
      <selection activeCell="A25" sqref="A25:XFD25"/>
    </sheetView>
  </sheetViews>
  <sheetFormatPr defaultRowHeight="13.2" x14ac:dyDescent="0.25"/>
  <cols>
    <col min="1" max="1" width="6.21875" customWidth="1"/>
    <col min="2" max="2" width="11.33203125" customWidth="1"/>
    <col min="3" max="3" width="6.88671875" customWidth="1"/>
    <col min="4" max="4" width="6.6640625" customWidth="1"/>
    <col min="5" max="5" width="6.88671875" customWidth="1"/>
    <col min="6" max="6" width="3.5546875" customWidth="1"/>
    <col min="7" max="7" width="6.88671875" customWidth="1"/>
    <col min="8" max="8" width="76.88671875" customWidth="1"/>
  </cols>
  <sheetData>
    <row r="1" spans="1:8" ht="18.75" customHeight="1" x14ac:dyDescent="0.25">
      <c r="A1" s="193" t="s">
        <v>41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100</v>
      </c>
      <c r="G2" s="28"/>
    </row>
    <row r="3" spans="1:8" ht="18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</row>
    <row r="5" spans="1:8" ht="18.75" customHeight="1" x14ac:dyDescent="0.25">
      <c r="A5" s="73">
        <v>0</v>
      </c>
      <c r="B5" s="79">
        <v>1.0001599999999999E-3</v>
      </c>
      <c r="C5" s="80">
        <v>-0.04</v>
      </c>
      <c r="D5" s="80">
        <v>0.06</v>
      </c>
      <c r="E5" s="81">
        <v>-1.4999999999999999E-4</v>
      </c>
      <c r="F5" s="81"/>
      <c r="G5" s="28"/>
    </row>
    <row r="6" spans="1:8" ht="18.75" customHeight="1" x14ac:dyDescent="0.25">
      <c r="A6" s="87">
        <v>5</v>
      </c>
      <c r="B6" s="79">
        <v>1.0000300000000001E-3</v>
      </c>
      <c r="C6" s="80">
        <v>21.02</v>
      </c>
      <c r="D6" s="80">
        <v>21.12</v>
      </c>
      <c r="E6" s="81">
        <v>7.6249999999999998E-2</v>
      </c>
      <c r="F6" s="81"/>
      <c r="G6" s="28"/>
    </row>
    <row r="7" spans="1:8" ht="18.75" customHeight="1" x14ac:dyDescent="0.25">
      <c r="A7" s="87">
        <v>10</v>
      </c>
      <c r="B7" s="79">
        <v>1.0003E-3</v>
      </c>
      <c r="C7" s="80">
        <v>42.02</v>
      </c>
      <c r="D7" s="80">
        <v>42.12</v>
      </c>
      <c r="E7" s="81">
        <v>0.15107999999999999</v>
      </c>
      <c r="F7" s="81"/>
      <c r="G7" s="28"/>
    </row>
    <row r="8" spans="1:8" ht="18.75" customHeight="1" x14ac:dyDescent="0.25">
      <c r="A8" s="87">
        <v>15</v>
      </c>
      <c r="B8" s="79">
        <v>1.0009000000000001E-3</v>
      </c>
      <c r="C8" s="80">
        <v>62.98</v>
      </c>
      <c r="D8" s="80">
        <v>63.08</v>
      </c>
      <c r="E8" s="81">
        <v>0.22445000000000001</v>
      </c>
      <c r="F8" s="81"/>
      <c r="G8" s="28"/>
    </row>
    <row r="9" spans="1:8" ht="18.75" customHeight="1" x14ac:dyDescent="0.25">
      <c r="A9" s="87">
        <v>20</v>
      </c>
      <c r="B9" s="79">
        <v>1.0018E-3</v>
      </c>
      <c r="C9" s="80">
        <v>83.91</v>
      </c>
      <c r="D9" s="80">
        <v>84.01</v>
      </c>
      <c r="E9" s="81">
        <v>0.29646</v>
      </c>
      <c r="F9" s="81"/>
      <c r="G9" s="28"/>
    </row>
    <row r="10" spans="1:8" ht="18.75" customHeight="1" x14ac:dyDescent="0.25">
      <c r="A10" s="87">
        <v>25</v>
      </c>
      <c r="B10" s="79">
        <v>1.00296E-3</v>
      </c>
      <c r="C10" s="80">
        <v>104.82</v>
      </c>
      <c r="D10" s="80">
        <v>104.92</v>
      </c>
      <c r="E10" s="81">
        <v>0.36720000000000003</v>
      </c>
      <c r="F10" s="81"/>
      <c r="G10" s="28"/>
    </row>
    <row r="11" spans="1:8" ht="18.75" customHeight="1" x14ac:dyDescent="0.25">
      <c r="A11" s="87">
        <v>30</v>
      </c>
      <c r="B11" s="79">
        <v>1.0043700000000001E-3</v>
      </c>
      <c r="C11" s="80">
        <v>125.72</v>
      </c>
      <c r="D11" s="80">
        <v>125.82</v>
      </c>
      <c r="E11" s="81">
        <v>0.43673000000000001</v>
      </c>
      <c r="F11" s="81"/>
      <c r="G11" s="28"/>
    </row>
    <row r="12" spans="1:8" ht="18.75" customHeight="1" x14ac:dyDescent="0.25">
      <c r="A12" s="87">
        <v>35</v>
      </c>
      <c r="B12" s="79">
        <v>1.0059999999999999E-3</v>
      </c>
      <c r="C12" s="80">
        <v>146.62</v>
      </c>
      <c r="D12" s="80">
        <v>146.72</v>
      </c>
      <c r="E12" s="81">
        <v>0.50509999999999999</v>
      </c>
      <c r="F12" s="81"/>
      <c r="G12" s="28"/>
    </row>
    <row r="13" spans="1:8" ht="18.75" customHeight="1" x14ac:dyDescent="0.25">
      <c r="A13" s="87">
        <v>40</v>
      </c>
      <c r="B13" s="79">
        <v>1.00785E-3</v>
      </c>
      <c r="C13" s="80">
        <v>167.52</v>
      </c>
      <c r="D13" s="80">
        <v>167.62</v>
      </c>
      <c r="E13" s="81">
        <v>0.57237000000000005</v>
      </c>
      <c r="F13" s="81"/>
      <c r="G13" s="28"/>
    </row>
    <row r="14" spans="1:8" ht="18.75" customHeight="1" x14ac:dyDescent="0.25">
      <c r="A14" s="87">
        <v>45</v>
      </c>
      <c r="B14" s="79">
        <v>1.0098799999999999E-3</v>
      </c>
      <c r="C14" s="80">
        <v>188.41</v>
      </c>
      <c r="D14" s="80">
        <v>188.51</v>
      </c>
      <c r="E14" s="81">
        <v>0.63858000000000004</v>
      </c>
      <c r="F14" s="81"/>
      <c r="G14" s="28"/>
    </row>
    <row r="15" spans="1:8" ht="18.75" customHeight="1" x14ac:dyDescent="0.25">
      <c r="A15" s="87">
        <v>50</v>
      </c>
      <c r="B15" s="79">
        <v>1.0121100000000001E-3</v>
      </c>
      <c r="C15" s="80">
        <v>209.32</v>
      </c>
      <c r="D15" s="80">
        <v>209.42</v>
      </c>
      <c r="E15" s="81">
        <v>0.70377000000000001</v>
      </c>
      <c r="F15" s="81"/>
      <c r="G15" s="28"/>
    </row>
    <row r="16" spans="1:8" ht="18.75" customHeight="1" x14ac:dyDescent="0.25">
      <c r="A16" s="87">
        <v>55</v>
      </c>
      <c r="B16" s="79">
        <v>1.0145200000000001E-3</v>
      </c>
      <c r="C16" s="80">
        <v>230.23</v>
      </c>
      <c r="D16" s="80">
        <v>230.33</v>
      </c>
      <c r="E16" s="81">
        <v>0.76798</v>
      </c>
      <c r="F16" s="81"/>
      <c r="G16" s="28"/>
    </row>
    <row r="17" spans="1:7" ht="18.75" customHeight="1" x14ac:dyDescent="0.25">
      <c r="A17" s="87">
        <v>60</v>
      </c>
      <c r="B17" s="79">
        <v>1.01709E-3</v>
      </c>
      <c r="C17" s="80">
        <v>251.15</v>
      </c>
      <c r="D17" s="80">
        <v>251.25</v>
      </c>
      <c r="E17" s="81">
        <v>0.83125000000000004</v>
      </c>
      <c r="F17" s="81"/>
      <c r="G17" s="28"/>
    </row>
    <row r="18" spans="1:7" ht="18.75" customHeight="1" x14ac:dyDescent="0.25">
      <c r="A18" s="87">
        <v>65</v>
      </c>
      <c r="B18" s="79">
        <v>1.0198399999999999E-3</v>
      </c>
      <c r="C18" s="80">
        <v>272.08</v>
      </c>
      <c r="D18" s="80">
        <v>272.18</v>
      </c>
      <c r="E18" s="81">
        <v>0.89361000000000002</v>
      </c>
      <c r="F18" s="81"/>
      <c r="G18" s="28"/>
    </row>
    <row r="19" spans="1:7" ht="18.75" customHeight="1" x14ac:dyDescent="0.25">
      <c r="A19" s="87">
        <v>70</v>
      </c>
      <c r="B19" s="79">
        <v>1.0227400000000001E-3</v>
      </c>
      <c r="C19" s="80">
        <v>293.02</v>
      </c>
      <c r="D19" s="80">
        <v>293.12</v>
      </c>
      <c r="E19" s="81">
        <v>0.95508999999999999</v>
      </c>
      <c r="F19" s="81"/>
      <c r="G19" s="28"/>
    </row>
    <row r="20" spans="1:7" ht="18.75" customHeight="1" x14ac:dyDescent="0.25">
      <c r="A20" s="87">
        <v>75</v>
      </c>
      <c r="B20" s="79">
        <v>1.02581E-3</v>
      </c>
      <c r="C20" s="80">
        <v>313.98</v>
      </c>
      <c r="D20" s="80">
        <v>314.08</v>
      </c>
      <c r="E20" s="82">
        <v>1.0157</v>
      </c>
      <c r="F20" s="82"/>
      <c r="G20" s="28"/>
    </row>
    <row r="21" spans="1:7" ht="18.75" customHeight="1" x14ac:dyDescent="0.25">
      <c r="A21" s="87">
        <v>80</v>
      </c>
      <c r="B21" s="79">
        <v>1.02903E-3</v>
      </c>
      <c r="C21" s="80">
        <v>334.95</v>
      </c>
      <c r="D21" s="80">
        <v>335.05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1.0324100000000001E-3</v>
      </c>
      <c r="C22" s="80">
        <v>355.95</v>
      </c>
      <c r="D22" s="80">
        <v>356.05</v>
      </c>
      <c r="E22" s="82">
        <v>1.1346000000000001</v>
      </c>
      <c r="F22" s="82"/>
      <c r="G22" s="28"/>
    </row>
    <row r="23" spans="1:7" ht="18.75" customHeight="1" x14ac:dyDescent="0.25">
      <c r="A23" s="87">
        <v>90</v>
      </c>
      <c r="B23" s="79">
        <v>1.03594E-3</v>
      </c>
      <c r="C23" s="80">
        <v>376.96</v>
      </c>
      <c r="D23" s="80">
        <v>377.06</v>
      </c>
      <c r="E23" s="82">
        <v>1.1928000000000001</v>
      </c>
      <c r="F23" s="82"/>
      <c r="G23" s="28"/>
    </row>
    <row r="24" spans="1:7" ht="18.75" customHeight="1" x14ac:dyDescent="0.25">
      <c r="A24" s="87">
        <v>95</v>
      </c>
      <c r="B24" s="79">
        <v>1.03962E-3</v>
      </c>
      <c r="C24" s="80">
        <v>398</v>
      </c>
      <c r="D24" s="80">
        <v>398.1</v>
      </c>
      <c r="E24" s="82">
        <v>1.2504</v>
      </c>
      <c r="F24" s="82"/>
      <c r="G24" s="28"/>
    </row>
    <row r="25" spans="1:7" ht="18.75" customHeight="1" x14ac:dyDescent="0.25">
      <c r="A25" s="87">
        <v>100</v>
      </c>
      <c r="B25" s="82">
        <v>1.6959</v>
      </c>
      <c r="C25" s="83">
        <v>2506.1999999999998</v>
      </c>
      <c r="D25" s="83">
        <v>2675.8</v>
      </c>
      <c r="E25" s="82">
        <v>7.3609999999999998</v>
      </c>
      <c r="F25" s="82"/>
      <c r="G25" s="28"/>
    </row>
    <row r="26" spans="1:7" ht="18.75" customHeight="1" x14ac:dyDescent="0.25">
      <c r="A26" s="87">
        <v>105</v>
      </c>
      <c r="B26" s="82">
        <v>1.7203999999999999</v>
      </c>
      <c r="C26" s="83">
        <v>2514.1</v>
      </c>
      <c r="D26" s="83">
        <v>2686.1</v>
      </c>
      <c r="E26" s="82">
        <v>7.3884999999999996</v>
      </c>
      <c r="F26" s="82"/>
      <c r="G26" s="28"/>
    </row>
    <row r="27" spans="1:7" ht="18.75" customHeight="1" x14ac:dyDescent="0.25">
      <c r="A27" s="87">
        <v>110</v>
      </c>
      <c r="B27" s="82">
        <v>1.7446999999999999</v>
      </c>
      <c r="C27" s="83">
        <v>2521.8000000000002</v>
      </c>
      <c r="D27" s="83">
        <v>2696.3</v>
      </c>
      <c r="E27" s="82">
        <v>7.4154999999999998</v>
      </c>
      <c r="F27" s="82"/>
      <c r="G27" s="28"/>
    </row>
    <row r="28" spans="1:7" ht="18.75" customHeight="1" x14ac:dyDescent="0.25">
      <c r="A28" s="87">
        <v>115</v>
      </c>
      <c r="B28" s="82">
        <v>1.7689999999999999</v>
      </c>
      <c r="C28" s="83">
        <v>2529.6</v>
      </c>
      <c r="D28" s="83">
        <v>2706.5</v>
      </c>
      <c r="E28" s="82">
        <v>7.4417999999999997</v>
      </c>
      <c r="F28" s="82"/>
      <c r="G28" s="28"/>
    </row>
    <row r="29" spans="1:7" ht="18.75" customHeight="1" x14ac:dyDescent="0.25">
      <c r="A29" s="87">
        <v>120</v>
      </c>
      <c r="B29" s="82">
        <v>1.7931999999999999</v>
      </c>
      <c r="C29" s="83">
        <v>2537.3000000000002</v>
      </c>
      <c r="D29" s="83">
        <v>2716.6</v>
      </c>
      <c r="E29" s="82">
        <v>7.4678000000000004</v>
      </c>
      <c r="F29" s="82"/>
      <c r="G29" s="28"/>
    </row>
    <row r="30" spans="1:7" ht="18.75" customHeight="1" x14ac:dyDescent="0.25">
      <c r="A30" s="87">
        <v>125</v>
      </c>
      <c r="B30" s="82">
        <v>1.8171999999999999</v>
      </c>
      <c r="C30" s="83">
        <v>2545</v>
      </c>
      <c r="D30" s="83">
        <v>2726.7</v>
      </c>
      <c r="E30" s="82">
        <v>7.4931999999999999</v>
      </c>
      <c r="F30" s="82"/>
      <c r="G30" s="28"/>
    </row>
    <row r="31" spans="1:7" ht="18.75" customHeight="1" x14ac:dyDescent="0.25">
      <c r="A31" s="87">
        <v>130</v>
      </c>
      <c r="B31" s="82">
        <v>1.8411999999999999</v>
      </c>
      <c r="C31" s="83">
        <v>2552.6</v>
      </c>
      <c r="D31" s="83">
        <v>2736.7</v>
      </c>
      <c r="E31" s="82">
        <v>7.5183</v>
      </c>
      <c r="F31" s="82"/>
      <c r="G31" s="28"/>
    </row>
    <row r="32" spans="1:7" ht="18.75" customHeight="1" x14ac:dyDescent="0.25">
      <c r="A32" s="87">
        <v>135</v>
      </c>
      <c r="B32" s="82">
        <v>1.8652</v>
      </c>
      <c r="C32" s="83">
        <v>2560.1999999999998</v>
      </c>
      <c r="D32" s="83">
        <v>2746.7</v>
      </c>
      <c r="E32" s="82">
        <v>7.5429000000000004</v>
      </c>
      <c r="F32" s="82"/>
      <c r="G32" s="28"/>
    </row>
    <row r="33" spans="1:7" ht="18.75" customHeight="1" x14ac:dyDescent="0.25">
      <c r="A33" s="87">
        <v>140</v>
      </c>
      <c r="B33" s="82">
        <v>1.8891</v>
      </c>
      <c r="C33" s="83">
        <v>2567.8000000000002</v>
      </c>
      <c r="D33" s="83">
        <v>2756.7</v>
      </c>
      <c r="E33" s="82">
        <v>7.5671999999999997</v>
      </c>
      <c r="F33" s="82"/>
      <c r="G33" s="28"/>
    </row>
    <row r="34" spans="1:7" ht="18.75" customHeight="1" x14ac:dyDescent="0.25">
      <c r="A34" s="87">
        <v>145</v>
      </c>
      <c r="B34" s="82">
        <v>1.9129</v>
      </c>
      <c r="C34" s="83">
        <v>2575.4</v>
      </c>
      <c r="D34" s="83">
        <v>2766.7</v>
      </c>
      <c r="E34" s="82">
        <v>7.5911</v>
      </c>
      <c r="F34" s="82"/>
      <c r="G34" s="28"/>
    </row>
    <row r="35" spans="1:7" ht="18.75" customHeight="1" x14ac:dyDescent="0.25">
      <c r="A35" s="87">
        <v>150</v>
      </c>
      <c r="B35" s="82">
        <v>1.9367000000000001</v>
      </c>
      <c r="C35" s="83">
        <v>2582.9</v>
      </c>
      <c r="D35" s="83">
        <v>2776.6</v>
      </c>
      <c r="E35" s="82">
        <v>7.6147999999999998</v>
      </c>
      <c r="F35" s="82"/>
      <c r="G35" s="28"/>
    </row>
    <row r="36" spans="1:7" ht="18.75" customHeight="1" x14ac:dyDescent="0.25">
      <c r="A36" s="87">
        <v>155</v>
      </c>
      <c r="B36" s="82">
        <v>1.9603999999999999</v>
      </c>
      <c r="C36" s="83">
        <v>2590.5</v>
      </c>
      <c r="D36" s="83">
        <v>2786.5</v>
      </c>
      <c r="E36" s="82">
        <v>7.6379999999999999</v>
      </c>
      <c r="F36" s="82"/>
      <c r="G36" s="28"/>
    </row>
    <row r="37" spans="1:7" ht="18.75" customHeight="1" x14ac:dyDescent="0.25">
      <c r="A37" s="87">
        <v>160</v>
      </c>
      <c r="B37" s="82">
        <v>1.9841</v>
      </c>
      <c r="C37" s="83">
        <v>2598</v>
      </c>
      <c r="D37" s="83">
        <v>2796.4</v>
      </c>
      <c r="E37" s="82">
        <v>7.6609999999999996</v>
      </c>
      <c r="F37" s="82"/>
      <c r="G37" s="28"/>
    </row>
    <row r="38" spans="1:7" ht="18.75" customHeight="1" x14ac:dyDescent="0.25">
      <c r="A38" s="87">
        <v>165</v>
      </c>
      <c r="B38" s="82">
        <v>2.0076999999999998</v>
      </c>
      <c r="C38" s="83">
        <v>2605.5</v>
      </c>
      <c r="D38" s="83">
        <v>2806.3</v>
      </c>
      <c r="E38" s="82">
        <v>7.6837999999999997</v>
      </c>
      <c r="F38" s="82"/>
      <c r="G38" s="28"/>
    </row>
    <row r="39" spans="1:7" ht="18.75" customHeight="1" x14ac:dyDescent="0.25">
      <c r="A39" s="87">
        <v>170</v>
      </c>
      <c r="B39" s="82">
        <v>2.0312999999999999</v>
      </c>
      <c r="C39" s="83">
        <v>2613.1</v>
      </c>
      <c r="D39" s="83">
        <v>2816.2</v>
      </c>
      <c r="E39" s="82">
        <v>7.7061999999999999</v>
      </c>
      <c r="F39" s="82"/>
      <c r="G39" s="28"/>
    </row>
    <row r="40" spans="1:7" ht="18.75" customHeight="1" x14ac:dyDescent="0.25">
      <c r="A40" s="87">
        <v>175</v>
      </c>
      <c r="B40" s="82">
        <v>2.0548999999999999</v>
      </c>
      <c r="C40" s="83">
        <v>2620.6</v>
      </c>
      <c r="D40" s="83">
        <v>2826.1</v>
      </c>
      <c r="E40" s="82">
        <v>7.7283999999999997</v>
      </c>
      <c r="F40" s="82"/>
      <c r="G40" s="28"/>
    </row>
    <row r="41" spans="1:7" ht="18.75" customHeight="1" x14ac:dyDescent="0.25">
      <c r="A41" s="87">
        <v>180</v>
      </c>
      <c r="B41" s="82">
        <v>2.0785</v>
      </c>
      <c r="C41" s="83">
        <v>2628.1</v>
      </c>
      <c r="D41" s="83">
        <v>2836</v>
      </c>
      <c r="E41" s="82">
        <v>7.7503000000000002</v>
      </c>
      <c r="F41" s="82"/>
      <c r="G41" s="28"/>
    </row>
    <row r="42" spans="1:7" ht="18.75" customHeight="1" x14ac:dyDescent="0.25">
      <c r="A42" s="87">
        <v>185</v>
      </c>
      <c r="B42" s="82">
        <v>2.1019999999999999</v>
      </c>
      <c r="C42" s="83">
        <v>2635.6</v>
      </c>
      <c r="D42" s="83">
        <v>2845.8</v>
      </c>
      <c r="E42" s="82">
        <v>7.7718999999999996</v>
      </c>
      <c r="F42" s="82"/>
      <c r="G42" s="28"/>
    </row>
    <row r="43" spans="1:7" ht="18.75" customHeight="1" x14ac:dyDescent="0.25">
      <c r="A43" s="87">
        <v>190</v>
      </c>
      <c r="B43" s="82">
        <v>2.1255000000000002</v>
      </c>
      <c r="C43" s="83">
        <v>2643.1</v>
      </c>
      <c r="D43" s="83">
        <v>2855.7</v>
      </c>
      <c r="E43" s="82">
        <v>7.7934000000000001</v>
      </c>
      <c r="F43" s="82"/>
      <c r="G43" s="28"/>
    </row>
    <row r="44" spans="1:7" ht="18.75" customHeight="1" x14ac:dyDescent="0.25">
      <c r="A44" s="87">
        <v>195</v>
      </c>
      <c r="B44" s="82">
        <v>2.149</v>
      </c>
      <c r="C44" s="83">
        <v>2650.7</v>
      </c>
      <c r="D44" s="83">
        <v>2865.6</v>
      </c>
      <c r="E44" s="82">
        <v>7.8146000000000004</v>
      </c>
      <c r="F44" s="82"/>
      <c r="G44" s="28"/>
    </row>
    <row r="45" spans="1:7" ht="18.75" customHeight="1" x14ac:dyDescent="0.25">
      <c r="A45" s="87">
        <v>200</v>
      </c>
      <c r="B45" s="82">
        <v>2.1724000000000001</v>
      </c>
      <c r="C45" s="83">
        <v>2658.3</v>
      </c>
      <c r="D45" s="83">
        <v>2875.5</v>
      </c>
      <c r="E45" s="82">
        <v>7.8356000000000003</v>
      </c>
      <c r="F45" s="82"/>
      <c r="G45" s="28"/>
    </row>
    <row r="46" spans="1:7" ht="18.75" customHeight="1" x14ac:dyDescent="0.25">
      <c r="A46" s="87">
        <v>210</v>
      </c>
      <c r="B46" s="82">
        <v>2.2193000000000001</v>
      </c>
      <c r="C46" s="83">
        <v>2673.3</v>
      </c>
      <c r="D46" s="83">
        <v>2895.2</v>
      </c>
      <c r="E46" s="82">
        <v>7.8769</v>
      </c>
      <c r="F46" s="82"/>
      <c r="G46" s="28"/>
    </row>
    <row r="47" spans="1:7" ht="18.75" customHeight="1" x14ac:dyDescent="0.25">
      <c r="A47" s="87">
        <v>220</v>
      </c>
      <c r="B47" s="82">
        <v>2.2660999999999998</v>
      </c>
      <c r="C47" s="83">
        <v>2688.4</v>
      </c>
      <c r="D47" s="83">
        <v>2915</v>
      </c>
      <c r="E47" s="82">
        <v>7.9173999999999998</v>
      </c>
      <c r="F47" s="82"/>
      <c r="G47" s="28"/>
    </row>
    <row r="48" spans="1:7" ht="18.75" customHeight="1" x14ac:dyDescent="0.25">
      <c r="A48" s="87">
        <v>230</v>
      </c>
      <c r="B48" s="82">
        <v>2.3128000000000002</v>
      </c>
      <c r="C48" s="83">
        <v>2703.5</v>
      </c>
      <c r="D48" s="83">
        <v>2934.8</v>
      </c>
      <c r="E48" s="82">
        <v>7.9572000000000003</v>
      </c>
      <c r="F48" s="82"/>
      <c r="G48" s="28"/>
    </row>
    <row r="49" spans="1:7" ht="18.75" customHeight="1" x14ac:dyDescent="0.25">
      <c r="A49" s="87">
        <v>240</v>
      </c>
      <c r="B49" s="82">
        <v>2.3595000000000002</v>
      </c>
      <c r="C49" s="83">
        <v>2718.7</v>
      </c>
      <c r="D49" s="83">
        <v>2954.6</v>
      </c>
      <c r="E49" s="82">
        <v>7.9962</v>
      </c>
      <c r="F49" s="82"/>
      <c r="G49" s="28"/>
    </row>
    <row r="50" spans="1:7" ht="18.75" customHeight="1" x14ac:dyDescent="0.25">
      <c r="A50" s="87">
        <v>250</v>
      </c>
      <c r="B50" s="82">
        <v>2.4062000000000001</v>
      </c>
      <c r="C50" s="83">
        <v>2733.9</v>
      </c>
      <c r="D50" s="83">
        <v>2974.5</v>
      </c>
      <c r="E50" s="82">
        <v>8.0345999999999993</v>
      </c>
      <c r="F50" s="82"/>
      <c r="G50" s="28"/>
    </row>
    <row r="51" spans="1:7" ht="18.75" customHeight="1" x14ac:dyDescent="0.25">
      <c r="A51" s="87">
        <v>260</v>
      </c>
      <c r="B51" s="82">
        <v>2.4527999999999999</v>
      </c>
      <c r="C51" s="83">
        <v>2749.1</v>
      </c>
      <c r="D51" s="83">
        <v>2994.4</v>
      </c>
      <c r="E51" s="82">
        <v>8.0723000000000003</v>
      </c>
      <c r="F51" s="82"/>
      <c r="G51" s="28"/>
    </row>
    <row r="52" spans="1:7" ht="18.75" customHeight="1" x14ac:dyDescent="0.25">
      <c r="A52" s="87">
        <v>270</v>
      </c>
      <c r="B52" s="82">
        <v>2.4992999999999999</v>
      </c>
      <c r="C52" s="83">
        <v>2764.5</v>
      </c>
      <c r="D52" s="83">
        <v>3014.4</v>
      </c>
      <c r="E52" s="82">
        <v>8.1094000000000008</v>
      </c>
      <c r="F52" s="82"/>
      <c r="G52" s="28"/>
    </row>
    <row r="53" spans="1:7" ht="18.75" customHeight="1" x14ac:dyDescent="0.25">
      <c r="A53" s="87">
        <v>280</v>
      </c>
      <c r="B53" s="82">
        <v>2.5459000000000001</v>
      </c>
      <c r="C53" s="83">
        <v>2779.8</v>
      </c>
      <c r="D53" s="83">
        <v>3034.4</v>
      </c>
      <c r="E53" s="82">
        <v>8.1458999999999993</v>
      </c>
      <c r="F53" s="82"/>
      <c r="G53" s="28"/>
    </row>
    <row r="54" spans="1:7" ht="18.75" customHeight="1" x14ac:dyDescent="0.25">
      <c r="A54" s="87">
        <v>290</v>
      </c>
      <c r="B54" s="82">
        <v>2.5924</v>
      </c>
      <c r="C54" s="83">
        <v>2795.2</v>
      </c>
      <c r="D54" s="83">
        <v>3054.4</v>
      </c>
      <c r="E54" s="82">
        <v>8.1818000000000008</v>
      </c>
      <c r="F54" s="82"/>
      <c r="G54" s="28"/>
    </row>
    <row r="55" spans="1:7" ht="18.75" customHeight="1" x14ac:dyDescent="0.25">
      <c r="A55" s="87">
        <v>300</v>
      </c>
      <c r="B55" s="82">
        <v>2.6387999999999998</v>
      </c>
      <c r="C55" s="83">
        <v>2810.6</v>
      </c>
      <c r="D55" s="83">
        <v>3074.5</v>
      </c>
      <c r="E55" s="82">
        <v>8.2172000000000001</v>
      </c>
      <c r="F55" s="82"/>
      <c r="G55" s="28"/>
    </row>
    <row r="56" spans="1:7" ht="18.75" customHeight="1" x14ac:dyDescent="0.25">
      <c r="A56" s="87">
        <v>310</v>
      </c>
      <c r="B56" s="82">
        <v>2.6852999999999998</v>
      </c>
      <c r="C56" s="83">
        <v>2826.2</v>
      </c>
      <c r="D56" s="83">
        <v>3094.7</v>
      </c>
      <c r="E56" s="82">
        <v>8.2520000000000007</v>
      </c>
      <c r="F56" s="82"/>
      <c r="G56" s="28"/>
    </row>
    <row r="57" spans="1:7" ht="18.75" customHeight="1" x14ac:dyDescent="0.25">
      <c r="A57" s="87">
        <v>320</v>
      </c>
      <c r="B57" s="82">
        <v>2.7317</v>
      </c>
      <c r="C57" s="83">
        <v>2841.7</v>
      </c>
      <c r="D57" s="83">
        <v>3114.9</v>
      </c>
      <c r="E57" s="82">
        <v>8.2864000000000004</v>
      </c>
      <c r="F57" s="82"/>
      <c r="G57" s="28"/>
    </row>
    <row r="58" spans="1:7" ht="18.75" customHeight="1" x14ac:dyDescent="0.25">
      <c r="A58" s="87">
        <v>330</v>
      </c>
      <c r="B58" s="82">
        <v>2.7782</v>
      </c>
      <c r="C58" s="83">
        <v>2857.3</v>
      </c>
      <c r="D58" s="83">
        <v>3135.1</v>
      </c>
      <c r="E58" s="82">
        <v>8.3201999999999998</v>
      </c>
      <c r="F58" s="82"/>
      <c r="G58" s="28"/>
    </row>
    <row r="59" spans="1:7" ht="18.75" customHeight="1" x14ac:dyDescent="0.25">
      <c r="A59" s="87">
        <v>340</v>
      </c>
      <c r="B59" s="82">
        <v>2.8246000000000002</v>
      </c>
      <c r="C59" s="83">
        <v>2873</v>
      </c>
      <c r="D59" s="83">
        <v>3155.5</v>
      </c>
      <c r="E59" s="82">
        <v>8.3536000000000001</v>
      </c>
      <c r="F59" s="82"/>
      <c r="G59" s="28"/>
    </row>
    <row r="60" spans="1:7" ht="18.75" customHeight="1" x14ac:dyDescent="0.25">
      <c r="A60" s="87">
        <v>350</v>
      </c>
      <c r="B60" s="82">
        <v>2.871</v>
      </c>
      <c r="C60" s="83">
        <v>2888.7</v>
      </c>
      <c r="D60" s="83">
        <v>3175.8</v>
      </c>
      <c r="E60" s="82">
        <v>8.3865999999999996</v>
      </c>
      <c r="F60" s="82"/>
      <c r="G60" s="28"/>
    </row>
    <row r="61" spans="1:7" ht="18.75" customHeight="1" x14ac:dyDescent="0.25">
      <c r="A61" s="87">
        <v>360</v>
      </c>
      <c r="B61" s="82">
        <v>2.9173</v>
      </c>
      <c r="C61" s="83">
        <v>2904.6</v>
      </c>
      <c r="D61" s="83">
        <v>3196.3</v>
      </c>
      <c r="E61" s="82">
        <v>8.4191000000000003</v>
      </c>
      <c r="F61" s="82"/>
      <c r="G61" s="28"/>
    </row>
    <row r="62" spans="1:7" ht="18.75" customHeight="1" x14ac:dyDescent="0.25">
      <c r="A62" s="87">
        <v>370</v>
      </c>
      <c r="B62" s="82">
        <v>2.9636999999999998</v>
      </c>
      <c r="C62" s="83">
        <v>2920.3</v>
      </c>
      <c r="D62" s="83">
        <v>3216.7</v>
      </c>
      <c r="E62" s="82">
        <v>8.4512</v>
      </c>
      <c r="F62" s="82"/>
      <c r="G62" s="28"/>
    </row>
    <row r="63" spans="1:7" ht="18.75" customHeight="1" x14ac:dyDescent="0.25">
      <c r="A63" s="87">
        <v>380</v>
      </c>
      <c r="B63" s="82">
        <v>3.01</v>
      </c>
      <c r="C63" s="83">
        <v>2936.3</v>
      </c>
      <c r="D63" s="83">
        <v>3237.3</v>
      </c>
      <c r="E63" s="82">
        <v>8.4829000000000008</v>
      </c>
      <c r="F63" s="82"/>
      <c r="G63" s="28"/>
    </row>
    <row r="64" spans="1:7" ht="18.75" customHeight="1" x14ac:dyDescent="0.25">
      <c r="A64" s="87">
        <v>390</v>
      </c>
      <c r="B64" s="82">
        <v>3.0564</v>
      </c>
      <c r="C64" s="83">
        <v>2952.3</v>
      </c>
      <c r="D64" s="83">
        <v>3257.9</v>
      </c>
      <c r="E64" s="82">
        <v>8.5142000000000007</v>
      </c>
      <c r="F64" s="82"/>
      <c r="G64" s="28"/>
    </row>
    <row r="65" spans="1:7" ht="18.75" customHeight="1" x14ac:dyDescent="0.25">
      <c r="A65" s="87">
        <v>400</v>
      </c>
      <c r="B65" s="82">
        <v>3.1027</v>
      </c>
      <c r="C65" s="83">
        <v>2968.3</v>
      </c>
      <c r="D65" s="83">
        <v>3278.6</v>
      </c>
      <c r="E65" s="82">
        <v>8.5451999999999995</v>
      </c>
      <c r="F65" s="82"/>
      <c r="G65" s="28"/>
    </row>
    <row r="66" spans="1:7" ht="18.75" customHeight="1" x14ac:dyDescent="0.25">
      <c r="A66" s="87">
        <v>410</v>
      </c>
      <c r="B66" s="82">
        <v>3.149</v>
      </c>
      <c r="C66" s="83">
        <v>2984.4</v>
      </c>
      <c r="D66" s="83">
        <v>3299.3</v>
      </c>
      <c r="E66" s="82">
        <v>8.5756999999999994</v>
      </c>
      <c r="F66" s="82"/>
      <c r="G66" s="28"/>
    </row>
    <row r="67" spans="1:7" ht="18.75" customHeight="1" x14ac:dyDescent="0.25">
      <c r="A67" s="87">
        <v>420</v>
      </c>
      <c r="B67" s="82">
        <v>3.1953</v>
      </c>
      <c r="C67" s="83">
        <v>3000.6</v>
      </c>
      <c r="D67" s="83">
        <v>3320.1</v>
      </c>
      <c r="E67" s="82">
        <v>8.6059000000000001</v>
      </c>
      <c r="F67" s="82"/>
      <c r="G67" s="28"/>
    </row>
    <row r="68" spans="1:7" ht="18.75" customHeight="1" x14ac:dyDescent="0.25">
      <c r="A68" s="87">
        <v>430</v>
      </c>
      <c r="B68" s="82">
        <v>3.2416</v>
      </c>
      <c r="C68" s="83">
        <v>3016.7</v>
      </c>
      <c r="D68" s="83">
        <v>3340.9</v>
      </c>
      <c r="E68" s="82">
        <v>8.6357999999999997</v>
      </c>
      <c r="F68" s="82"/>
      <c r="G68" s="28"/>
    </row>
    <row r="69" spans="1:7" ht="18.75" customHeight="1" x14ac:dyDescent="0.25">
      <c r="A69" s="87">
        <v>440</v>
      </c>
      <c r="B69" s="82">
        <v>3.2879</v>
      </c>
      <c r="C69" s="83">
        <v>3033.1</v>
      </c>
      <c r="D69" s="83">
        <v>3361.9</v>
      </c>
      <c r="E69" s="82">
        <v>8.6653000000000002</v>
      </c>
      <c r="F69" s="82"/>
      <c r="G69" s="28"/>
    </row>
    <row r="70" spans="1:7" ht="18.75" customHeight="1" x14ac:dyDescent="0.25">
      <c r="A70" s="87">
        <v>450</v>
      </c>
      <c r="B70" s="82">
        <v>3.3342000000000001</v>
      </c>
      <c r="C70" s="83">
        <v>3049.4</v>
      </c>
      <c r="D70" s="83">
        <v>3382.8</v>
      </c>
      <c r="E70" s="82">
        <v>8.6945999999999994</v>
      </c>
      <c r="F70" s="82"/>
      <c r="G70" s="28"/>
    </row>
    <row r="71" spans="1:7" ht="18.75" customHeight="1" x14ac:dyDescent="0.25">
      <c r="A71" s="87">
        <v>460</v>
      </c>
      <c r="B71" s="82">
        <v>3.3805000000000001</v>
      </c>
      <c r="C71" s="83">
        <v>3065.8</v>
      </c>
      <c r="D71" s="83">
        <v>3403.9</v>
      </c>
      <c r="E71" s="82">
        <v>8.7234999999999996</v>
      </c>
      <c r="F71" s="82"/>
      <c r="G71" s="28"/>
    </row>
    <row r="72" spans="1:7" ht="18.75" customHeight="1" x14ac:dyDescent="0.25">
      <c r="A72" s="87">
        <v>470</v>
      </c>
      <c r="B72" s="82">
        <v>3.4266999999999999</v>
      </c>
      <c r="C72" s="83">
        <v>3082.3</v>
      </c>
      <c r="D72" s="83">
        <v>3425</v>
      </c>
      <c r="E72" s="82">
        <v>8.7521000000000004</v>
      </c>
      <c r="F72" s="82"/>
      <c r="G72" s="28"/>
    </row>
    <row r="73" spans="1:7" ht="18.75" customHeight="1" x14ac:dyDescent="0.25">
      <c r="A73" s="87">
        <v>480</v>
      </c>
      <c r="B73" s="82">
        <v>3.4729999999999999</v>
      </c>
      <c r="C73" s="83">
        <v>3098.9</v>
      </c>
      <c r="D73" s="83">
        <v>3446.2</v>
      </c>
      <c r="E73" s="82">
        <v>8.7804000000000002</v>
      </c>
      <c r="F73" s="82"/>
      <c r="G73" s="28"/>
    </row>
    <row r="74" spans="1:7" ht="18.75" customHeight="1" x14ac:dyDescent="0.25">
      <c r="A74" s="87">
        <v>490</v>
      </c>
      <c r="B74" s="82">
        <v>3.5192999999999999</v>
      </c>
      <c r="C74" s="83">
        <v>3115.5</v>
      </c>
      <c r="D74" s="83">
        <v>3467.4</v>
      </c>
      <c r="E74" s="82">
        <v>8.8084000000000007</v>
      </c>
      <c r="F74" s="82"/>
      <c r="G74" s="28"/>
    </row>
    <row r="75" spans="1:7" ht="18.75" customHeight="1" x14ac:dyDescent="0.25">
      <c r="A75" s="87">
        <v>500</v>
      </c>
      <c r="B75" s="82">
        <v>3.5655000000000001</v>
      </c>
      <c r="C75" s="83">
        <v>3132.1</v>
      </c>
      <c r="D75" s="83">
        <v>3488.7</v>
      </c>
      <c r="E75" s="82">
        <v>8.8361000000000001</v>
      </c>
      <c r="F75" s="82"/>
      <c r="G75" s="28"/>
    </row>
    <row r="76" spans="1:7" ht="18.75" customHeight="1" x14ac:dyDescent="0.25">
      <c r="A76" s="87">
        <v>520</v>
      </c>
      <c r="B76" s="82">
        <v>3.6579999999999999</v>
      </c>
      <c r="C76" s="83">
        <v>3165.8</v>
      </c>
      <c r="D76" s="83">
        <v>3531.6</v>
      </c>
      <c r="E76" s="82">
        <v>8.8908000000000005</v>
      </c>
      <c r="F76" s="82"/>
      <c r="G76" s="28"/>
    </row>
    <row r="77" spans="1:7" ht="18.75" customHeight="1" x14ac:dyDescent="0.25">
      <c r="A77" s="87">
        <v>540</v>
      </c>
      <c r="B77" s="82">
        <v>3.7505000000000002</v>
      </c>
      <c r="C77" s="83">
        <v>3199.6</v>
      </c>
      <c r="D77" s="83">
        <v>3574.7</v>
      </c>
      <c r="E77" s="82">
        <v>8.9444999999999997</v>
      </c>
      <c r="F77" s="82"/>
      <c r="G77" s="28"/>
    </row>
    <row r="78" spans="1:7" ht="18.75" customHeight="1" x14ac:dyDescent="0.25">
      <c r="A78" s="87">
        <v>560</v>
      </c>
      <c r="B78" s="82">
        <v>3.843</v>
      </c>
      <c r="C78" s="83">
        <v>3233.7</v>
      </c>
      <c r="D78" s="83">
        <v>3618</v>
      </c>
      <c r="E78" s="82">
        <v>8.9971999999999994</v>
      </c>
      <c r="F78" s="82"/>
      <c r="G78" s="28"/>
    </row>
    <row r="79" spans="1:7" ht="18.75" customHeight="1" x14ac:dyDescent="0.25">
      <c r="A79" s="87">
        <v>580</v>
      </c>
      <c r="B79" s="82">
        <v>3.9354</v>
      </c>
      <c r="C79" s="83">
        <v>3268.2</v>
      </c>
      <c r="D79" s="83">
        <v>3661.7</v>
      </c>
      <c r="E79" s="82">
        <v>9.0488999999999997</v>
      </c>
      <c r="F79" s="82"/>
      <c r="G79" s="28"/>
    </row>
    <row r="80" spans="1:7" ht="18.75" customHeight="1" x14ac:dyDescent="0.25">
      <c r="A80" s="87">
        <v>600</v>
      </c>
      <c r="B80" s="82">
        <v>4.0278999999999998</v>
      </c>
      <c r="C80" s="83">
        <v>3302.8</v>
      </c>
      <c r="D80" s="83">
        <v>3705.6</v>
      </c>
      <c r="E80" s="82">
        <v>9.0998000000000001</v>
      </c>
      <c r="F80" s="82"/>
      <c r="G80" s="28"/>
    </row>
    <row r="81" spans="1:7" ht="18.75" customHeight="1" x14ac:dyDescent="0.25">
      <c r="A81" s="87">
        <v>620</v>
      </c>
      <c r="B81" s="82">
        <v>4.1203000000000003</v>
      </c>
      <c r="C81" s="83">
        <v>3337.8</v>
      </c>
      <c r="D81" s="83">
        <v>3749.8</v>
      </c>
      <c r="E81" s="82">
        <v>9.1499000000000006</v>
      </c>
      <c r="F81" s="82"/>
      <c r="G81" s="28"/>
    </row>
    <row r="82" spans="1:7" ht="18.75" customHeight="1" x14ac:dyDescent="0.25">
      <c r="A82" s="87">
        <v>640</v>
      </c>
      <c r="B82" s="82">
        <v>4.2126999999999999</v>
      </c>
      <c r="C82" s="83">
        <v>3373</v>
      </c>
      <c r="D82" s="83">
        <v>3794.3</v>
      </c>
      <c r="E82" s="82">
        <v>9.1990999999999996</v>
      </c>
      <c r="F82" s="82"/>
      <c r="G82" s="28"/>
    </row>
    <row r="83" spans="1:7" ht="18.75" customHeight="1" x14ac:dyDescent="0.25">
      <c r="A83" s="87">
        <v>660</v>
      </c>
      <c r="B83" s="82">
        <v>4.3052000000000001</v>
      </c>
      <c r="C83" s="83">
        <v>3408.5</v>
      </c>
      <c r="D83" s="83">
        <v>3839</v>
      </c>
      <c r="E83" s="82">
        <v>9.2476000000000003</v>
      </c>
      <c r="F83" s="82"/>
      <c r="G83" s="28"/>
    </row>
    <row r="84" spans="1:7" ht="18.75" customHeight="1" x14ac:dyDescent="0.25">
      <c r="A84" s="87">
        <v>680</v>
      </c>
      <c r="B84" s="82">
        <v>4.3975999999999997</v>
      </c>
      <c r="C84" s="83">
        <v>3444.2</v>
      </c>
      <c r="D84" s="83">
        <v>3884</v>
      </c>
      <c r="E84" s="82">
        <v>9.2954000000000008</v>
      </c>
      <c r="F84" s="82"/>
      <c r="G84" s="28"/>
    </row>
    <row r="85" spans="1:7" ht="18.75" customHeight="1" x14ac:dyDescent="0.25">
      <c r="A85" s="87">
        <v>700</v>
      </c>
      <c r="B85" s="82">
        <v>4.49</v>
      </c>
      <c r="C85" s="83">
        <v>3480.4</v>
      </c>
      <c r="D85" s="83">
        <v>3929.4</v>
      </c>
      <c r="E85" s="82">
        <v>9.3423999999999996</v>
      </c>
      <c r="F85" s="82"/>
      <c r="G85" s="28"/>
    </row>
    <row r="86" spans="1:7" ht="18.75" customHeight="1" x14ac:dyDescent="0.25">
      <c r="A86" s="87">
        <v>720</v>
      </c>
      <c r="B86" s="82">
        <v>4.5823999999999998</v>
      </c>
      <c r="C86" s="83">
        <v>3516.8</v>
      </c>
      <c r="D86" s="83">
        <v>3975</v>
      </c>
      <c r="E86" s="82">
        <v>9.3887999999999998</v>
      </c>
      <c r="F86" s="82"/>
      <c r="G86" s="28"/>
    </row>
    <row r="87" spans="1:7" ht="18.75" customHeight="1" x14ac:dyDescent="0.25">
      <c r="A87" s="87">
        <v>740</v>
      </c>
      <c r="B87" s="82">
        <v>4.6746999999999996</v>
      </c>
      <c r="C87" s="83">
        <v>3553.4</v>
      </c>
      <c r="D87" s="83">
        <v>4020.9</v>
      </c>
      <c r="E87" s="82">
        <v>9.4344999999999999</v>
      </c>
      <c r="F87" s="82"/>
      <c r="G87" s="28"/>
    </row>
    <row r="88" spans="1:7" ht="18.75" customHeight="1" x14ac:dyDescent="0.25">
      <c r="A88" s="87">
        <v>760</v>
      </c>
      <c r="B88" s="82">
        <v>4.7671000000000001</v>
      </c>
      <c r="C88" s="83">
        <v>3590.3</v>
      </c>
      <c r="D88" s="83">
        <v>4067</v>
      </c>
      <c r="E88" s="82">
        <v>9.4796999999999993</v>
      </c>
      <c r="F88" s="82"/>
      <c r="G88" s="28"/>
    </row>
    <row r="89" spans="1:7" ht="18.75" customHeight="1" x14ac:dyDescent="0.25">
      <c r="A89" s="87">
        <v>780</v>
      </c>
      <c r="B89" s="82">
        <v>4.8594999999999997</v>
      </c>
      <c r="C89" s="83">
        <v>3627.6</v>
      </c>
      <c r="D89" s="83">
        <v>4113.5</v>
      </c>
      <c r="E89" s="82">
        <v>9.5242000000000004</v>
      </c>
      <c r="F89" s="82"/>
      <c r="G89" s="28"/>
    </row>
    <row r="90" spans="1:7" ht="18.75" customHeight="1" x14ac:dyDescent="0.25">
      <c r="A90" s="87">
        <v>800</v>
      </c>
      <c r="B90" s="82">
        <v>4.9519000000000002</v>
      </c>
      <c r="C90" s="83">
        <v>3665</v>
      </c>
      <c r="D90" s="83">
        <v>4160.2</v>
      </c>
      <c r="E90" s="82">
        <v>9.5680999999999994</v>
      </c>
      <c r="F90" s="82"/>
      <c r="G90" s="28"/>
    </row>
    <row r="91" spans="1:7" ht="18.75" customHeight="1" x14ac:dyDescent="0.25">
      <c r="A91" s="87">
        <v>820</v>
      </c>
      <c r="B91" s="82">
        <v>5.0442999999999998</v>
      </c>
      <c r="C91" s="83">
        <v>3702.8</v>
      </c>
      <c r="D91" s="83">
        <v>4207.2</v>
      </c>
      <c r="E91" s="82">
        <v>9.6114999999999995</v>
      </c>
      <c r="F91" s="82"/>
      <c r="G91" s="28"/>
    </row>
    <row r="92" spans="1:7" ht="18.75" customHeight="1" x14ac:dyDescent="0.25">
      <c r="A92" s="87">
        <v>840</v>
      </c>
      <c r="B92" s="82">
        <v>5.1365999999999996</v>
      </c>
      <c r="C92" s="83">
        <v>3740.8</v>
      </c>
      <c r="D92" s="83">
        <v>4254.5</v>
      </c>
      <c r="E92" s="82">
        <v>9.6544000000000008</v>
      </c>
      <c r="F92" s="82"/>
      <c r="G92" s="28"/>
    </row>
    <row r="93" spans="1:7" ht="18.75" customHeight="1" x14ac:dyDescent="0.25">
      <c r="A93" s="87">
        <v>860</v>
      </c>
      <c r="B93" s="82">
        <v>5.2290000000000001</v>
      </c>
      <c r="C93" s="83">
        <v>3779.2</v>
      </c>
      <c r="D93" s="83">
        <v>4302.1000000000004</v>
      </c>
      <c r="E93" s="82">
        <v>9.6967999999999996</v>
      </c>
      <c r="F93" s="82"/>
      <c r="G93" s="28"/>
    </row>
    <row r="94" spans="1:7" ht="18.75" customHeight="1" x14ac:dyDescent="0.25">
      <c r="A94" s="87">
        <v>880</v>
      </c>
      <c r="B94" s="82">
        <v>5.3212999999999999</v>
      </c>
      <c r="C94" s="83">
        <v>3817.8</v>
      </c>
      <c r="D94" s="83">
        <v>4349.8999999999996</v>
      </c>
      <c r="E94" s="82">
        <v>9.7385999999999999</v>
      </c>
      <c r="F94" s="82"/>
      <c r="G94" s="28"/>
    </row>
    <row r="95" spans="1:7" ht="18.75" customHeight="1" x14ac:dyDescent="0.25">
      <c r="A95" s="87">
        <v>900</v>
      </c>
      <c r="B95" s="82">
        <v>5.4137000000000004</v>
      </c>
      <c r="C95" s="83">
        <v>3856.6</v>
      </c>
      <c r="D95" s="83">
        <v>4398</v>
      </c>
      <c r="E95" s="82">
        <v>9.7799999999999994</v>
      </c>
      <c r="F95" s="82"/>
      <c r="G95" s="28"/>
    </row>
    <row r="96" spans="1:7" ht="18.75" customHeight="1" x14ac:dyDescent="0.25">
      <c r="A96" s="87">
        <v>920</v>
      </c>
      <c r="B96" s="82">
        <v>5.5061</v>
      </c>
      <c r="C96" s="83">
        <v>3895.8</v>
      </c>
      <c r="D96" s="83">
        <v>4446.3999999999996</v>
      </c>
      <c r="E96" s="82">
        <v>9.8209</v>
      </c>
      <c r="F96" s="82"/>
      <c r="G96" s="28"/>
    </row>
    <row r="97" spans="1:7" ht="18.75" customHeight="1" x14ac:dyDescent="0.25">
      <c r="A97" s="87">
        <v>940</v>
      </c>
      <c r="B97" s="82">
        <v>5.5983999999999998</v>
      </c>
      <c r="C97" s="83">
        <v>3935.2</v>
      </c>
      <c r="D97" s="83">
        <v>4495</v>
      </c>
      <c r="E97" s="82">
        <v>9.8613</v>
      </c>
      <c r="F97" s="82"/>
      <c r="G97" s="28"/>
    </row>
    <row r="98" spans="1:7" ht="18.75" customHeight="1" x14ac:dyDescent="0.25">
      <c r="A98" s="87">
        <v>960</v>
      </c>
      <c r="B98" s="82">
        <v>5.6908000000000003</v>
      </c>
      <c r="C98" s="83">
        <v>3974.8</v>
      </c>
      <c r="D98" s="83">
        <v>4543.8999999999996</v>
      </c>
      <c r="E98" s="82">
        <v>9.9013000000000009</v>
      </c>
      <c r="F98" s="82"/>
      <c r="G98" s="28"/>
    </row>
    <row r="99" spans="1:7" ht="18.75" customHeight="1" x14ac:dyDescent="0.25">
      <c r="A99" s="87">
        <v>980</v>
      </c>
      <c r="B99" s="82">
        <v>5.7831000000000001</v>
      </c>
      <c r="C99" s="83">
        <v>4014.8</v>
      </c>
      <c r="D99" s="83">
        <v>4593.1000000000004</v>
      </c>
      <c r="E99" s="82">
        <v>9.9407999999999994</v>
      </c>
      <c r="F99" s="82"/>
      <c r="G99" s="28"/>
    </row>
    <row r="100" spans="1:7" ht="13.8" x14ac:dyDescent="0.25">
      <c r="A100" s="87">
        <v>1000</v>
      </c>
      <c r="B100" s="82">
        <v>5.8754</v>
      </c>
      <c r="C100" s="83">
        <v>4055.1</v>
      </c>
      <c r="D100" s="83">
        <v>4642.6000000000004</v>
      </c>
      <c r="E100" s="82">
        <v>9.98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00"/>
  <sheetViews>
    <sheetView topLeftCell="A10" workbookViewId="0">
      <selection activeCell="A26" sqref="A26:XFD26"/>
    </sheetView>
  </sheetViews>
  <sheetFormatPr defaultRowHeight="13.2" x14ac:dyDescent="0.25"/>
  <cols>
    <col min="1" max="1" width="6.21875" customWidth="1"/>
    <col min="2" max="2" width="9.777343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42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110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</row>
    <row r="5" spans="1:8" ht="18.75" customHeight="1" x14ac:dyDescent="0.25">
      <c r="A5" s="38">
        <v>0</v>
      </c>
      <c r="B5" s="79">
        <v>1.00015E-3</v>
      </c>
      <c r="C5" s="74">
        <v>-0.04</v>
      </c>
      <c r="D5" s="74">
        <v>7.0000000000000007E-2</v>
      </c>
      <c r="E5" s="81">
        <v>-1.4999999999999999E-4</v>
      </c>
      <c r="F5" s="81"/>
    </row>
    <row r="6" spans="1:8" ht="18.75" customHeight="1" x14ac:dyDescent="0.25">
      <c r="A6" s="7">
        <v>5</v>
      </c>
      <c r="B6" s="79">
        <v>1.0000300000000001E-3</v>
      </c>
      <c r="C6" s="74">
        <v>21.02</v>
      </c>
      <c r="D6" s="74">
        <v>21.13</v>
      </c>
      <c r="E6" s="81">
        <v>7.6249999999999998E-2</v>
      </c>
      <c r="F6" s="81"/>
    </row>
    <row r="7" spans="1:8" ht="18.75" customHeight="1" x14ac:dyDescent="0.25">
      <c r="A7" s="7">
        <v>10</v>
      </c>
      <c r="B7" s="79">
        <v>1.00029E-3</v>
      </c>
      <c r="C7" s="74">
        <v>42.02</v>
      </c>
      <c r="D7" s="74">
        <v>42.13</v>
      </c>
      <c r="E7" s="81">
        <v>0.15107999999999999</v>
      </c>
      <c r="F7" s="81"/>
    </row>
    <row r="8" spans="1:8" ht="18.75" customHeight="1" x14ac:dyDescent="0.25">
      <c r="A8" s="7">
        <v>15</v>
      </c>
      <c r="B8" s="79">
        <v>1.0008899999999999E-3</v>
      </c>
      <c r="C8" s="74">
        <v>62.98</v>
      </c>
      <c r="D8" s="74">
        <v>63.09</v>
      </c>
      <c r="E8" s="81">
        <v>0.22445000000000001</v>
      </c>
      <c r="F8" s="81"/>
    </row>
    <row r="9" spans="1:8" ht="18.75" customHeight="1" x14ac:dyDescent="0.25">
      <c r="A9" s="7">
        <v>20</v>
      </c>
      <c r="B9" s="79">
        <v>1.00179E-3</v>
      </c>
      <c r="C9" s="74">
        <v>83.91</v>
      </c>
      <c r="D9" s="74">
        <v>84.02</v>
      </c>
      <c r="E9" s="81">
        <v>0.29646</v>
      </c>
      <c r="F9" s="81"/>
    </row>
    <row r="10" spans="1:8" ht="18.75" customHeight="1" x14ac:dyDescent="0.25">
      <c r="A10" s="7">
        <v>25</v>
      </c>
      <c r="B10" s="79">
        <v>1.00296E-3</v>
      </c>
      <c r="C10" s="74">
        <v>104.82</v>
      </c>
      <c r="D10" s="74">
        <v>104.93</v>
      </c>
      <c r="E10" s="81">
        <v>0.36720000000000003</v>
      </c>
      <c r="F10" s="81"/>
    </row>
    <row r="11" spans="1:8" ht="18.75" customHeight="1" x14ac:dyDescent="0.25">
      <c r="A11" s="7">
        <v>30</v>
      </c>
      <c r="B11" s="79">
        <v>1.0043700000000001E-3</v>
      </c>
      <c r="C11" s="74">
        <v>125.72</v>
      </c>
      <c r="D11" s="74">
        <v>125.83</v>
      </c>
      <c r="E11" s="81">
        <v>0.43672</v>
      </c>
      <c r="F11" s="81"/>
    </row>
    <row r="12" spans="1:8" ht="18.75" customHeight="1" x14ac:dyDescent="0.25">
      <c r="A12" s="7">
        <v>35</v>
      </c>
      <c r="B12" s="79">
        <v>1.0059999999999999E-3</v>
      </c>
      <c r="C12" s="74">
        <v>146.62</v>
      </c>
      <c r="D12" s="74">
        <v>146.72999999999999</v>
      </c>
      <c r="E12" s="81">
        <v>0.50509000000000004</v>
      </c>
      <c r="F12" s="81"/>
    </row>
    <row r="13" spans="1:8" ht="18.75" customHeight="1" x14ac:dyDescent="0.25">
      <c r="A13" s="7">
        <v>40</v>
      </c>
      <c r="B13" s="79">
        <v>1.0078400000000001E-3</v>
      </c>
      <c r="C13" s="74">
        <v>167.51</v>
      </c>
      <c r="D13" s="74">
        <v>167.62</v>
      </c>
      <c r="E13" s="81">
        <v>0.57235999999999998</v>
      </c>
      <c r="F13" s="81"/>
    </row>
    <row r="14" spans="1:8" ht="18.75" customHeight="1" x14ac:dyDescent="0.25">
      <c r="A14" s="7">
        <v>45</v>
      </c>
      <c r="B14" s="79">
        <v>1.0098799999999999E-3</v>
      </c>
      <c r="C14" s="74">
        <v>188.41</v>
      </c>
      <c r="D14" s="74">
        <v>188.52</v>
      </c>
      <c r="E14" s="81">
        <v>0.63856999999999997</v>
      </c>
      <c r="F14" s="81"/>
    </row>
    <row r="15" spans="1:8" ht="18.75" customHeight="1" x14ac:dyDescent="0.25">
      <c r="A15" s="7">
        <v>50</v>
      </c>
      <c r="B15" s="79">
        <v>1.0121100000000001E-3</v>
      </c>
      <c r="C15" s="74">
        <v>209.32</v>
      </c>
      <c r="D15" s="74">
        <v>209.43</v>
      </c>
      <c r="E15" s="81">
        <v>0.70376000000000005</v>
      </c>
      <c r="F15" s="81"/>
    </row>
    <row r="16" spans="1:8" ht="18.75" customHeight="1" x14ac:dyDescent="0.25">
      <c r="A16" s="7">
        <v>55</v>
      </c>
      <c r="B16" s="79">
        <v>1.0145099999999999E-3</v>
      </c>
      <c r="C16" s="74">
        <v>230.23</v>
      </c>
      <c r="D16" s="74">
        <v>230.34</v>
      </c>
      <c r="E16" s="81">
        <v>0.76798</v>
      </c>
      <c r="F16" s="81"/>
    </row>
    <row r="17" spans="1:6" ht="18.75" customHeight="1" x14ac:dyDescent="0.25">
      <c r="A17" s="7">
        <v>60</v>
      </c>
      <c r="B17" s="79">
        <v>1.01709E-3</v>
      </c>
      <c r="C17" s="74">
        <v>251.15</v>
      </c>
      <c r="D17" s="74">
        <v>251.26</v>
      </c>
      <c r="E17" s="81">
        <v>0.83125000000000004</v>
      </c>
      <c r="F17" s="81"/>
    </row>
    <row r="18" spans="1:6" ht="18.75" customHeight="1" x14ac:dyDescent="0.25">
      <c r="A18" s="7">
        <v>65</v>
      </c>
      <c r="B18" s="79">
        <v>1.01983E-3</v>
      </c>
      <c r="C18" s="74">
        <v>272.08</v>
      </c>
      <c r="D18" s="74">
        <v>272.19</v>
      </c>
      <c r="E18" s="81">
        <v>0.89359999999999995</v>
      </c>
      <c r="F18" s="81"/>
    </row>
    <row r="19" spans="1:6" ht="18.75" customHeight="1" x14ac:dyDescent="0.25">
      <c r="A19" s="7">
        <v>70</v>
      </c>
      <c r="B19" s="79">
        <v>1.0227400000000001E-3</v>
      </c>
      <c r="C19" s="74">
        <v>293.02</v>
      </c>
      <c r="D19" s="74">
        <v>293.13</v>
      </c>
      <c r="E19" s="81">
        <v>0.95508999999999999</v>
      </c>
      <c r="F19" s="81"/>
    </row>
    <row r="20" spans="1:6" ht="18.75" customHeight="1" x14ac:dyDescent="0.25">
      <c r="A20" s="7">
        <v>75</v>
      </c>
      <c r="B20" s="79">
        <v>1.0258000000000001E-3</v>
      </c>
      <c r="C20" s="74">
        <v>313.98</v>
      </c>
      <c r="D20" s="74">
        <v>314.08999999999997</v>
      </c>
      <c r="E20" s="82">
        <v>1.0157</v>
      </c>
      <c r="F20" s="82"/>
    </row>
    <row r="21" spans="1:6" ht="18.75" customHeight="1" x14ac:dyDescent="0.25">
      <c r="A21" s="7">
        <v>80</v>
      </c>
      <c r="B21" s="79">
        <v>1.0290200000000001E-3</v>
      </c>
      <c r="C21" s="74">
        <v>334.95</v>
      </c>
      <c r="D21" s="74">
        <v>335.06</v>
      </c>
      <c r="E21" s="82">
        <v>1.0754999999999999</v>
      </c>
      <c r="F21" s="82"/>
    </row>
    <row r="22" spans="1:6" ht="18.75" customHeight="1" x14ac:dyDescent="0.25">
      <c r="A22" s="7">
        <v>85</v>
      </c>
      <c r="B22" s="79">
        <v>1.0323999999999999E-3</v>
      </c>
      <c r="C22" s="74">
        <v>355.95</v>
      </c>
      <c r="D22" s="74">
        <v>356.06</v>
      </c>
      <c r="E22" s="82">
        <v>1.1346000000000001</v>
      </c>
      <c r="F22" s="82"/>
    </row>
    <row r="23" spans="1:6" ht="18.75" customHeight="1" x14ac:dyDescent="0.25">
      <c r="A23" s="7">
        <v>90</v>
      </c>
      <c r="B23" s="79">
        <v>1.03593E-3</v>
      </c>
      <c r="C23" s="74">
        <v>376.96</v>
      </c>
      <c r="D23" s="74">
        <v>377.07</v>
      </c>
      <c r="E23" s="82">
        <v>1.1928000000000001</v>
      </c>
      <c r="F23" s="82"/>
    </row>
    <row r="24" spans="1:6" ht="18.75" customHeight="1" x14ac:dyDescent="0.25">
      <c r="A24" s="7">
        <v>95</v>
      </c>
      <c r="B24" s="79">
        <v>1.03962E-3</v>
      </c>
      <c r="C24" s="74">
        <v>398</v>
      </c>
      <c r="D24" s="74">
        <v>398.11</v>
      </c>
      <c r="E24" s="82">
        <v>1.2504</v>
      </c>
      <c r="F24" s="82"/>
    </row>
    <row r="25" spans="1:6" ht="18.75" customHeight="1" x14ac:dyDescent="0.25">
      <c r="A25" s="7">
        <v>100</v>
      </c>
      <c r="B25" s="79">
        <v>1.04346E-3</v>
      </c>
      <c r="C25" s="74">
        <v>419.06</v>
      </c>
      <c r="D25" s="74">
        <v>419.17</v>
      </c>
      <c r="E25" s="82">
        <v>1.3071999999999999</v>
      </c>
      <c r="F25" s="82"/>
    </row>
    <row r="26" spans="1:6" ht="18.75" customHeight="1" x14ac:dyDescent="0.25">
      <c r="A26" s="7">
        <v>105</v>
      </c>
      <c r="B26" s="82">
        <v>1.5616000000000001</v>
      </c>
      <c r="C26" s="72">
        <v>2513</v>
      </c>
      <c r="D26" s="72">
        <v>2684.8</v>
      </c>
      <c r="E26" s="82">
        <v>7.3418000000000001</v>
      </c>
      <c r="F26" s="82"/>
    </row>
    <row r="27" spans="1:6" ht="18.75" customHeight="1" x14ac:dyDescent="0.25">
      <c r="A27" s="7">
        <v>110</v>
      </c>
      <c r="B27" s="82">
        <v>1.5839000000000001</v>
      </c>
      <c r="C27" s="72">
        <v>2521</v>
      </c>
      <c r="D27" s="72">
        <v>2695.2</v>
      </c>
      <c r="E27" s="82">
        <v>7.3689999999999998</v>
      </c>
      <c r="F27" s="82"/>
    </row>
    <row r="28" spans="1:6" ht="18.75" customHeight="1" x14ac:dyDescent="0.25">
      <c r="A28" s="7">
        <v>115</v>
      </c>
      <c r="B28" s="82">
        <v>1.6061000000000001</v>
      </c>
      <c r="C28" s="72">
        <v>2528.6999999999998</v>
      </c>
      <c r="D28" s="72">
        <v>2705.4</v>
      </c>
      <c r="E28" s="82">
        <v>7.3956</v>
      </c>
      <c r="F28" s="82"/>
    </row>
    <row r="29" spans="1:6" ht="18.75" customHeight="1" x14ac:dyDescent="0.25">
      <c r="A29" s="7">
        <v>120</v>
      </c>
      <c r="B29" s="82">
        <v>1.6281000000000001</v>
      </c>
      <c r="C29" s="72">
        <v>2536.5</v>
      </c>
      <c r="D29" s="72">
        <v>2715.6</v>
      </c>
      <c r="E29" s="82">
        <v>7.4217000000000004</v>
      </c>
      <c r="F29" s="82"/>
    </row>
    <row r="30" spans="1:6" ht="18.75" customHeight="1" x14ac:dyDescent="0.25">
      <c r="A30" s="7">
        <v>125</v>
      </c>
      <c r="B30" s="82">
        <v>1.6500999999999999</v>
      </c>
      <c r="C30" s="72">
        <v>2544.1999999999998</v>
      </c>
      <c r="D30" s="72">
        <v>2725.7</v>
      </c>
      <c r="E30" s="82">
        <v>7.4473000000000003</v>
      </c>
      <c r="F30" s="82"/>
    </row>
    <row r="31" spans="1:6" ht="18.75" customHeight="1" x14ac:dyDescent="0.25">
      <c r="A31" s="7">
        <v>130</v>
      </c>
      <c r="B31" s="82">
        <v>1.6719999999999999</v>
      </c>
      <c r="C31" s="72">
        <v>2551.9</v>
      </c>
      <c r="D31" s="72">
        <v>2735.8</v>
      </c>
      <c r="E31" s="82">
        <v>7.4725000000000001</v>
      </c>
      <c r="F31" s="82"/>
    </row>
    <row r="32" spans="1:6" ht="18.75" customHeight="1" x14ac:dyDescent="0.25">
      <c r="A32" s="7">
        <v>135</v>
      </c>
      <c r="B32" s="82">
        <v>1.6939</v>
      </c>
      <c r="C32" s="72">
        <v>2559.6</v>
      </c>
      <c r="D32" s="72">
        <v>2745.9</v>
      </c>
      <c r="E32" s="82">
        <v>7.4973000000000001</v>
      </c>
      <c r="F32" s="82"/>
    </row>
    <row r="33" spans="1:6" ht="18.75" customHeight="1" x14ac:dyDescent="0.25">
      <c r="A33" s="7">
        <v>140</v>
      </c>
      <c r="B33" s="82">
        <v>1.7157</v>
      </c>
      <c r="C33" s="72">
        <v>2567.1999999999998</v>
      </c>
      <c r="D33" s="72">
        <v>2755.9</v>
      </c>
      <c r="E33" s="82">
        <v>7.5217000000000001</v>
      </c>
      <c r="F33" s="82"/>
    </row>
    <row r="34" spans="1:6" ht="18.75" customHeight="1" x14ac:dyDescent="0.25">
      <c r="A34" s="7">
        <v>145</v>
      </c>
      <c r="B34" s="82">
        <v>1.7374000000000001</v>
      </c>
      <c r="C34" s="72">
        <v>2574.8000000000002</v>
      </c>
      <c r="D34" s="72">
        <v>2765.9</v>
      </c>
      <c r="E34" s="82">
        <v>7.5457000000000001</v>
      </c>
      <c r="F34" s="82"/>
    </row>
    <row r="35" spans="1:6" ht="18.75" customHeight="1" x14ac:dyDescent="0.25">
      <c r="A35" s="7">
        <v>150</v>
      </c>
      <c r="B35" s="82">
        <v>1.7591000000000001</v>
      </c>
      <c r="C35" s="72">
        <v>2582.4</v>
      </c>
      <c r="D35" s="72">
        <v>2775.9</v>
      </c>
      <c r="E35" s="82">
        <v>7.5693999999999999</v>
      </c>
      <c r="F35" s="82"/>
    </row>
    <row r="36" spans="1:6" ht="18.75" customHeight="1" x14ac:dyDescent="0.25">
      <c r="A36" s="7">
        <v>155</v>
      </c>
      <c r="B36" s="82">
        <v>1.7806999999999999</v>
      </c>
      <c r="C36" s="72">
        <v>2589.9</v>
      </c>
      <c r="D36" s="72">
        <v>2785.8</v>
      </c>
      <c r="E36" s="82">
        <v>7.5928000000000004</v>
      </c>
      <c r="F36" s="82"/>
    </row>
    <row r="37" spans="1:6" ht="18.75" customHeight="1" x14ac:dyDescent="0.25">
      <c r="A37" s="7">
        <v>160</v>
      </c>
      <c r="B37" s="82">
        <v>1.8023</v>
      </c>
      <c r="C37" s="72">
        <v>2597.5</v>
      </c>
      <c r="D37" s="72">
        <v>2795.8</v>
      </c>
      <c r="E37" s="82">
        <v>7.6158999999999999</v>
      </c>
      <c r="F37" s="82"/>
    </row>
    <row r="38" spans="1:6" ht="18.75" customHeight="1" x14ac:dyDescent="0.25">
      <c r="A38" s="7">
        <v>165</v>
      </c>
      <c r="B38" s="82">
        <v>1.8239000000000001</v>
      </c>
      <c r="C38" s="72">
        <v>2605.1</v>
      </c>
      <c r="D38" s="72">
        <v>2805.7</v>
      </c>
      <c r="E38" s="82">
        <v>7.6387</v>
      </c>
      <c r="F38" s="82"/>
    </row>
    <row r="39" spans="1:6" ht="18.75" customHeight="1" x14ac:dyDescent="0.25">
      <c r="A39" s="7">
        <v>170</v>
      </c>
      <c r="B39" s="82">
        <v>1.8453999999999999</v>
      </c>
      <c r="C39" s="72">
        <v>2612.6</v>
      </c>
      <c r="D39" s="72">
        <v>2815.6</v>
      </c>
      <c r="E39" s="82">
        <v>7.6612</v>
      </c>
      <c r="F39" s="82"/>
    </row>
    <row r="40" spans="1:6" ht="18.75" customHeight="1" x14ac:dyDescent="0.25">
      <c r="A40" s="7">
        <v>175</v>
      </c>
      <c r="B40" s="82">
        <v>1.8669</v>
      </c>
      <c r="C40" s="72">
        <v>2620.1</v>
      </c>
      <c r="D40" s="72">
        <v>2825.5</v>
      </c>
      <c r="E40" s="82">
        <v>7.6833999999999998</v>
      </c>
      <c r="F40" s="82"/>
    </row>
    <row r="41" spans="1:6" ht="18.75" customHeight="1" x14ac:dyDescent="0.25">
      <c r="A41" s="7">
        <v>180</v>
      </c>
      <c r="B41" s="82">
        <v>1.8883000000000001</v>
      </c>
      <c r="C41" s="72">
        <v>2627.7</v>
      </c>
      <c r="D41" s="72">
        <v>2835.4</v>
      </c>
      <c r="E41" s="82">
        <v>7.7054</v>
      </c>
      <c r="F41" s="82"/>
    </row>
    <row r="42" spans="1:6" ht="18.75" customHeight="1" x14ac:dyDescent="0.25">
      <c r="A42" s="7">
        <v>185</v>
      </c>
      <c r="B42" s="82">
        <v>1.9097999999999999</v>
      </c>
      <c r="C42" s="72">
        <v>2635.2</v>
      </c>
      <c r="D42" s="72">
        <v>2845.3</v>
      </c>
      <c r="E42" s="82">
        <v>7.7271000000000001</v>
      </c>
      <c r="F42" s="82"/>
    </row>
    <row r="43" spans="1:6" ht="18.75" customHeight="1" x14ac:dyDescent="0.25">
      <c r="A43" s="7">
        <v>190</v>
      </c>
      <c r="B43" s="82">
        <v>1.9312</v>
      </c>
      <c r="C43" s="72">
        <v>2642.8</v>
      </c>
      <c r="D43" s="72">
        <v>2855.2</v>
      </c>
      <c r="E43" s="82">
        <v>7.7485999999999997</v>
      </c>
      <c r="F43" s="82"/>
    </row>
    <row r="44" spans="1:6" ht="18.75" customHeight="1" x14ac:dyDescent="0.25">
      <c r="A44" s="7">
        <v>195</v>
      </c>
      <c r="B44" s="82">
        <v>1.9524999999999999</v>
      </c>
      <c r="C44" s="72">
        <v>2650.3</v>
      </c>
      <c r="D44" s="72">
        <v>2865.1</v>
      </c>
      <c r="E44" s="82">
        <v>7.7698</v>
      </c>
      <c r="F44" s="82"/>
    </row>
    <row r="45" spans="1:6" ht="18.75" customHeight="1" x14ac:dyDescent="0.25">
      <c r="A45" s="7">
        <v>200</v>
      </c>
      <c r="B45" s="82">
        <v>1.9739</v>
      </c>
      <c r="C45" s="72">
        <v>2657.9</v>
      </c>
      <c r="D45" s="72">
        <v>2875</v>
      </c>
      <c r="E45" s="82">
        <v>7.7907999999999999</v>
      </c>
      <c r="F45" s="82"/>
    </row>
    <row r="46" spans="1:6" ht="18.75" customHeight="1" x14ac:dyDescent="0.25">
      <c r="A46" s="7">
        <v>210</v>
      </c>
      <c r="B46" s="82">
        <v>2.0165999999999999</v>
      </c>
      <c r="C46" s="72">
        <v>2673</v>
      </c>
      <c r="D46" s="72">
        <v>2894.8</v>
      </c>
      <c r="E46" s="82">
        <v>7.8322000000000003</v>
      </c>
      <c r="F46" s="82"/>
    </row>
    <row r="47" spans="1:6" ht="18.75" customHeight="1" x14ac:dyDescent="0.25">
      <c r="A47" s="7">
        <v>220</v>
      </c>
      <c r="B47" s="82">
        <v>2.0592000000000001</v>
      </c>
      <c r="C47" s="72">
        <v>2688.1</v>
      </c>
      <c r="D47" s="72">
        <v>2914.6</v>
      </c>
      <c r="E47" s="82">
        <v>7.8727999999999998</v>
      </c>
      <c r="F47" s="82"/>
    </row>
    <row r="48" spans="1:6" ht="18.75" customHeight="1" x14ac:dyDescent="0.25">
      <c r="A48" s="7">
        <v>230</v>
      </c>
      <c r="B48" s="82">
        <v>2.1017000000000001</v>
      </c>
      <c r="C48" s="72">
        <v>2703.2</v>
      </c>
      <c r="D48" s="72">
        <v>2934.4</v>
      </c>
      <c r="E48" s="82">
        <v>7.9126000000000003</v>
      </c>
      <c r="F48" s="82"/>
    </row>
    <row r="49" spans="1:6" ht="18.75" customHeight="1" x14ac:dyDescent="0.25">
      <c r="A49" s="7">
        <v>240</v>
      </c>
      <c r="B49" s="82">
        <v>2.1442000000000001</v>
      </c>
      <c r="C49" s="72">
        <v>2718.4</v>
      </c>
      <c r="D49" s="72">
        <v>2954.3</v>
      </c>
      <c r="E49" s="82">
        <v>7.9516999999999998</v>
      </c>
      <c r="F49" s="82"/>
    </row>
    <row r="50" spans="1:6" ht="18.75" customHeight="1" x14ac:dyDescent="0.25">
      <c r="A50" s="7">
        <v>250</v>
      </c>
      <c r="B50" s="82">
        <v>2.1867000000000001</v>
      </c>
      <c r="C50" s="72">
        <v>2733.7</v>
      </c>
      <c r="D50" s="72">
        <v>2974.2</v>
      </c>
      <c r="E50" s="82">
        <v>7.9901</v>
      </c>
      <c r="F50" s="82"/>
    </row>
    <row r="51" spans="1:6" ht="17.399999999999999" customHeight="1" x14ac:dyDescent="0.25">
      <c r="A51" s="7">
        <v>260</v>
      </c>
      <c r="B51" s="82">
        <v>2.2290999999999999</v>
      </c>
      <c r="C51" s="72">
        <v>2748.9</v>
      </c>
      <c r="D51" s="72">
        <v>2994.1</v>
      </c>
      <c r="E51" s="82">
        <v>8.0279000000000007</v>
      </c>
      <c r="F51" s="82"/>
    </row>
    <row r="52" spans="1:6" ht="18.75" customHeight="1" x14ac:dyDescent="0.25">
      <c r="A52" s="7">
        <v>270</v>
      </c>
      <c r="B52" s="82">
        <v>2.2713999999999999</v>
      </c>
      <c r="C52" s="72">
        <v>2764.2</v>
      </c>
      <c r="D52" s="72">
        <v>3014.1</v>
      </c>
      <c r="E52" s="82">
        <v>8.0649999999999995</v>
      </c>
      <c r="F52" s="82"/>
    </row>
    <row r="53" spans="1:6" ht="18.75" customHeight="1" x14ac:dyDescent="0.25">
      <c r="A53" s="7">
        <v>280</v>
      </c>
      <c r="B53" s="82">
        <v>2.3138000000000001</v>
      </c>
      <c r="C53" s="72">
        <v>2779.6</v>
      </c>
      <c r="D53" s="72">
        <v>3034.1</v>
      </c>
      <c r="E53" s="82">
        <v>8.1014999999999997</v>
      </c>
      <c r="F53" s="82"/>
    </row>
    <row r="54" spans="1:6" ht="18.75" customHeight="1" x14ac:dyDescent="0.25">
      <c r="A54" s="7">
        <v>290</v>
      </c>
      <c r="B54" s="82">
        <v>2.3561000000000001</v>
      </c>
      <c r="C54" s="72">
        <v>2795</v>
      </c>
      <c r="D54" s="72">
        <v>3054.2</v>
      </c>
      <c r="E54" s="82">
        <v>8.1373999999999995</v>
      </c>
      <c r="F54" s="82"/>
    </row>
    <row r="55" spans="1:6" ht="18.75" customHeight="1" x14ac:dyDescent="0.25">
      <c r="A55" s="7">
        <v>300</v>
      </c>
      <c r="B55" s="82">
        <v>2.3984000000000001</v>
      </c>
      <c r="C55" s="72">
        <v>2810.5</v>
      </c>
      <c r="D55" s="72">
        <v>3074.3</v>
      </c>
      <c r="E55" s="82">
        <v>8.1729000000000003</v>
      </c>
      <c r="F55" s="82"/>
    </row>
    <row r="56" spans="1:6" ht="18.75" customHeight="1" x14ac:dyDescent="0.25">
      <c r="A56" s="7">
        <v>310</v>
      </c>
      <c r="B56" s="82">
        <v>2.4405999999999999</v>
      </c>
      <c r="C56" s="72">
        <v>2826</v>
      </c>
      <c r="D56" s="72">
        <v>3094.5</v>
      </c>
      <c r="E56" s="82">
        <v>8.2077000000000009</v>
      </c>
      <c r="F56" s="82"/>
    </row>
    <row r="57" spans="1:6" ht="18.75" customHeight="1" x14ac:dyDescent="0.25">
      <c r="A57" s="7">
        <v>320</v>
      </c>
      <c r="B57" s="82">
        <v>2.4828999999999999</v>
      </c>
      <c r="C57" s="72">
        <v>2841.6</v>
      </c>
      <c r="D57" s="72">
        <v>3114.7</v>
      </c>
      <c r="E57" s="82">
        <v>8.2421000000000006</v>
      </c>
      <c r="F57" s="82"/>
    </row>
    <row r="58" spans="1:6" ht="18.75" customHeight="1" x14ac:dyDescent="0.25">
      <c r="A58" s="7">
        <v>330</v>
      </c>
      <c r="B58" s="82">
        <v>2.5251000000000001</v>
      </c>
      <c r="C58" s="72">
        <v>2857.1</v>
      </c>
      <c r="D58" s="72">
        <v>3134.9</v>
      </c>
      <c r="E58" s="82">
        <v>8.2759999999999998</v>
      </c>
      <c r="F58" s="82"/>
    </row>
    <row r="59" spans="1:6" ht="18.75" customHeight="1" x14ac:dyDescent="0.25">
      <c r="A59" s="7">
        <v>340</v>
      </c>
      <c r="B59" s="82">
        <v>2.5672999999999999</v>
      </c>
      <c r="C59" s="72">
        <v>2872.9</v>
      </c>
      <c r="D59" s="72">
        <v>3155.3</v>
      </c>
      <c r="E59" s="82">
        <v>8.3094000000000001</v>
      </c>
      <c r="F59" s="82"/>
    </row>
    <row r="60" spans="1:6" ht="18.75" customHeight="1" x14ac:dyDescent="0.25">
      <c r="A60" s="7">
        <v>350</v>
      </c>
      <c r="B60" s="82">
        <v>2.6095000000000002</v>
      </c>
      <c r="C60" s="72">
        <v>2888.6</v>
      </c>
      <c r="D60" s="72">
        <v>3175.6</v>
      </c>
      <c r="E60" s="82">
        <v>8.3423999999999996</v>
      </c>
      <c r="F60" s="82"/>
    </row>
    <row r="61" spans="1:6" ht="18.75" customHeight="1" x14ac:dyDescent="0.25">
      <c r="A61" s="7">
        <v>360</v>
      </c>
      <c r="B61" s="82">
        <v>2.6516999999999999</v>
      </c>
      <c r="C61" s="72">
        <v>2904.4</v>
      </c>
      <c r="D61" s="72">
        <v>3196.1</v>
      </c>
      <c r="E61" s="82">
        <v>8.3749000000000002</v>
      </c>
      <c r="F61" s="82"/>
    </row>
    <row r="62" spans="1:6" ht="18.75" customHeight="1" x14ac:dyDescent="0.25">
      <c r="A62" s="7">
        <v>370</v>
      </c>
      <c r="B62" s="82">
        <v>2.6938</v>
      </c>
      <c r="C62" s="72">
        <v>2920.3</v>
      </c>
      <c r="D62" s="72">
        <v>3216.6</v>
      </c>
      <c r="E62" s="82">
        <v>8.407</v>
      </c>
      <c r="F62" s="82"/>
    </row>
    <row r="63" spans="1:6" ht="18.75" customHeight="1" x14ac:dyDescent="0.25">
      <c r="A63" s="7">
        <v>380</v>
      </c>
      <c r="B63" s="82">
        <v>2.7360000000000002</v>
      </c>
      <c r="C63" s="72">
        <v>2936.1</v>
      </c>
      <c r="D63" s="72">
        <v>3237.1</v>
      </c>
      <c r="E63" s="82">
        <v>8.4387000000000008</v>
      </c>
      <c r="F63" s="82"/>
    </row>
    <row r="64" spans="1:6" ht="18.75" customHeight="1" x14ac:dyDescent="0.25">
      <c r="A64" s="7">
        <v>390</v>
      </c>
      <c r="B64" s="82">
        <v>2.7780999999999998</v>
      </c>
      <c r="C64" s="72">
        <v>2952.1</v>
      </c>
      <c r="D64" s="72">
        <v>3257.7</v>
      </c>
      <c r="E64" s="82">
        <v>8.4701000000000004</v>
      </c>
      <c r="F64" s="82"/>
    </row>
    <row r="65" spans="1:6" ht="18.75" customHeight="1" x14ac:dyDescent="0.25">
      <c r="A65" s="7">
        <v>400</v>
      </c>
      <c r="B65" s="82">
        <v>2.8203</v>
      </c>
      <c r="C65" s="72">
        <v>2968.2</v>
      </c>
      <c r="D65" s="72">
        <v>3278.4</v>
      </c>
      <c r="E65" s="82">
        <v>8.5009999999999994</v>
      </c>
      <c r="F65" s="82"/>
    </row>
    <row r="66" spans="1:6" ht="18.75" customHeight="1" x14ac:dyDescent="0.25">
      <c r="A66" s="7">
        <v>410</v>
      </c>
      <c r="B66" s="82">
        <v>2.8624000000000001</v>
      </c>
      <c r="C66" s="72">
        <v>2984.2</v>
      </c>
      <c r="D66" s="72">
        <v>3299.1</v>
      </c>
      <c r="E66" s="82">
        <v>8.5315999999999992</v>
      </c>
      <c r="F66" s="82"/>
    </row>
    <row r="67" spans="1:6" ht="18.75" customHeight="1" x14ac:dyDescent="0.25">
      <c r="A67" s="7">
        <v>420</v>
      </c>
      <c r="B67" s="82">
        <v>2.9045000000000001</v>
      </c>
      <c r="C67" s="72">
        <v>3000.4</v>
      </c>
      <c r="D67" s="72">
        <v>3319.9</v>
      </c>
      <c r="E67" s="82">
        <v>8.5617999999999999</v>
      </c>
      <c r="F67" s="82"/>
    </row>
    <row r="68" spans="1:6" ht="18.75" customHeight="1" x14ac:dyDescent="0.25">
      <c r="A68" s="7">
        <v>430</v>
      </c>
      <c r="B68" s="82">
        <v>2.9466000000000001</v>
      </c>
      <c r="C68" s="72">
        <v>3016.7</v>
      </c>
      <c r="D68" s="72">
        <v>3340.8</v>
      </c>
      <c r="E68" s="82">
        <v>8.5916999999999994</v>
      </c>
      <c r="F68" s="82"/>
    </row>
    <row r="69" spans="1:6" ht="18.75" customHeight="1" x14ac:dyDescent="0.25">
      <c r="A69" s="7">
        <v>440</v>
      </c>
      <c r="B69" s="82">
        <v>2.9887000000000001</v>
      </c>
      <c r="C69" s="72">
        <v>3032.9</v>
      </c>
      <c r="D69" s="72">
        <v>3361.7</v>
      </c>
      <c r="E69" s="82">
        <v>8.6212</v>
      </c>
      <c r="F69" s="82"/>
    </row>
    <row r="70" spans="1:6" ht="18.75" customHeight="1" x14ac:dyDescent="0.25">
      <c r="A70" s="7">
        <v>450</v>
      </c>
      <c r="B70" s="82">
        <v>3.0308000000000002</v>
      </c>
      <c r="C70" s="72">
        <v>3049.3</v>
      </c>
      <c r="D70" s="72">
        <v>3382.7</v>
      </c>
      <c r="E70" s="82">
        <v>8.6503999999999994</v>
      </c>
      <c r="F70" s="82"/>
    </row>
    <row r="71" spans="1:6" ht="18.75" customHeight="1" x14ac:dyDescent="0.25">
      <c r="A71" s="7">
        <v>460</v>
      </c>
      <c r="B71" s="82">
        <v>3.0729000000000002</v>
      </c>
      <c r="C71" s="72">
        <v>3065.8</v>
      </c>
      <c r="D71" s="72">
        <v>3403.8</v>
      </c>
      <c r="E71" s="82">
        <v>8.6793999999999993</v>
      </c>
      <c r="F71" s="82"/>
    </row>
    <row r="72" spans="1:6" ht="18.75" customHeight="1" x14ac:dyDescent="0.25">
      <c r="A72" s="7">
        <v>470</v>
      </c>
      <c r="B72" s="82">
        <v>3.1149</v>
      </c>
      <c r="C72" s="72">
        <v>3082.3</v>
      </c>
      <c r="D72" s="72">
        <v>3424.9</v>
      </c>
      <c r="E72" s="82">
        <v>8.7080000000000002</v>
      </c>
      <c r="F72" s="82"/>
    </row>
    <row r="73" spans="1:6" ht="18.75" customHeight="1" x14ac:dyDescent="0.25">
      <c r="A73" s="7">
        <v>480</v>
      </c>
      <c r="B73" s="82">
        <v>3.157</v>
      </c>
      <c r="C73" s="72">
        <v>3098.8</v>
      </c>
      <c r="D73" s="72">
        <v>3446.1</v>
      </c>
      <c r="E73" s="82">
        <v>8.7363</v>
      </c>
      <c r="F73" s="82"/>
    </row>
    <row r="74" spans="1:6" ht="18.75" customHeight="1" x14ac:dyDescent="0.25">
      <c r="A74" s="7">
        <v>490</v>
      </c>
      <c r="B74" s="82">
        <v>3.1991000000000001</v>
      </c>
      <c r="C74" s="72">
        <v>3115.4</v>
      </c>
      <c r="D74" s="72">
        <v>3467.3</v>
      </c>
      <c r="E74" s="82">
        <v>8.7643000000000004</v>
      </c>
      <c r="F74" s="82"/>
    </row>
    <row r="75" spans="1:6" ht="18.75" customHeight="1" x14ac:dyDescent="0.25">
      <c r="A75" s="7">
        <v>500</v>
      </c>
      <c r="B75" s="82">
        <v>3.2410999999999999</v>
      </c>
      <c r="C75" s="72">
        <v>3132.1</v>
      </c>
      <c r="D75" s="72">
        <v>3488.6</v>
      </c>
      <c r="E75" s="82">
        <v>8.7920999999999996</v>
      </c>
      <c r="F75" s="82"/>
    </row>
    <row r="76" spans="1:6" ht="18.75" customHeight="1" x14ac:dyDescent="0.25">
      <c r="A76" s="7">
        <v>520</v>
      </c>
      <c r="B76" s="82">
        <v>3.3252999999999999</v>
      </c>
      <c r="C76" s="72">
        <v>3165.7</v>
      </c>
      <c r="D76" s="72">
        <v>3531.5</v>
      </c>
      <c r="E76" s="82">
        <v>8.8467000000000002</v>
      </c>
      <c r="F76" s="82"/>
    </row>
    <row r="77" spans="1:6" ht="18.75" customHeight="1" x14ac:dyDescent="0.25">
      <c r="A77" s="7">
        <v>540</v>
      </c>
      <c r="B77" s="82">
        <v>3.4093</v>
      </c>
      <c r="C77" s="72">
        <v>3199.6</v>
      </c>
      <c r="D77" s="72">
        <v>3574.6</v>
      </c>
      <c r="E77" s="82">
        <v>8.9003999999999994</v>
      </c>
      <c r="F77" s="82"/>
    </row>
    <row r="78" spans="1:6" ht="18.75" customHeight="1" x14ac:dyDescent="0.25">
      <c r="A78" s="7">
        <v>560</v>
      </c>
      <c r="B78" s="82">
        <v>3.4933999999999998</v>
      </c>
      <c r="C78" s="72">
        <v>3233.6</v>
      </c>
      <c r="D78" s="72">
        <v>3617.9</v>
      </c>
      <c r="E78" s="82">
        <v>8.9530999999999992</v>
      </c>
      <c r="F78" s="82"/>
    </row>
    <row r="79" spans="1:6" ht="18.75" customHeight="1" x14ac:dyDescent="0.25">
      <c r="A79" s="7">
        <v>580</v>
      </c>
      <c r="B79" s="82">
        <v>3.5775000000000001</v>
      </c>
      <c r="C79" s="72">
        <v>3268.1</v>
      </c>
      <c r="D79" s="72">
        <v>3661.6</v>
      </c>
      <c r="E79" s="82">
        <v>9.0048999999999992</v>
      </c>
      <c r="F79" s="82"/>
    </row>
    <row r="80" spans="1:6" ht="18.75" customHeight="1" x14ac:dyDescent="0.25">
      <c r="A80" s="7">
        <v>600</v>
      </c>
      <c r="B80" s="82">
        <v>3.6615000000000002</v>
      </c>
      <c r="C80" s="72">
        <v>3302.7</v>
      </c>
      <c r="D80" s="72">
        <v>3705.5</v>
      </c>
      <c r="E80" s="82">
        <v>9.0557999999999996</v>
      </c>
      <c r="F80" s="82"/>
    </row>
    <row r="81" spans="1:6" ht="18.75" customHeight="1" x14ac:dyDescent="0.25">
      <c r="A81" s="7">
        <v>620</v>
      </c>
      <c r="B81" s="82">
        <v>3.7456</v>
      </c>
      <c r="C81" s="72">
        <v>3337.7</v>
      </c>
      <c r="D81" s="72">
        <v>3749.7</v>
      </c>
      <c r="E81" s="82">
        <v>9.1058000000000003</v>
      </c>
      <c r="F81" s="82"/>
    </row>
    <row r="82" spans="1:6" ht="18.75" customHeight="1" x14ac:dyDescent="0.25">
      <c r="A82" s="7">
        <v>640</v>
      </c>
      <c r="B82" s="82">
        <v>3.8296000000000001</v>
      </c>
      <c r="C82" s="72">
        <v>3372.9</v>
      </c>
      <c r="D82" s="72">
        <v>3794.2</v>
      </c>
      <c r="E82" s="82">
        <v>9.1550999999999991</v>
      </c>
      <c r="F82" s="82"/>
    </row>
    <row r="83" spans="1:6" ht="18.75" customHeight="1" x14ac:dyDescent="0.25">
      <c r="A83" s="7">
        <v>660</v>
      </c>
      <c r="B83" s="82">
        <v>3.9136000000000002</v>
      </c>
      <c r="C83" s="72">
        <v>3408.4</v>
      </c>
      <c r="D83" s="72">
        <v>3838.9</v>
      </c>
      <c r="E83" s="82">
        <v>9.2035999999999998</v>
      </c>
      <c r="F83" s="82"/>
    </row>
    <row r="84" spans="1:6" ht="18.75" customHeight="1" x14ac:dyDescent="0.25">
      <c r="A84" s="7">
        <v>680</v>
      </c>
      <c r="B84" s="82">
        <v>3.9977</v>
      </c>
      <c r="C84" s="72">
        <v>3444.3</v>
      </c>
      <c r="D84" s="72">
        <v>3884</v>
      </c>
      <c r="E84" s="82">
        <v>9.2513000000000005</v>
      </c>
      <c r="F84" s="82"/>
    </row>
    <row r="85" spans="1:6" ht="18.75" customHeight="1" x14ac:dyDescent="0.25">
      <c r="A85" s="7">
        <v>700</v>
      </c>
      <c r="B85" s="82">
        <v>4.0816999999999997</v>
      </c>
      <c r="C85" s="72">
        <v>3480.3</v>
      </c>
      <c r="D85" s="72">
        <v>3929.3</v>
      </c>
      <c r="E85" s="82">
        <v>9.2984000000000009</v>
      </c>
      <c r="F85" s="82"/>
    </row>
    <row r="86" spans="1:6" ht="18.75" customHeight="1" x14ac:dyDescent="0.25">
      <c r="A86" s="7">
        <v>720</v>
      </c>
      <c r="B86" s="82">
        <v>4.1657000000000002</v>
      </c>
      <c r="C86" s="72">
        <v>3516.7</v>
      </c>
      <c r="D86" s="72">
        <v>3974.9</v>
      </c>
      <c r="E86" s="82">
        <v>9.3447999999999993</v>
      </c>
      <c r="F86" s="82"/>
    </row>
    <row r="87" spans="1:6" ht="18.75" customHeight="1" x14ac:dyDescent="0.25">
      <c r="A87" s="7">
        <v>740</v>
      </c>
      <c r="B87" s="82">
        <v>4.2496999999999998</v>
      </c>
      <c r="C87" s="72">
        <v>3553.3</v>
      </c>
      <c r="D87" s="72">
        <v>4020.8</v>
      </c>
      <c r="E87" s="82">
        <v>9.3904999999999994</v>
      </c>
      <c r="F87" s="82"/>
    </row>
    <row r="88" spans="1:6" ht="18.75" customHeight="1" x14ac:dyDescent="0.25">
      <c r="A88" s="7">
        <v>760</v>
      </c>
      <c r="B88" s="82">
        <v>4.3337000000000003</v>
      </c>
      <c r="C88" s="72">
        <v>3590.3</v>
      </c>
      <c r="D88" s="72">
        <v>4067</v>
      </c>
      <c r="E88" s="82">
        <v>9.4356000000000009</v>
      </c>
      <c r="F88" s="82"/>
    </row>
    <row r="89" spans="1:6" ht="18.75" customHeight="1" x14ac:dyDescent="0.25">
      <c r="A89" s="7">
        <v>780</v>
      </c>
      <c r="B89" s="82">
        <v>4.4177</v>
      </c>
      <c r="C89" s="72">
        <v>3627.5</v>
      </c>
      <c r="D89" s="72">
        <v>4113.3999999999996</v>
      </c>
      <c r="E89" s="82">
        <v>9.4802</v>
      </c>
      <c r="F89" s="82"/>
    </row>
    <row r="90" spans="1:6" ht="18.75" customHeight="1" x14ac:dyDescent="0.25">
      <c r="A90" s="7">
        <v>800</v>
      </c>
      <c r="B90" s="82">
        <v>4.5015999999999998</v>
      </c>
      <c r="C90" s="72">
        <v>3665</v>
      </c>
      <c r="D90" s="72">
        <v>4160.2</v>
      </c>
      <c r="E90" s="82">
        <v>9.5241000000000007</v>
      </c>
      <c r="F90" s="82"/>
    </row>
    <row r="91" spans="1:6" ht="18.75" customHeight="1" x14ac:dyDescent="0.25">
      <c r="A91" s="7">
        <v>820</v>
      </c>
      <c r="B91" s="82">
        <v>4.5856000000000003</v>
      </c>
      <c r="C91" s="72">
        <v>3702.8</v>
      </c>
      <c r="D91" s="72">
        <v>4207.2</v>
      </c>
      <c r="E91" s="82">
        <v>9.5675000000000008</v>
      </c>
      <c r="F91" s="82"/>
    </row>
    <row r="92" spans="1:6" ht="18.75" customHeight="1" x14ac:dyDescent="0.25">
      <c r="A92" s="7">
        <v>840</v>
      </c>
      <c r="B92" s="82">
        <v>4.6696</v>
      </c>
      <c r="C92" s="72">
        <v>3740.8</v>
      </c>
      <c r="D92" s="72">
        <v>4254.5</v>
      </c>
      <c r="E92" s="82">
        <v>9.6104000000000003</v>
      </c>
      <c r="F92" s="82"/>
    </row>
    <row r="93" spans="1:6" ht="18.75" customHeight="1" x14ac:dyDescent="0.25">
      <c r="A93" s="7">
        <v>860</v>
      </c>
      <c r="B93" s="82">
        <v>4.7535999999999996</v>
      </c>
      <c r="C93" s="72">
        <v>3779.1</v>
      </c>
      <c r="D93" s="72">
        <v>4302</v>
      </c>
      <c r="E93" s="82">
        <v>9.6526999999999994</v>
      </c>
      <c r="F93" s="82"/>
    </row>
    <row r="94" spans="1:6" ht="18.75" customHeight="1" x14ac:dyDescent="0.25">
      <c r="A94" s="7">
        <v>880</v>
      </c>
      <c r="B94" s="82">
        <v>4.8375000000000004</v>
      </c>
      <c r="C94" s="72">
        <v>3817.8</v>
      </c>
      <c r="D94" s="72">
        <v>4349.8999999999996</v>
      </c>
      <c r="E94" s="82">
        <v>9.6945999999999994</v>
      </c>
      <c r="F94" s="82"/>
    </row>
    <row r="95" spans="1:6" ht="18.75" customHeight="1" x14ac:dyDescent="0.25">
      <c r="A95" s="7">
        <v>900</v>
      </c>
      <c r="B95" s="82">
        <v>4.9215</v>
      </c>
      <c r="C95" s="72">
        <v>3856.6</v>
      </c>
      <c r="D95" s="72">
        <v>4398</v>
      </c>
      <c r="E95" s="82">
        <v>9.7360000000000007</v>
      </c>
      <c r="F95" s="82"/>
    </row>
    <row r="96" spans="1:6" ht="18.75" customHeight="1" x14ac:dyDescent="0.25">
      <c r="A96" s="7">
        <v>920</v>
      </c>
      <c r="B96" s="82">
        <v>5.0054999999999996</v>
      </c>
      <c r="C96" s="72">
        <v>3895.8</v>
      </c>
      <c r="D96" s="72">
        <v>4446.3999999999996</v>
      </c>
      <c r="E96" s="82">
        <v>9.7767999999999997</v>
      </c>
      <c r="F96" s="82"/>
    </row>
    <row r="97" spans="1:6" ht="18.75" customHeight="1" x14ac:dyDescent="0.25">
      <c r="A97" s="7">
        <v>940</v>
      </c>
      <c r="B97" s="82">
        <v>5.0894000000000004</v>
      </c>
      <c r="C97" s="72">
        <v>3935.2</v>
      </c>
      <c r="D97" s="72">
        <v>4495</v>
      </c>
      <c r="E97" s="82">
        <v>9.8172999999999995</v>
      </c>
      <c r="F97" s="82"/>
    </row>
    <row r="98" spans="1:6" ht="18.75" customHeight="1" x14ac:dyDescent="0.25">
      <c r="A98" s="7">
        <v>960</v>
      </c>
      <c r="B98" s="82">
        <v>5.1734</v>
      </c>
      <c r="C98" s="72">
        <v>3974.8</v>
      </c>
      <c r="D98" s="72">
        <v>4543.8999999999996</v>
      </c>
      <c r="E98" s="82">
        <v>9.8573000000000004</v>
      </c>
      <c r="F98" s="82"/>
    </row>
    <row r="99" spans="1:6" ht="18.75" customHeight="1" x14ac:dyDescent="0.25">
      <c r="A99" s="7">
        <v>980</v>
      </c>
      <c r="B99" s="82">
        <v>5.2572999999999999</v>
      </c>
      <c r="C99" s="72">
        <v>4014.8</v>
      </c>
      <c r="D99" s="72">
        <v>4593.1000000000004</v>
      </c>
      <c r="E99" s="82">
        <v>9.8968000000000007</v>
      </c>
      <c r="F99" s="82"/>
    </row>
    <row r="100" spans="1:6" ht="13.8" x14ac:dyDescent="0.25">
      <c r="A100" s="7">
        <v>1000</v>
      </c>
      <c r="B100" s="82">
        <v>5.3413000000000004</v>
      </c>
      <c r="C100" s="72">
        <v>4055</v>
      </c>
      <c r="D100" s="72">
        <v>4642.5</v>
      </c>
      <c r="E100" s="82">
        <v>9.9359999999999999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100"/>
  <sheetViews>
    <sheetView topLeftCell="A15" workbookViewId="0">
      <selection activeCell="A26" sqref="A26:XFD26"/>
    </sheetView>
  </sheetViews>
  <sheetFormatPr defaultRowHeight="13.2" x14ac:dyDescent="0.25"/>
  <cols>
    <col min="1" max="1" width="6.21875" customWidth="1"/>
    <col min="2" max="2" width="11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43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120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3">
        <v>0</v>
      </c>
      <c r="B5" s="79">
        <v>1.00015E-3</v>
      </c>
      <c r="C5" s="74">
        <v>-0.04</v>
      </c>
      <c r="D5" s="74">
        <v>0.08</v>
      </c>
      <c r="E5" s="81">
        <v>-1.4999999999999999E-4</v>
      </c>
      <c r="F5" s="81"/>
      <c r="G5" s="28"/>
      <c r="H5" s="28"/>
    </row>
    <row r="6" spans="1:8" ht="18.75" customHeight="1" x14ac:dyDescent="0.25">
      <c r="A6" s="87">
        <v>5</v>
      </c>
      <c r="B6" s="79">
        <v>1.0000199999999999E-3</v>
      </c>
      <c r="C6" s="74">
        <v>21.02</v>
      </c>
      <c r="D6" s="74">
        <v>21.14</v>
      </c>
      <c r="E6" s="81">
        <v>7.6249999999999998E-2</v>
      </c>
      <c r="F6" s="81"/>
      <c r="G6" s="28"/>
    </row>
    <row r="7" spans="1:8" ht="18.75" customHeight="1" x14ac:dyDescent="0.25">
      <c r="A7" s="87">
        <v>10</v>
      </c>
      <c r="B7" s="79">
        <v>1.00029E-3</v>
      </c>
      <c r="C7" s="74">
        <v>42.02</v>
      </c>
      <c r="D7" s="74">
        <v>42.14</v>
      </c>
      <c r="E7" s="81">
        <v>0.15107999999999999</v>
      </c>
      <c r="F7" s="81"/>
      <c r="G7" s="28"/>
    </row>
    <row r="8" spans="1:8" ht="18.75" customHeight="1" x14ac:dyDescent="0.25">
      <c r="A8" s="87">
        <v>15</v>
      </c>
      <c r="B8" s="79">
        <v>1.0008899999999999E-3</v>
      </c>
      <c r="C8" s="74">
        <v>62.97</v>
      </c>
      <c r="D8" s="74">
        <v>63.09</v>
      </c>
      <c r="E8" s="81">
        <v>0.22445000000000001</v>
      </c>
      <c r="F8" s="81"/>
      <c r="G8" s="28"/>
    </row>
    <row r="9" spans="1:8" ht="18.75" customHeight="1" x14ac:dyDescent="0.25">
      <c r="A9" s="87">
        <v>20</v>
      </c>
      <c r="B9" s="79">
        <v>1.00179E-3</v>
      </c>
      <c r="C9" s="74">
        <v>83.9</v>
      </c>
      <c r="D9" s="74">
        <v>84.02</v>
      </c>
      <c r="E9" s="81">
        <v>0.29646</v>
      </c>
      <c r="F9" s="81"/>
      <c r="G9" s="28"/>
    </row>
    <row r="10" spans="1:8" ht="18.75" customHeight="1" x14ac:dyDescent="0.25">
      <c r="A10" s="87">
        <v>25</v>
      </c>
      <c r="B10" s="79">
        <v>1.0029500000000001E-3</v>
      </c>
      <c r="C10" s="74">
        <v>104.82</v>
      </c>
      <c r="D10" s="74">
        <v>104.94</v>
      </c>
      <c r="E10" s="81">
        <v>0.36719000000000002</v>
      </c>
      <c r="F10" s="81"/>
      <c r="G10" s="28"/>
    </row>
    <row r="11" spans="1:8" ht="18.75" customHeight="1" x14ac:dyDescent="0.25">
      <c r="A11" s="87">
        <v>30</v>
      </c>
      <c r="B11" s="79">
        <v>1.0043599999999999E-3</v>
      </c>
      <c r="C11" s="74">
        <v>125.72</v>
      </c>
      <c r="D11" s="74">
        <v>125.84</v>
      </c>
      <c r="E11" s="81">
        <v>0.43672</v>
      </c>
      <c r="F11" s="81"/>
      <c r="G11" s="28"/>
    </row>
    <row r="12" spans="1:8" ht="18.75" customHeight="1" x14ac:dyDescent="0.25">
      <c r="A12" s="87">
        <v>35</v>
      </c>
      <c r="B12" s="79">
        <v>1.00599E-3</v>
      </c>
      <c r="C12" s="74">
        <v>146.62</v>
      </c>
      <c r="D12" s="74">
        <v>146.74</v>
      </c>
      <c r="E12" s="81">
        <v>0.50509000000000004</v>
      </c>
      <c r="F12" s="81"/>
      <c r="G12" s="28"/>
    </row>
    <row r="13" spans="1:8" ht="18.75" customHeight="1" x14ac:dyDescent="0.25">
      <c r="A13" s="87">
        <v>40</v>
      </c>
      <c r="B13" s="79">
        <v>1.0078400000000001E-3</v>
      </c>
      <c r="C13" s="74">
        <v>167.51</v>
      </c>
      <c r="D13" s="74">
        <v>167.63</v>
      </c>
      <c r="E13" s="81">
        <v>0.57235999999999998</v>
      </c>
      <c r="F13" s="81"/>
      <c r="G13" s="28"/>
    </row>
    <row r="14" spans="1:8" ht="18.75" customHeight="1" x14ac:dyDescent="0.25">
      <c r="A14" s="87">
        <v>45</v>
      </c>
      <c r="B14" s="79">
        <v>1.0098799999999999E-3</v>
      </c>
      <c r="C14" s="74">
        <v>188.41</v>
      </c>
      <c r="D14" s="74">
        <v>188.53</v>
      </c>
      <c r="E14" s="81">
        <v>0.63856999999999997</v>
      </c>
      <c r="F14" s="81"/>
      <c r="G14" s="28"/>
    </row>
    <row r="15" spans="1:8" ht="18.75" customHeight="1" x14ac:dyDescent="0.25">
      <c r="A15" s="87">
        <v>50</v>
      </c>
      <c r="B15" s="79">
        <v>1.0120999999999999E-3</v>
      </c>
      <c r="C15" s="74">
        <v>209.31</v>
      </c>
      <c r="D15" s="74">
        <v>209.43</v>
      </c>
      <c r="E15" s="81">
        <v>0.70376000000000005</v>
      </c>
      <c r="F15" s="81"/>
      <c r="G15" s="28"/>
    </row>
    <row r="16" spans="1:8" ht="18.75" customHeight="1" x14ac:dyDescent="0.25">
      <c r="A16" s="87">
        <v>55</v>
      </c>
      <c r="B16" s="79">
        <v>1.0145099999999999E-3</v>
      </c>
      <c r="C16" s="74">
        <v>230.22</v>
      </c>
      <c r="D16" s="74">
        <v>230.34</v>
      </c>
      <c r="E16" s="81">
        <v>0.76797000000000004</v>
      </c>
      <c r="F16" s="81"/>
      <c r="G16" s="28"/>
    </row>
    <row r="17" spans="1:7" ht="18.75" customHeight="1" x14ac:dyDescent="0.25">
      <c r="A17" s="87">
        <v>60</v>
      </c>
      <c r="B17" s="79">
        <v>1.0170800000000001E-3</v>
      </c>
      <c r="C17" s="74">
        <v>251.14</v>
      </c>
      <c r="D17" s="74">
        <v>251.26</v>
      </c>
      <c r="E17" s="81">
        <v>0.83123999999999998</v>
      </c>
      <c r="F17" s="81"/>
      <c r="G17" s="28"/>
    </row>
    <row r="18" spans="1:7" ht="18.75" customHeight="1" x14ac:dyDescent="0.25">
      <c r="A18" s="87">
        <v>65</v>
      </c>
      <c r="B18" s="79">
        <v>1.01983E-3</v>
      </c>
      <c r="C18" s="74">
        <v>272.07</v>
      </c>
      <c r="D18" s="74">
        <v>272.19</v>
      </c>
      <c r="E18" s="81">
        <v>0.89359999999999995</v>
      </c>
      <c r="F18" s="81"/>
      <c r="G18" s="28"/>
    </row>
    <row r="19" spans="1:7" ht="18.75" customHeight="1" x14ac:dyDescent="0.25">
      <c r="A19" s="87">
        <v>70</v>
      </c>
      <c r="B19" s="79">
        <v>1.0227299999999999E-3</v>
      </c>
      <c r="C19" s="74">
        <v>293.02</v>
      </c>
      <c r="D19" s="74">
        <v>293.14</v>
      </c>
      <c r="E19" s="81">
        <v>0.95508000000000004</v>
      </c>
      <c r="F19" s="81"/>
      <c r="G19" s="28"/>
    </row>
    <row r="20" spans="1:7" ht="18.75" customHeight="1" x14ac:dyDescent="0.25">
      <c r="A20" s="87">
        <v>75</v>
      </c>
      <c r="B20" s="79">
        <v>1.0258000000000001E-3</v>
      </c>
      <c r="C20" s="74">
        <v>313.98</v>
      </c>
      <c r="D20" s="74">
        <v>314.10000000000002</v>
      </c>
      <c r="E20" s="82">
        <v>1.0157</v>
      </c>
      <c r="F20" s="82"/>
      <c r="G20" s="28"/>
    </row>
    <row r="21" spans="1:7" ht="18.75" customHeight="1" x14ac:dyDescent="0.25">
      <c r="A21" s="87">
        <v>80</v>
      </c>
      <c r="B21" s="79">
        <v>1.0290200000000001E-3</v>
      </c>
      <c r="C21" s="74">
        <v>334.95</v>
      </c>
      <c r="D21" s="74">
        <v>335.07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1.0323999999999999E-3</v>
      </c>
      <c r="C22" s="74">
        <v>355.94</v>
      </c>
      <c r="D22" s="74">
        <v>356.06</v>
      </c>
      <c r="E22" s="82">
        <v>1.1346000000000001</v>
      </c>
      <c r="F22" s="82"/>
      <c r="G22" s="28"/>
    </row>
    <row r="23" spans="1:7" ht="18.75" customHeight="1" x14ac:dyDescent="0.25">
      <c r="A23" s="87">
        <v>90</v>
      </c>
      <c r="B23" s="79">
        <v>1.03593E-3</v>
      </c>
      <c r="C23" s="74">
        <v>376.96</v>
      </c>
      <c r="D23" s="74">
        <v>377.08</v>
      </c>
      <c r="E23" s="82">
        <v>1.1928000000000001</v>
      </c>
      <c r="F23" s="82"/>
      <c r="G23" s="28"/>
    </row>
    <row r="24" spans="1:7" ht="18.75" customHeight="1" x14ac:dyDescent="0.25">
      <c r="A24" s="87">
        <v>95</v>
      </c>
      <c r="B24" s="79">
        <v>1.0396100000000001E-3</v>
      </c>
      <c r="C24" s="74">
        <v>398</v>
      </c>
      <c r="D24" s="74">
        <v>398.12</v>
      </c>
      <c r="E24" s="82">
        <v>1.2504</v>
      </c>
      <c r="F24" s="82"/>
      <c r="G24" s="28"/>
    </row>
    <row r="25" spans="1:7" ht="18.75" customHeight="1" x14ac:dyDescent="0.25">
      <c r="A25" s="87">
        <v>100</v>
      </c>
      <c r="B25" s="79">
        <v>1.04345E-3</v>
      </c>
      <c r="C25" s="74">
        <v>419.05</v>
      </c>
      <c r="D25" s="74">
        <v>419.18</v>
      </c>
      <c r="E25" s="82">
        <v>1.3071999999999999</v>
      </c>
      <c r="F25" s="82"/>
      <c r="G25" s="28"/>
    </row>
    <row r="26" spans="1:7" ht="18.75" customHeight="1" x14ac:dyDescent="0.25">
      <c r="A26" s="87">
        <v>105</v>
      </c>
      <c r="B26" s="82">
        <v>1.4293</v>
      </c>
      <c r="C26" s="72">
        <v>2512</v>
      </c>
      <c r="D26" s="72">
        <v>2683.5</v>
      </c>
      <c r="E26" s="82">
        <v>7.2988999999999997</v>
      </c>
      <c r="F26" s="82"/>
      <c r="G26" s="28"/>
    </row>
    <row r="27" spans="1:7" ht="18.75" customHeight="1" x14ac:dyDescent="0.25">
      <c r="A27" s="87">
        <v>110</v>
      </c>
      <c r="B27" s="82">
        <v>1.4498</v>
      </c>
      <c r="C27" s="72">
        <v>2519.9</v>
      </c>
      <c r="D27" s="72">
        <v>2693.9</v>
      </c>
      <c r="E27" s="82">
        <v>7.3262999999999998</v>
      </c>
      <c r="F27" s="82"/>
      <c r="G27" s="28"/>
    </row>
    <row r="28" spans="1:7" ht="18.75" customHeight="1" x14ac:dyDescent="0.25">
      <c r="A28" s="87">
        <v>115</v>
      </c>
      <c r="B28" s="82">
        <v>1.4702999999999999</v>
      </c>
      <c r="C28" s="72">
        <v>2527.9</v>
      </c>
      <c r="D28" s="72">
        <v>2704.3</v>
      </c>
      <c r="E28" s="82">
        <v>7.3531000000000004</v>
      </c>
      <c r="F28" s="82"/>
      <c r="G28" s="28"/>
    </row>
    <row r="29" spans="1:7" ht="18.75" customHeight="1" x14ac:dyDescent="0.25">
      <c r="A29" s="87">
        <v>120</v>
      </c>
      <c r="B29" s="82">
        <v>1.4905999999999999</v>
      </c>
      <c r="C29" s="72">
        <v>2535.6999999999998</v>
      </c>
      <c r="D29" s="72">
        <v>2714.6</v>
      </c>
      <c r="E29" s="82">
        <v>7.3794000000000004</v>
      </c>
      <c r="F29" s="82"/>
      <c r="G29" s="28"/>
    </row>
    <row r="30" spans="1:7" ht="18.75" customHeight="1" x14ac:dyDescent="0.25">
      <c r="A30" s="87">
        <v>125</v>
      </c>
      <c r="B30" s="82">
        <v>1.5108999999999999</v>
      </c>
      <c r="C30" s="72">
        <v>2543.5</v>
      </c>
      <c r="D30" s="72">
        <v>2724.8</v>
      </c>
      <c r="E30" s="82">
        <v>7.4051999999999998</v>
      </c>
      <c r="F30" s="82"/>
      <c r="G30" s="28"/>
    </row>
    <row r="31" spans="1:7" ht="18.75" customHeight="1" x14ac:dyDescent="0.25">
      <c r="A31" s="87">
        <v>130</v>
      </c>
      <c r="B31" s="82">
        <v>1.5309999999999999</v>
      </c>
      <c r="C31" s="72">
        <v>2551.1999999999998</v>
      </c>
      <c r="D31" s="72">
        <v>2734.9</v>
      </c>
      <c r="E31" s="82">
        <v>7.4305000000000003</v>
      </c>
      <c r="F31" s="82"/>
      <c r="G31" s="28"/>
    </row>
    <row r="32" spans="1:7" ht="18.75" customHeight="1" x14ac:dyDescent="0.25">
      <c r="A32" s="87">
        <v>135</v>
      </c>
      <c r="B32" s="82">
        <v>1.5510999999999999</v>
      </c>
      <c r="C32" s="72">
        <v>2558.9</v>
      </c>
      <c r="D32" s="72">
        <v>2745</v>
      </c>
      <c r="E32" s="82">
        <v>7.4554</v>
      </c>
      <c r="F32" s="82"/>
      <c r="G32" s="28"/>
    </row>
    <row r="33" spans="1:7" ht="18.75" customHeight="1" x14ac:dyDescent="0.25">
      <c r="A33" s="87">
        <v>140</v>
      </c>
      <c r="B33" s="82">
        <v>1.5711999999999999</v>
      </c>
      <c r="C33" s="72">
        <v>2566.6</v>
      </c>
      <c r="D33" s="72">
        <v>2755.1</v>
      </c>
      <c r="E33" s="82">
        <v>7.48</v>
      </c>
      <c r="F33" s="82"/>
      <c r="G33" s="28"/>
    </row>
    <row r="34" spans="1:7" ht="18.75" customHeight="1" x14ac:dyDescent="0.25">
      <c r="A34" s="87">
        <v>145</v>
      </c>
      <c r="B34" s="82">
        <v>1.5911999999999999</v>
      </c>
      <c r="C34" s="72">
        <v>2574.1999999999998</v>
      </c>
      <c r="D34" s="72">
        <v>2765.1</v>
      </c>
      <c r="E34" s="82">
        <v>7.5041000000000002</v>
      </c>
      <c r="F34" s="82"/>
      <c r="G34" s="28"/>
    </row>
    <row r="35" spans="1:7" ht="18.75" customHeight="1" x14ac:dyDescent="0.25">
      <c r="A35" s="87">
        <v>150</v>
      </c>
      <c r="B35" s="82">
        <v>1.6111</v>
      </c>
      <c r="C35" s="72">
        <v>2581.8000000000002</v>
      </c>
      <c r="D35" s="72">
        <v>2775.1</v>
      </c>
      <c r="E35" s="82">
        <v>7.5278999999999998</v>
      </c>
      <c r="F35" s="82"/>
      <c r="G35" s="28"/>
    </row>
    <row r="36" spans="1:7" ht="18.75" customHeight="1" x14ac:dyDescent="0.25">
      <c r="A36" s="87">
        <v>155</v>
      </c>
      <c r="B36" s="82">
        <v>1.631</v>
      </c>
      <c r="C36" s="72">
        <v>2589.4</v>
      </c>
      <c r="D36" s="72">
        <v>2785.1</v>
      </c>
      <c r="E36" s="82">
        <v>7.5514000000000001</v>
      </c>
      <c r="F36" s="82"/>
      <c r="G36" s="28"/>
    </row>
    <row r="37" spans="1:7" ht="18.75" customHeight="1" x14ac:dyDescent="0.25">
      <c r="A37" s="87">
        <v>160</v>
      </c>
      <c r="B37" s="82">
        <v>1.6508</v>
      </c>
      <c r="C37" s="72">
        <v>2597</v>
      </c>
      <c r="D37" s="72">
        <v>2795.1</v>
      </c>
      <c r="E37" s="82">
        <v>7.5744999999999996</v>
      </c>
      <c r="F37" s="82"/>
      <c r="G37" s="28"/>
    </row>
    <row r="38" spans="1:7" ht="18.75" customHeight="1" x14ac:dyDescent="0.25">
      <c r="A38" s="87">
        <v>165</v>
      </c>
      <c r="B38" s="82">
        <v>1.6706000000000001</v>
      </c>
      <c r="C38" s="72">
        <v>2604.5</v>
      </c>
      <c r="D38" s="72">
        <v>2805</v>
      </c>
      <c r="E38" s="82">
        <v>7.5974000000000004</v>
      </c>
      <c r="F38" s="82"/>
      <c r="G38" s="28"/>
    </row>
    <row r="39" spans="1:7" ht="18.75" customHeight="1" x14ac:dyDescent="0.25">
      <c r="A39" s="87">
        <v>170</v>
      </c>
      <c r="B39" s="82">
        <v>1.6903999999999999</v>
      </c>
      <c r="C39" s="72">
        <v>2612.1999999999998</v>
      </c>
      <c r="D39" s="72">
        <v>2815</v>
      </c>
      <c r="E39" s="82">
        <v>7.6199000000000003</v>
      </c>
      <c r="F39" s="82"/>
      <c r="G39" s="28"/>
    </row>
    <row r="40" spans="1:7" ht="18.75" customHeight="1" x14ac:dyDescent="0.25">
      <c r="A40" s="87">
        <v>175</v>
      </c>
      <c r="B40" s="82">
        <v>1.7101999999999999</v>
      </c>
      <c r="C40" s="72">
        <v>2619.6999999999998</v>
      </c>
      <c r="D40" s="72">
        <v>2824.9</v>
      </c>
      <c r="E40" s="82">
        <v>7.6421999999999999</v>
      </c>
      <c r="F40" s="82"/>
      <c r="G40" s="28"/>
    </row>
    <row r="41" spans="1:7" ht="18.75" customHeight="1" x14ac:dyDescent="0.25">
      <c r="A41" s="87">
        <v>180</v>
      </c>
      <c r="B41" s="82">
        <v>1.7299</v>
      </c>
      <c r="C41" s="72">
        <v>2627.3</v>
      </c>
      <c r="D41" s="72">
        <v>2834.9</v>
      </c>
      <c r="E41" s="82">
        <v>7.6642999999999999</v>
      </c>
      <c r="F41" s="82"/>
      <c r="G41" s="28"/>
    </row>
    <row r="42" spans="1:7" ht="18.75" customHeight="1" x14ac:dyDescent="0.25">
      <c r="A42" s="87">
        <v>185</v>
      </c>
      <c r="B42" s="82">
        <v>1.7496</v>
      </c>
      <c r="C42" s="72">
        <v>2634.8</v>
      </c>
      <c r="D42" s="72">
        <v>2844.8</v>
      </c>
      <c r="E42" s="82">
        <v>7.6859999999999999</v>
      </c>
      <c r="F42" s="82"/>
      <c r="G42" s="28"/>
    </row>
    <row r="43" spans="1:7" ht="18.75" customHeight="1" x14ac:dyDescent="0.25">
      <c r="A43" s="87">
        <v>190</v>
      </c>
      <c r="B43" s="82">
        <v>1.7692000000000001</v>
      </c>
      <c r="C43" s="72">
        <v>2642.4</v>
      </c>
      <c r="D43" s="72">
        <v>2854.7</v>
      </c>
      <c r="E43" s="82">
        <v>7.7076000000000002</v>
      </c>
      <c r="F43" s="82"/>
      <c r="G43" s="28"/>
    </row>
    <row r="44" spans="1:7" ht="18.75" customHeight="1" x14ac:dyDescent="0.25">
      <c r="A44" s="87">
        <v>195</v>
      </c>
      <c r="B44" s="82">
        <v>1.7887999999999999</v>
      </c>
      <c r="C44" s="72">
        <v>2649.9</v>
      </c>
      <c r="D44" s="72">
        <v>2864.6</v>
      </c>
      <c r="E44" s="82">
        <v>7.7289000000000003</v>
      </c>
      <c r="F44" s="82"/>
      <c r="G44" s="28"/>
    </row>
    <row r="45" spans="1:7" ht="18.75" customHeight="1" x14ac:dyDescent="0.25">
      <c r="A45" s="87">
        <v>200</v>
      </c>
      <c r="B45" s="82">
        <v>1.8085</v>
      </c>
      <c r="C45" s="72">
        <v>2657.5</v>
      </c>
      <c r="D45" s="72">
        <v>2874.5</v>
      </c>
      <c r="E45" s="82">
        <v>7.7499000000000002</v>
      </c>
      <c r="F45" s="82"/>
      <c r="G45" s="28"/>
    </row>
    <row r="46" spans="1:7" ht="18.75" customHeight="1" x14ac:dyDescent="0.25">
      <c r="A46" s="87">
        <v>210</v>
      </c>
      <c r="B46" s="82">
        <v>1.8475999999999999</v>
      </c>
      <c r="C46" s="72">
        <v>2672.6</v>
      </c>
      <c r="D46" s="72">
        <v>2894.3</v>
      </c>
      <c r="E46" s="82">
        <v>7.7914000000000003</v>
      </c>
      <c r="F46" s="82"/>
      <c r="G46" s="28"/>
    </row>
    <row r="47" spans="1:7" ht="18.75" customHeight="1" x14ac:dyDescent="0.25">
      <c r="A47" s="87">
        <v>220</v>
      </c>
      <c r="B47" s="82">
        <v>1.8867</v>
      </c>
      <c r="C47" s="72">
        <v>2687.8</v>
      </c>
      <c r="D47" s="72">
        <v>2914.2</v>
      </c>
      <c r="E47" s="82">
        <v>7.8319999999999999</v>
      </c>
      <c r="F47" s="82"/>
      <c r="G47" s="28"/>
    </row>
    <row r="48" spans="1:7" ht="18.75" customHeight="1" x14ac:dyDescent="0.25">
      <c r="A48" s="87">
        <v>230</v>
      </c>
      <c r="B48" s="82">
        <v>1.9258</v>
      </c>
      <c r="C48" s="72">
        <v>2703</v>
      </c>
      <c r="D48" s="72">
        <v>2934.1</v>
      </c>
      <c r="E48" s="82">
        <v>7.8719000000000001</v>
      </c>
      <c r="F48" s="82"/>
      <c r="G48" s="28"/>
    </row>
    <row r="49" spans="1:7" ht="18.75" customHeight="1" x14ac:dyDescent="0.25">
      <c r="A49" s="87">
        <v>240</v>
      </c>
      <c r="B49" s="82">
        <v>1.9648000000000001</v>
      </c>
      <c r="C49" s="72">
        <v>2718.1</v>
      </c>
      <c r="D49" s="72">
        <v>2953.9</v>
      </c>
      <c r="E49" s="82">
        <v>7.9111000000000002</v>
      </c>
      <c r="F49" s="82"/>
      <c r="G49" s="28"/>
    </row>
    <row r="50" spans="1:7" ht="18.75" customHeight="1" x14ac:dyDescent="0.25">
      <c r="A50" s="87">
        <v>250</v>
      </c>
      <c r="B50" s="82">
        <v>2.0036999999999998</v>
      </c>
      <c r="C50" s="72">
        <v>2733.5</v>
      </c>
      <c r="D50" s="72">
        <v>2973.9</v>
      </c>
      <c r="E50" s="82">
        <v>7.9494999999999996</v>
      </c>
      <c r="F50" s="82"/>
      <c r="G50" s="28"/>
    </row>
    <row r="51" spans="1:7" ht="18.75" customHeight="1" x14ac:dyDescent="0.25">
      <c r="A51" s="87">
        <v>260</v>
      </c>
      <c r="B51" s="82">
        <v>2.0427</v>
      </c>
      <c r="C51" s="72">
        <v>2748.7</v>
      </c>
      <c r="D51" s="72">
        <v>2993.8</v>
      </c>
      <c r="E51" s="82">
        <v>7.9873000000000003</v>
      </c>
      <c r="F51" s="82"/>
      <c r="G51" s="28"/>
    </row>
    <row r="52" spans="1:7" ht="18.75" customHeight="1" x14ac:dyDescent="0.25">
      <c r="A52" s="87">
        <v>270</v>
      </c>
      <c r="B52" s="82">
        <v>2.0815000000000001</v>
      </c>
      <c r="C52" s="72">
        <v>2764</v>
      </c>
      <c r="D52" s="72">
        <v>3013.8</v>
      </c>
      <c r="E52" s="82">
        <v>8.0244</v>
      </c>
      <c r="F52" s="82"/>
      <c r="G52" s="28"/>
    </row>
    <row r="53" spans="1:7" ht="18.75" customHeight="1" x14ac:dyDescent="0.25">
      <c r="A53" s="87">
        <v>280</v>
      </c>
      <c r="B53" s="82">
        <v>2.1204000000000001</v>
      </c>
      <c r="C53" s="72">
        <v>2779.4</v>
      </c>
      <c r="D53" s="72">
        <v>3033.8</v>
      </c>
      <c r="E53" s="82">
        <v>8.0609999999999999</v>
      </c>
      <c r="F53" s="82"/>
      <c r="G53" s="28"/>
    </row>
    <row r="54" spans="1:7" ht="18.75" customHeight="1" x14ac:dyDescent="0.25">
      <c r="A54" s="87">
        <v>290</v>
      </c>
      <c r="B54" s="82">
        <v>2.1591999999999998</v>
      </c>
      <c r="C54" s="72">
        <v>2794.8</v>
      </c>
      <c r="D54" s="72">
        <v>3053.9</v>
      </c>
      <c r="E54" s="82">
        <v>8.0969999999999995</v>
      </c>
      <c r="F54" s="82"/>
      <c r="G54" s="28"/>
    </row>
    <row r="55" spans="1:7" ht="18.75" customHeight="1" x14ac:dyDescent="0.25">
      <c r="A55" s="87">
        <v>300</v>
      </c>
      <c r="B55" s="82">
        <v>2.198</v>
      </c>
      <c r="C55" s="72">
        <v>2810.2</v>
      </c>
      <c r="D55" s="72">
        <v>3074</v>
      </c>
      <c r="E55" s="82">
        <v>8.1324000000000005</v>
      </c>
      <c r="F55" s="82"/>
      <c r="G55" s="28"/>
    </row>
    <row r="56" spans="1:7" ht="18.75" customHeight="1" x14ac:dyDescent="0.25">
      <c r="A56" s="87">
        <v>310</v>
      </c>
      <c r="B56" s="82">
        <v>2.2366999999999999</v>
      </c>
      <c r="C56" s="72">
        <v>2825.8</v>
      </c>
      <c r="D56" s="72">
        <v>3094.2</v>
      </c>
      <c r="E56" s="82">
        <v>8.1672999999999991</v>
      </c>
      <c r="F56" s="82"/>
      <c r="G56" s="28"/>
    </row>
    <row r="57" spans="1:7" ht="18.75" customHeight="1" x14ac:dyDescent="0.25">
      <c r="A57" s="87">
        <v>320</v>
      </c>
      <c r="B57" s="82">
        <v>2.2755000000000001</v>
      </c>
      <c r="C57" s="72">
        <v>2841.3</v>
      </c>
      <c r="D57" s="72">
        <v>3114.4</v>
      </c>
      <c r="E57" s="82">
        <v>8.2017000000000007</v>
      </c>
      <c r="F57" s="82"/>
      <c r="G57" s="28"/>
    </row>
    <row r="58" spans="1:7" ht="18.75" customHeight="1" x14ac:dyDescent="0.25">
      <c r="A58" s="87">
        <v>330</v>
      </c>
      <c r="B58" s="82">
        <v>2.3142</v>
      </c>
      <c r="C58" s="72">
        <v>2857</v>
      </c>
      <c r="D58" s="72">
        <v>3134.7</v>
      </c>
      <c r="E58" s="82">
        <v>8.2355999999999998</v>
      </c>
      <c r="F58" s="82"/>
      <c r="G58" s="28"/>
    </row>
    <row r="59" spans="1:7" ht="18.75" customHeight="1" x14ac:dyDescent="0.25">
      <c r="A59" s="87">
        <v>340</v>
      </c>
      <c r="B59" s="82">
        <v>2.3529</v>
      </c>
      <c r="C59" s="72">
        <v>2872.8</v>
      </c>
      <c r="D59" s="72">
        <v>3155.1</v>
      </c>
      <c r="E59" s="82">
        <v>8.2690000000000001</v>
      </c>
      <c r="F59" s="82"/>
      <c r="G59" s="28"/>
    </row>
    <row r="60" spans="1:7" ht="18.75" customHeight="1" x14ac:dyDescent="0.25">
      <c r="A60" s="87">
        <v>350</v>
      </c>
      <c r="B60" s="82">
        <v>2.3915999999999999</v>
      </c>
      <c r="C60" s="72">
        <v>2888.4</v>
      </c>
      <c r="D60" s="72">
        <v>3175.4</v>
      </c>
      <c r="E60" s="82">
        <v>8.3019999999999996</v>
      </c>
      <c r="F60" s="82"/>
      <c r="G60" s="28"/>
    </row>
    <row r="61" spans="1:7" ht="18.75" customHeight="1" x14ac:dyDescent="0.25">
      <c r="A61" s="87">
        <v>360</v>
      </c>
      <c r="B61" s="82">
        <v>2.4302999999999999</v>
      </c>
      <c r="C61" s="72">
        <v>2904.3</v>
      </c>
      <c r="D61" s="72">
        <v>3195.9</v>
      </c>
      <c r="E61" s="82">
        <v>8.3345000000000002</v>
      </c>
      <c r="F61" s="82"/>
      <c r="G61" s="28"/>
    </row>
    <row r="62" spans="1:7" ht="18.75" customHeight="1" x14ac:dyDescent="0.25">
      <c r="A62" s="87">
        <v>370</v>
      </c>
      <c r="B62" s="82">
        <v>2.4689999999999999</v>
      </c>
      <c r="C62" s="72">
        <v>2920.1</v>
      </c>
      <c r="D62" s="72">
        <v>3216.4</v>
      </c>
      <c r="E62" s="82">
        <v>8.3666999999999998</v>
      </c>
      <c r="F62" s="82"/>
      <c r="G62" s="28"/>
    </row>
    <row r="63" spans="1:7" ht="18.75" customHeight="1" x14ac:dyDescent="0.25">
      <c r="A63" s="87">
        <v>380</v>
      </c>
      <c r="B63" s="82">
        <v>2.5076000000000001</v>
      </c>
      <c r="C63" s="72">
        <v>2936.1</v>
      </c>
      <c r="D63" s="72">
        <v>3237</v>
      </c>
      <c r="E63" s="82">
        <v>8.3984000000000005</v>
      </c>
      <c r="F63" s="82"/>
      <c r="G63" s="28"/>
    </row>
    <row r="64" spans="1:7" ht="18.75" customHeight="1" x14ac:dyDescent="0.25">
      <c r="A64" s="87">
        <v>390</v>
      </c>
      <c r="B64" s="82">
        <v>2.5463</v>
      </c>
      <c r="C64" s="72">
        <v>2952</v>
      </c>
      <c r="D64" s="72">
        <v>3257.6</v>
      </c>
      <c r="E64" s="82">
        <v>8.4297000000000004</v>
      </c>
      <c r="F64" s="82"/>
      <c r="G64" s="28"/>
    </row>
    <row r="65" spans="1:7" ht="18.75" customHeight="1" x14ac:dyDescent="0.25">
      <c r="A65" s="87">
        <v>400</v>
      </c>
      <c r="B65" s="82">
        <v>2.5849000000000002</v>
      </c>
      <c r="C65" s="72">
        <v>2968.1</v>
      </c>
      <c r="D65" s="72">
        <v>3278.3</v>
      </c>
      <c r="E65" s="82">
        <v>8.4606999999999992</v>
      </c>
      <c r="F65" s="82"/>
      <c r="G65" s="28"/>
    </row>
    <row r="66" spans="1:7" ht="18.75" customHeight="1" x14ac:dyDescent="0.25">
      <c r="A66" s="87">
        <v>410</v>
      </c>
      <c r="B66" s="82">
        <v>2.6234999999999999</v>
      </c>
      <c r="C66" s="72">
        <v>2984.2</v>
      </c>
      <c r="D66" s="72">
        <v>3299</v>
      </c>
      <c r="E66" s="82">
        <v>8.4913000000000007</v>
      </c>
      <c r="F66" s="82"/>
      <c r="G66" s="28"/>
    </row>
    <row r="67" spans="1:7" ht="18.75" customHeight="1" x14ac:dyDescent="0.25">
      <c r="A67" s="87">
        <v>420</v>
      </c>
      <c r="B67" s="82">
        <v>2.6621000000000001</v>
      </c>
      <c r="C67" s="72">
        <v>3000.3</v>
      </c>
      <c r="D67" s="72">
        <v>3319.8</v>
      </c>
      <c r="E67" s="82">
        <v>8.5214999999999996</v>
      </c>
      <c r="F67" s="82"/>
      <c r="G67" s="28"/>
    </row>
    <row r="68" spans="1:7" ht="18.75" customHeight="1" x14ac:dyDescent="0.25">
      <c r="A68" s="87">
        <v>430</v>
      </c>
      <c r="B68" s="82">
        <v>2.7008000000000001</v>
      </c>
      <c r="C68" s="72">
        <v>3016.6</v>
      </c>
      <c r="D68" s="72">
        <v>3340.7</v>
      </c>
      <c r="E68" s="82">
        <v>8.5513999999999992</v>
      </c>
      <c r="F68" s="82"/>
      <c r="G68" s="28"/>
    </row>
    <row r="69" spans="1:7" ht="18.75" customHeight="1" x14ac:dyDescent="0.25">
      <c r="A69" s="87">
        <v>440</v>
      </c>
      <c r="B69" s="82">
        <v>2.7393999999999998</v>
      </c>
      <c r="C69" s="72">
        <v>3032.9</v>
      </c>
      <c r="D69" s="72">
        <v>3361.6</v>
      </c>
      <c r="E69" s="82">
        <v>8.5808999999999997</v>
      </c>
      <c r="F69" s="82"/>
      <c r="G69" s="28"/>
    </row>
    <row r="70" spans="1:7" ht="18.75" customHeight="1" x14ac:dyDescent="0.25">
      <c r="A70" s="87">
        <v>450</v>
      </c>
      <c r="B70" s="82">
        <v>2.7778999999999998</v>
      </c>
      <c r="C70" s="72">
        <v>3049.3</v>
      </c>
      <c r="D70" s="72">
        <v>3382.6</v>
      </c>
      <c r="E70" s="82">
        <v>8.6102000000000007</v>
      </c>
      <c r="F70" s="82"/>
      <c r="G70" s="28"/>
    </row>
    <row r="71" spans="1:7" ht="18.75" customHeight="1" x14ac:dyDescent="0.25">
      <c r="A71" s="87">
        <v>460</v>
      </c>
      <c r="B71" s="82">
        <v>2.8165</v>
      </c>
      <c r="C71" s="72">
        <v>3065.6</v>
      </c>
      <c r="D71" s="72">
        <v>3403.6</v>
      </c>
      <c r="E71" s="82">
        <v>8.6390999999999991</v>
      </c>
      <c r="F71" s="82"/>
      <c r="G71" s="28"/>
    </row>
    <row r="72" spans="1:7" ht="18.75" customHeight="1" x14ac:dyDescent="0.25">
      <c r="A72" s="87">
        <v>470</v>
      </c>
      <c r="B72" s="82">
        <v>2.8551000000000002</v>
      </c>
      <c r="C72" s="72">
        <v>3082.2</v>
      </c>
      <c r="D72" s="72">
        <v>3424.8</v>
      </c>
      <c r="E72" s="82">
        <v>8.6677</v>
      </c>
      <c r="F72" s="82"/>
      <c r="G72" s="28"/>
    </row>
    <row r="73" spans="1:7" ht="18.75" customHeight="1" x14ac:dyDescent="0.25">
      <c r="A73" s="87">
        <v>480</v>
      </c>
      <c r="B73" s="82">
        <v>2.8936999999999999</v>
      </c>
      <c r="C73" s="72">
        <v>3098.8</v>
      </c>
      <c r="D73" s="72">
        <v>3446</v>
      </c>
      <c r="E73" s="82">
        <v>8.6959999999999997</v>
      </c>
      <c r="F73" s="82"/>
      <c r="G73" s="28"/>
    </row>
    <row r="74" spans="1:7" ht="18.75" customHeight="1" x14ac:dyDescent="0.25">
      <c r="A74" s="87">
        <v>490</v>
      </c>
      <c r="B74" s="82">
        <v>2.9323000000000001</v>
      </c>
      <c r="C74" s="72">
        <v>3115.3</v>
      </c>
      <c r="D74" s="72">
        <v>3467.2</v>
      </c>
      <c r="E74" s="82">
        <v>8.7240000000000002</v>
      </c>
      <c r="F74" s="82"/>
      <c r="G74" s="28"/>
    </row>
    <row r="75" spans="1:7" ht="18.75" customHeight="1" x14ac:dyDescent="0.25">
      <c r="A75" s="87">
        <v>500</v>
      </c>
      <c r="B75" s="82">
        <v>2.9708000000000001</v>
      </c>
      <c r="C75" s="72">
        <v>3132</v>
      </c>
      <c r="D75" s="72">
        <v>3488.5</v>
      </c>
      <c r="E75" s="82">
        <v>8.7517999999999994</v>
      </c>
      <c r="F75" s="82"/>
      <c r="G75" s="28"/>
    </row>
    <row r="76" spans="1:7" ht="18.75" customHeight="1" x14ac:dyDescent="0.25">
      <c r="A76" s="87">
        <v>520</v>
      </c>
      <c r="B76" s="82">
        <v>3.0478999999999998</v>
      </c>
      <c r="C76" s="72">
        <v>3165.7</v>
      </c>
      <c r="D76" s="72">
        <v>3531.4</v>
      </c>
      <c r="E76" s="82">
        <v>8.8064999999999998</v>
      </c>
      <c r="F76" s="82"/>
      <c r="G76" s="28"/>
    </row>
    <row r="77" spans="1:7" ht="18.75" customHeight="1" x14ac:dyDescent="0.25">
      <c r="A77" s="87">
        <v>540</v>
      </c>
      <c r="B77" s="82">
        <v>3.125</v>
      </c>
      <c r="C77" s="72">
        <v>3199.5</v>
      </c>
      <c r="D77" s="72">
        <v>3574.5</v>
      </c>
      <c r="E77" s="82">
        <v>8.8602000000000007</v>
      </c>
      <c r="F77" s="82"/>
      <c r="G77" s="28"/>
    </row>
    <row r="78" spans="1:7" ht="18.75" customHeight="1" x14ac:dyDescent="0.25">
      <c r="A78" s="87">
        <v>560</v>
      </c>
      <c r="B78" s="82">
        <v>3.2021000000000002</v>
      </c>
      <c r="C78" s="72">
        <v>3233.5</v>
      </c>
      <c r="D78" s="72">
        <v>3617.8</v>
      </c>
      <c r="E78" s="82">
        <v>8.9129000000000005</v>
      </c>
      <c r="F78" s="82"/>
      <c r="G78" s="28"/>
    </row>
    <row r="79" spans="1:7" ht="18.75" customHeight="1" x14ac:dyDescent="0.25">
      <c r="A79" s="87">
        <v>580</v>
      </c>
      <c r="B79" s="82">
        <v>3.2791999999999999</v>
      </c>
      <c r="C79" s="72">
        <v>3268</v>
      </c>
      <c r="D79" s="72">
        <v>3661.5</v>
      </c>
      <c r="E79" s="82">
        <v>8.9646000000000008</v>
      </c>
      <c r="F79" s="82"/>
      <c r="G79" s="28"/>
    </row>
    <row r="80" spans="1:7" ht="18.75" customHeight="1" x14ac:dyDescent="0.25">
      <c r="A80" s="87">
        <v>600</v>
      </c>
      <c r="B80" s="82">
        <v>3.3563000000000001</v>
      </c>
      <c r="C80" s="72">
        <v>3302.6</v>
      </c>
      <c r="D80" s="72">
        <v>3705.4</v>
      </c>
      <c r="E80" s="82">
        <v>9.0154999999999994</v>
      </c>
      <c r="F80" s="82"/>
      <c r="G80" s="28"/>
    </row>
    <row r="81" spans="1:7" ht="18.75" customHeight="1" x14ac:dyDescent="0.25">
      <c r="A81" s="87">
        <v>620</v>
      </c>
      <c r="B81" s="82">
        <v>3.4333</v>
      </c>
      <c r="C81" s="72">
        <v>3337.6</v>
      </c>
      <c r="D81" s="72">
        <v>3749.6</v>
      </c>
      <c r="E81" s="82">
        <v>9.0655999999999999</v>
      </c>
      <c r="F81" s="82"/>
      <c r="G81" s="28"/>
    </row>
    <row r="82" spans="1:7" ht="18.75" customHeight="1" x14ac:dyDescent="0.25">
      <c r="A82" s="87">
        <v>640</v>
      </c>
      <c r="B82" s="82">
        <v>3.5104000000000002</v>
      </c>
      <c r="C82" s="72">
        <v>3372.9</v>
      </c>
      <c r="D82" s="72">
        <v>3794.1</v>
      </c>
      <c r="E82" s="82">
        <v>9.1149000000000004</v>
      </c>
      <c r="F82" s="82"/>
      <c r="G82" s="28"/>
    </row>
    <row r="83" spans="1:7" ht="18.75" customHeight="1" x14ac:dyDescent="0.25">
      <c r="A83" s="87">
        <v>660</v>
      </c>
      <c r="B83" s="82">
        <v>3.5874000000000001</v>
      </c>
      <c r="C83" s="72">
        <v>3408.4</v>
      </c>
      <c r="D83" s="72">
        <v>3838.9</v>
      </c>
      <c r="E83" s="82">
        <v>9.1632999999999996</v>
      </c>
      <c r="F83" s="82"/>
      <c r="G83" s="28"/>
    </row>
    <row r="84" spans="1:7" ht="18.75" customHeight="1" x14ac:dyDescent="0.25">
      <c r="A84" s="87">
        <v>680</v>
      </c>
      <c r="B84" s="82">
        <v>3.6644000000000001</v>
      </c>
      <c r="C84" s="72">
        <v>3444.2</v>
      </c>
      <c r="D84" s="72">
        <v>3883.9</v>
      </c>
      <c r="E84" s="82">
        <v>9.2111000000000001</v>
      </c>
      <c r="F84" s="82"/>
      <c r="G84" s="28"/>
    </row>
    <row r="85" spans="1:7" ht="18.75" customHeight="1" x14ac:dyDescent="0.25">
      <c r="A85" s="87">
        <v>700</v>
      </c>
      <c r="B85" s="82">
        <v>3.7414000000000001</v>
      </c>
      <c r="C85" s="72">
        <v>3480.3</v>
      </c>
      <c r="D85" s="72">
        <v>3929.3</v>
      </c>
      <c r="E85" s="82">
        <v>9.2582000000000004</v>
      </c>
      <c r="F85" s="82"/>
      <c r="G85" s="28"/>
    </row>
    <row r="86" spans="1:7" ht="18.75" customHeight="1" x14ac:dyDescent="0.25">
      <c r="A86" s="87">
        <v>720</v>
      </c>
      <c r="B86" s="82">
        <v>3.8184</v>
      </c>
      <c r="C86" s="72">
        <v>3516.7</v>
      </c>
      <c r="D86" s="72">
        <v>3974.9</v>
      </c>
      <c r="E86" s="82">
        <v>9.3046000000000006</v>
      </c>
      <c r="F86" s="82"/>
      <c r="G86" s="28"/>
    </row>
    <row r="87" spans="1:7" ht="18.75" customHeight="1" x14ac:dyDescent="0.25">
      <c r="A87" s="87">
        <v>740</v>
      </c>
      <c r="B87" s="82">
        <v>3.8954</v>
      </c>
      <c r="C87" s="72">
        <v>3553.4</v>
      </c>
      <c r="D87" s="72">
        <v>4020.8</v>
      </c>
      <c r="E87" s="82">
        <v>9.3503000000000007</v>
      </c>
      <c r="F87" s="82"/>
      <c r="G87" s="28"/>
    </row>
    <row r="88" spans="1:7" ht="18.75" customHeight="1" x14ac:dyDescent="0.25">
      <c r="A88" s="87">
        <v>760</v>
      </c>
      <c r="B88" s="82">
        <v>3.9723999999999999</v>
      </c>
      <c r="C88" s="72">
        <v>3590.2</v>
      </c>
      <c r="D88" s="72">
        <v>4066.9</v>
      </c>
      <c r="E88" s="82">
        <v>9.3954000000000004</v>
      </c>
      <c r="F88" s="82"/>
      <c r="G88" s="28"/>
    </row>
    <row r="89" spans="1:7" ht="18.75" customHeight="1" x14ac:dyDescent="0.25">
      <c r="A89" s="87">
        <v>780</v>
      </c>
      <c r="B89" s="82">
        <v>4.0494000000000003</v>
      </c>
      <c r="C89" s="72">
        <v>3627.5</v>
      </c>
      <c r="D89" s="72">
        <v>4113.3999999999996</v>
      </c>
      <c r="E89" s="82">
        <v>9.44</v>
      </c>
      <c r="F89" s="82"/>
      <c r="G89" s="28"/>
    </row>
    <row r="90" spans="1:7" ht="18.75" customHeight="1" x14ac:dyDescent="0.25">
      <c r="A90" s="87">
        <v>800</v>
      </c>
      <c r="B90" s="82">
        <v>4.1264000000000003</v>
      </c>
      <c r="C90" s="72">
        <v>3664.9</v>
      </c>
      <c r="D90" s="72">
        <v>4160.1000000000004</v>
      </c>
      <c r="E90" s="82">
        <v>9.4839000000000002</v>
      </c>
      <c r="F90" s="82"/>
      <c r="G90" s="28"/>
    </row>
    <row r="91" spans="1:7" ht="18.75" customHeight="1" x14ac:dyDescent="0.25">
      <c r="A91" s="87">
        <v>820</v>
      </c>
      <c r="B91" s="82">
        <v>4.2034000000000002</v>
      </c>
      <c r="C91" s="72">
        <v>3702.7</v>
      </c>
      <c r="D91" s="72">
        <v>4207.1000000000004</v>
      </c>
      <c r="E91" s="82">
        <v>9.5273000000000003</v>
      </c>
      <c r="F91" s="82"/>
      <c r="G91" s="28"/>
    </row>
    <row r="92" spans="1:7" ht="18.75" customHeight="1" x14ac:dyDescent="0.25">
      <c r="A92" s="87">
        <v>840</v>
      </c>
      <c r="B92" s="82">
        <v>4.2804000000000002</v>
      </c>
      <c r="C92" s="72">
        <v>3740.8</v>
      </c>
      <c r="D92" s="72">
        <v>4254.3999999999996</v>
      </c>
      <c r="E92" s="82">
        <v>9.5701999999999998</v>
      </c>
      <c r="F92" s="82"/>
      <c r="G92" s="28"/>
    </row>
    <row r="93" spans="1:7" ht="18.75" customHeight="1" x14ac:dyDescent="0.25">
      <c r="A93" s="87">
        <v>860</v>
      </c>
      <c r="B93" s="82">
        <v>4.3574000000000002</v>
      </c>
      <c r="C93" s="72">
        <v>3779.1</v>
      </c>
      <c r="D93" s="72">
        <v>4302</v>
      </c>
      <c r="E93" s="82">
        <v>9.6126000000000005</v>
      </c>
      <c r="F93" s="82"/>
      <c r="G93" s="28"/>
    </row>
    <row r="94" spans="1:7" ht="18.75" customHeight="1" x14ac:dyDescent="0.25">
      <c r="A94" s="87">
        <v>880</v>
      </c>
      <c r="B94" s="82">
        <v>4.4343000000000004</v>
      </c>
      <c r="C94" s="72">
        <v>3817.7</v>
      </c>
      <c r="D94" s="72">
        <v>4349.8</v>
      </c>
      <c r="E94" s="82">
        <v>9.6544000000000008</v>
      </c>
      <c r="F94" s="82"/>
      <c r="G94" s="28"/>
    </row>
    <row r="95" spans="1:7" ht="18.75" customHeight="1" x14ac:dyDescent="0.25">
      <c r="A95" s="87">
        <v>900</v>
      </c>
      <c r="B95" s="82">
        <v>4.5113000000000003</v>
      </c>
      <c r="C95" s="72">
        <v>3856.5</v>
      </c>
      <c r="D95" s="72">
        <v>4397.8999999999996</v>
      </c>
      <c r="E95" s="82">
        <v>9.6958000000000002</v>
      </c>
      <c r="F95" s="82"/>
      <c r="G95" s="28"/>
    </row>
    <row r="96" spans="1:7" ht="18.75" customHeight="1" x14ac:dyDescent="0.25">
      <c r="A96" s="87">
        <v>920</v>
      </c>
      <c r="B96" s="82">
        <v>4.5883000000000003</v>
      </c>
      <c r="C96" s="72">
        <v>3895.7</v>
      </c>
      <c r="D96" s="72">
        <v>4446.3</v>
      </c>
      <c r="E96" s="82">
        <v>9.7367000000000008</v>
      </c>
      <c r="F96" s="82"/>
      <c r="G96" s="28"/>
    </row>
    <row r="97" spans="1:7" ht="18.75" customHeight="1" x14ac:dyDescent="0.25">
      <c r="A97" s="87">
        <v>940</v>
      </c>
      <c r="B97" s="82">
        <v>4.6653000000000002</v>
      </c>
      <c r="C97" s="72">
        <v>3935.2</v>
      </c>
      <c r="D97" s="72">
        <v>4495</v>
      </c>
      <c r="E97" s="82">
        <v>9.7771000000000008</v>
      </c>
      <c r="F97" s="82"/>
      <c r="G97" s="28"/>
    </row>
    <row r="98" spans="1:7" ht="18.75" customHeight="1" x14ac:dyDescent="0.25">
      <c r="A98" s="87">
        <v>960</v>
      </c>
      <c r="B98" s="82">
        <v>4.7422000000000004</v>
      </c>
      <c r="C98" s="72">
        <v>3974.8</v>
      </c>
      <c r="D98" s="72">
        <v>4543.8999999999996</v>
      </c>
      <c r="E98" s="82">
        <v>9.8170999999999999</v>
      </c>
      <c r="F98" s="82"/>
      <c r="G98" s="28"/>
    </row>
    <row r="99" spans="1:7" ht="18.75" customHeight="1" x14ac:dyDescent="0.25">
      <c r="A99" s="87">
        <v>980</v>
      </c>
      <c r="B99" s="82">
        <v>4.8192000000000004</v>
      </c>
      <c r="C99" s="72">
        <v>4014.8</v>
      </c>
      <c r="D99" s="72">
        <v>4593.1000000000004</v>
      </c>
      <c r="E99" s="82">
        <v>9.8567</v>
      </c>
      <c r="F99" s="82"/>
      <c r="G99" s="28"/>
    </row>
    <row r="100" spans="1:7" ht="13.8" x14ac:dyDescent="0.25">
      <c r="A100" s="87">
        <v>1000</v>
      </c>
      <c r="B100" s="82">
        <v>4.8960999999999997</v>
      </c>
      <c r="C100" s="72">
        <v>4055</v>
      </c>
      <c r="D100" s="72">
        <v>4642.5</v>
      </c>
      <c r="E100" s="82">
        <v>9.8957999999999995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100"/>
  <sheetViews>
    <sheetView topLeftCell="A13" workbookViewId="0">
      <selection activeCell="A27" sqref="A27:XFD27"/>
    </sheetView>
  </sheetViews>
  <sheetFormatPr defaultRowHeight="13.2" x14ac:dyDescent="0.25"/>
  <cols>
    <col min="1" max="1" width="10.88671875" customWidth="1"/>
    <col min="2" max="2" width="11.777343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44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130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</row>
    <row r="4" spans="1:8" ht="18.75" customHeight="1" x14ac:dyDescent="0.25">
      <c r="A4" s="71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</row>
    <row r="5" spans="1:8" ht="18.75" customHeight="1" x14ac:dyDescent="0.25">
      <c r="A5" s="73">
        <v>0</v>
      </c>
      <c r="B5" s="79">
        <v>1.0001400000000001E-3</v>
      </c>
      <c r="C5" s="74">
        <v>-0.04</v>
      </c>
      <c r="D5" s="74">
        <v>0.09</v>
      </c>
      <c r="E5" s="81">
        <v>-1.4999999999999999E-4</v>
      </c>
      <c r="F5" s="81"/>
      <c r="G5" s="28"/>
    </row>
    <row r="6" spans="1:8" ht="18.75" customHeight="1" x14ac:dyDescent="0.25">
      <c r="A6" s="87">
        <v>5</v>
      </c>
      <c r="B6" s="79">
        <v>1.0000199999999999E-3</v>
      </c>
      <c r="C6" s="74">
        <v>21.02</v>
      </c>
      <c r="D6" s="74">
        <v>21.15</v>
      </c>
      <c r="E6" s="81">
        <v>7.6249999999999998E-2</v>
      </c>
      <c r="F6" s="81"/>
      <c r="G6" s="28"/>
    </row>
    <row r="7" spans="1:8" ht="18.75" customHeight="1" x14ac:dyDescent="0.25">
      <c r="A7" s="87">
        <v>10</v>
      </c>
      <c r="B7" s="79">
        <v>1.0002800000000001E-3</v>
      </c>
      <c r="C7" s="74">
        <v>42.02</v>
      </c>
      <c r="D7" s="74">
        <v>42.15</v>
      </c>
      <c r="E7" s="81">
        <v>0.15107000000000001</v>
      </c>
      <c r="F7" s="81"/>
      <c r="G7" s="28"/>
    </row>
    <row r="8" spans="1:8" ht="18.75" customHeight="1" x14ac:dyDescent="0.25">
      <c r="A8" s="87">
        <v>15</v>
      </c>
      <c r="B8" s="79">
        <v>1.00088E-3</v>
      </c>
      <c r="C8" s="74">
        <v>62.97</v>
      </c>
      <c r="D8" s="74">
        <v>63.1</v>
      </c>
      <c r="E8" s="81">
        <v>0.22444</v>
      </c>
      <c r="F8" s="81"/>
      <c r="G8" s="28"/>
    </row>
    <row r="9" spans="1:8" ht="18.75" customHeight="1" x14ac:dyDescent="0.25">
      <c r="A9" s="87">
        <v>20</v>
      </c>
      <c r="B9" s="79">
        <v>1.0017800000000001E-3</v>
      </c>
      <c r="C9" s="74">
        <v>83.9</v>
      </c>
      <c r="D9" s="74">
        <v>84.03</v>
      </c>
      <c r="E9" s="81">
        <v>0.29646</v>
      </c>
      <c r="F9" s="81"/>
      <c r="G9" s="28"/>
    </row>
    <row r="10" spans="1:8" ht="18.75" customHeight="1" x14ac:dyDescent="0.25">
      <c r="A10" s="87">
        <v>25</v>
      </c>
      <c r="B10" s="79">
        <v>1.0029500000000001E-3</v>
      </c>
      <c r="C10" s="74">
        <v>104.82</v>
      </c>
      <c r="D10" s="74">
        <v>104.95</v>
      </c>
      <c r="E10" s="81">
        <v>0.36719000000000002</v>
      </c>
      <c r="F10" s="81"/>
      <c r="G10" s="28"/>
    </row>
    <row r="11" spans="1:8" ht="18.75" customHeight="1" x14ac:dyDescent="0.25">
      <c r="A11" s="87">
        <v>30</v>
      </c>
      <c r="B11" s="79">
        <v>1.0043599999999999E-3</v>
      </c>
      <c r="C11" s="74">
        <v>125.72</v>
      </c>
      <c r="D11" s="74">
        <v>125.85</v>
      </c>
      <c r="E11" s="81">
        <v>0.43672</v>
      </c>
      <c r="F11" s="81"/>
      <c r="G11" s="28"/>
    </row>
    <row r="12" spans="1:8" ht="18.75" customHeight="1" x14ac:dyDescent="0.25">
      <c r="A12" s="87">
        <v>35</v>
      </c>
      <c r="B12" s="79">
        <v>1.00599E-3</v>
      </c>
      <c r="C12" s="74">
        <v>146.62</v>
      </c>
      <c r="D12" s="74">
        <v>146.75</v>
      </c>
      <c r="E12" s="81">
        <v>0.50509000000000004</v>
      </c>
      <c r="F12" s="81"/>
      <c r="G12" s="28"/>
    </row>
    <row r="13" spans="1:8" ht="18.75" customHeight="1" x14ac:dyDescent="0.25">
      <c r="A13" s="87">
        <v>40</v>
      </c>
      <c r="B13" s="79">
        <v>1.0078299999999999E-3</v>
      </c>
      <c r="C13" s="74">
        <v>167.51</v>
      </c>
      <c r="D13" s="74">
        <v>167.64</v>
      </c>
      <c r="E13" s="81">
        <v>0.57235000000000003</v>
      </c>
      <c r="F13" s="81"/>
      <c r="G13" s="28"/>
    </row>
    <row r="14" spans="1:8" ht="18.75" customHeight="1" x14ac:dyDescent="0.25">
      <c r="A14" s="87">
        <v>45</v>
      </c>
      <c r="B14" s="79">
        <v>1.00987E-3</v>
      </c>
      <c r="C14" s="74">
        <v>188.41</v>
      </c>
      <c r="D14" s="74">
        <v>188.54</v>
      </c>
      <c r="E14" s="81">
        <v>0.63856000000000002</v>
      </c>
      <c r="F14" s="81"/>
      <c r="G14" s="28"/>
    </row>
    <row r="15" spans="1:8" ht="18.75" customHeight="1" x14ac:dyDescent="0.25">
      <c r="A15" s="87">
        <v>50</v>
      </c>
      <c r="B15" s="79">
        <v>1.0120999999999999E-3</v>
      </c>
      <c r="C15" s="74">
        <v>209.31</v>
      </c>
      <c r="D15" s="74">
        <v>209.44</v>
      </c>
      <c r="E15" s="81">
        <v>0.70374999999999999</v>
      </c>
      <c r="F15" s="81"/>
      <c r="G15" s="28"/>
    </row>
    <row r="16" spans="1:8" ht="18.75" customHeight="1" x14ac:dyDescent="0.25">
      <c r="A16" s="87">
        <v>55</v>
      </c>
      <c r="B16" s="79">
        <v>1.0145E-3</v>
      </c>
      <c r="C16" s="74">
        <v>230.22</v>
      </c>
      <c r="D16" s="74">
        <v>230.35</v>
      </c>
      <c r="E16" s="81">
        <v>0.76797000000000004</v>
      </c>
      <c r="F16" s="81"/>
      <c r="G16" s="28"/>
    </row>
    <row r="17" spans="1:7" ht="18.75" customHeight="1" x14ac:dyDescent="0.25">
      <c r="A17" s="87">
        <v>60</v>
      </c>
      <c r="B17" s="79">
        <v>1.0170800000000001E-3</v>
      </c>
      <c r="C17" s="74">
        <v>251.14</v>
      </c>
      <c r="D17" s="74">
        <v>251.27</v>
      </c>
      <c r="E17" s="81">
        <v>0.83123000000000002</v>
      </c>
      <c r="F17" s="81"/>
      <c r="G17" s="28"/>
    </row>
    <row r="18" spans="1:7" ht="18.75" customHeight="1" x14ac:dyDescent="0.25">
      <c r="A18" s="87">
        <v>65</v>
      </c>
      <c r="B18" s="79">
        <v>1.0198200000000001E-3</v>
      </c>
      <c r="C18" s="74">
        <v>272.07</v>
      </c>
      <c r="D18" s="74">
        <v>272.2</v>
      </c>
      <c r="E18" s="81">
        <v>0.89359</v>
      </c>
      <c r="F18" s="81"/>
      <c r="G18" s="28"/>
    </row>
    <row r="19" spans="1:7" ht="18.75" customHeight="1" x14ac:dyDescent="0.25">
      <c r="A19" s="87">
        <v>70</v>
      </c>
      <c r="B19" s="79">
        <v>1.0227299999999999E-3</v>
      </c>
      <c r="C19" s="74">
        <v>293.02</v>
      </c>
      <c r="D19" s="74">
        <v>293.14999999999998</v>
      </c>
      <c r="E19" s="81">
        <v>0.95506999999999997</v>
      </c>
      <c r="F19" s="81"/>
      <c r="G19" s="28"/>
    </row>
    <row r="20" spans="1:7" ht="18.75" customHeight="1" x14ac:dyDescent="0.25">
      <c r="A20" s="87">
        <v>75</v>
      </c>
      <c r="B20" s="79">
        <v>1.0257899999999999E-3</v>
      </c>
      <c r="C20" s="74">
        <v>313.97000000000003</v>
      </c>
      <c r="D20" s="74">
        <v>314.10000000000002</v>
      </c>
      <c r="E20" s="82">
        <v>1.0157</v>
      </c>
      <c r="F20" s="82"/>
      <c r="G20" s="28"/>
    </row>
    <row r="21" spans="1:7" ht="18.75" customHeight="1" x14ac:dyDescent="0.25">
      <c r="A21" s="87">
        <v>80</v>
      </c>
      <c r="B21" s="79">
        <v>1.0290099999999999E-3</v>
      </c>
      <c r="C21" s="74">
        <v>334.95</v>
      </c>
      <c r="D21" s="74">
        <v>335.08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1.03239E-3</v>
      </c>
      <c r="C22" s="74">
        <v>355.94</v>
      </c>
      <c r="D22" s="74">
        <v>356.07</v>
      </c>
      <c r="E22" s="82">
        <v>1.1346000000000001</v>
      </c>
      <c r="F22" s="82"/>
      <c r="G22" s="28"/>
    </row>
    <row r="23" spans="1:7" ht="18.75" customHeight="1" x14ac:dyDescent="0.25">
      <c r="A23" s="87">
        <v>90</v>
      </c>
      <c r="B23" s="79">
        <v>1.0359200000000001E-3</v>
      </c>
      <c r="C23" s="74">
        <v>376.96</v>
      </c>
      <c r="D23" s="74">
        <v>377.09</v>
      </c>
      <c r="E23" s="82">
        <v>1.1928000000000001</v>
      </c>
      <c r="F23" s="82"/>
      <c r="G23" s="28"/>
    </row>
    <row r="24" spans="1:7" ht="18.75" customHeight="1" x14ac:dyDescent="0.25">
      <c r="A24" s="87">
        <v>95</v>
      </c>
      <c r="B24" s="79">
        <v>1.0396100000000001E-3</v>
      </c>
      <c r="C24" s="74">
        <v>397.98</v>
      </c>
      <c r="D24" s="74">
        <v>398.12</v>
      </c>
      <c r="E24" s="82">
        <v>1.2504</v>
      </c>
      <c r="F24" s="82"/>
      <c r="G24" s="28"/>
    </row>
    <row r="25" spans="1:7" ht="18.75" customHeight="1" x14ac:dyDescent="0.25">
      <c r="A25" s="87">
        <v>100</v>
      </c>
      <c r="B25" s="79">
        <v>1.04345E-3</v>
      </c>
      <c r="C25" s="74">
        <v>419.05</v>
      </c>
      <c r="D25" s="74">
        <v>419.19</v>
      </c>
      <c r="E25" s="82">
        <v>1.3071999999999999</v>
      </c>
      <c r="F25" s="82"/>
      <c r="G25" s="28"/>
    </row>
    <row r="26" spans="1:7" ht="18.75" customHeight="1" x14ac:dyDescent="0.25">
      <c r="A26" s="87">
        <v>105</v>
      </c>
      <c r="B26" s="79">
        <v>1.04744E-3</v>
      </c>
      <c r="C26" s="74">
        <v>440.14</v>
      </c>
      <c r="D26" s="74">
        <v>440.28</v>
      </c>
      <c r="E26" s="82">
        <v>1.3633</v>
      </c>
      <c r="F26" s="82"/>
      <c r="G26" s="28"/>
    </row>
    <row r="27" spans="1:7" ht="18.75" customHeight="1" x14ac:dyDescent="0.25">
      <c r="A27" s="87">
        <v>110</v>
      </c>
      <c r="B27" s="82">
        <v>1.3364</v>
      </c>
      <c r="C27" s="72">
        <v>2519</v>
      </c>
      <c r="D27" s="72">
        <v>2692.7</v>
      </c>
      <c r="E27" s="82">
        <v>7.2868000000000004</v>
      </c>
      <c r="F27" s="82"/>
      <c r="G27" s="28"/>
    </row>
    <row r="28" spans="1:7" ht="18.75" customHeight="1" x14ac:dyDescent="0.25">
      <c r="A28" s="87">
        <v>115</v>
      </c>
      <c r="B28" s="82">
        <v>1.3552999999999999</v>
      </c>
      <c r="C28" s="72">
        <v>2527</v>
      </c>
      <c r="D28" s="72">
        <v>2703.2</v>
      </c>
      <c r="E28" s="82">
        <v>7.3137999999999996</v>
      </c>
      <c r="F28" s="82"/>
      <c r="G28" s="28"/>
    </row>
    <row r="29" spans="1:7" ht="18.75" customHeight="1" x14ac:dyDescent="0.25">
      <c r="A29" s="87">
        <v>120</v>
      </c>
      <c r="B29" s="82">
        <v>1.3742000000000001</v>
      </c>
      <c r="C29" s="72">
        <v>2534.9</v>
      </c>
      <c r="D29" s="72">
        <v>2713.5</v>
      </c>
      <c r="E29" s="82">
        <v>7.3403</v>
      </c>
      <c r="F29" s="82"/>
      <c r="G29" s="28"/>
    </row>
    <row r="30" spans="1:7" ht="18.75" customHeight="1" x14ac:dyDescent="0.25">
      <c r="A30" s="87">
        <v>125</v>
      </c>
      <c r="B30" s="82">
        <v>1.393</v>
      </c>
      <c r="C30" s="72">
        <v>2542.6999999999998</v>
      </c>
      <c r="D30" s="72">
        <v>2723.8</v>
      </c>
      <c r="E30" s="82">
        <v>7.3662999999999998</v>
      </c>
      <c r="F30" s="82"/>
      <c r="G30" s="28"/>
    </row>
    <row r="31" spans="1:7" ht="18.75" customHeight="1" x14ac:dyDescent="0.25">
      <c r="A31" s="87">
        <v>130</v>
      </c>
      <c r="B31" s="82">
        <v>1.4117</v>
      </c>
      <c r="C31" s="72">
        <v>2550.5</v>
      </c>
      <c r="D31" s="72">
        <v>2734</v>
      </c>
      <c r="E31" s="82">
        <v>7.3917000000000002</v>
      </c>
      <c r="F31" s="82"/>
      <c r="G31" s="28"/>
    </row>
    <row r="32" spans="1:7" ht="18.75" customHeight="1" x14ac:dyDescent="0.25">
      <c r="A32" s="87">
        <v>135</v>
      </c>
      <c r="B32" s="82">
        <v>1.4302999999999999</v>
      </c>
      <c r="C32" s="72">
        <v>2558.1999999999998</v>
      </c>
      <c r="D32" s="72">
        <v>2744.1</v>
      </c>
      <c r="E32" s="82">
        <v>7.4168000000000003</v>
      </c>
      <c r="F32" s="82"/>
      <c r="G32" s="28"/>
    </row>
    <row r="33" spans="1:7" ht="18.75" customHeight="1" x14ac:dyDescent="0.25">
      <c r="A33" s="87">
        <v>140</v>
      </c>
      <c r="B33" s="82">
        <v>1.4489000000000001</v>
      </c>
      <c r="C33" s="72">
        <v>2565.9</v>
      </c>
      <c r="D33" s="72">
        <v>2754.3</v>
      </c>
      <c r="E33" s="82">
        <v>7.4413999999999998</v>
      </c>
      <c r="F33" s="82"/>
      <c r="G33" s="28"/>
    </row>
    <row r="34" spans="1:7" ht="18.75" customHeight="1" x14ac:dyDescent="0.25">
      <c r="A34" s="87">
        <v>145</v>
      </c>
      <c r="B34" s="82">
        <v>1.4674</v>
      </c>
      <c r="C34" s="72">
        <v>2573.5</v>
      </c>
      <c r="D34" s="72">
        <v>2764.3</v>
      </c>
      <c r="E34" s="82">
        <v>7.4657</v>
      </c>
      <c r="F34" s="82"/>
      <c r="G34" s="28"/>
    </row>
    <row r="35" spans="1:7" ht="18.75" customHeight="1" x14ac:dyDescent="0.25">
      <c r="A35" s="87">
        <v>150</v>
      </c>
      <c r="B35" s="82">
        <v>1.4859</v>
      </c>
      <c r="C35" s="72">
        <v>2581.1999999999998</v>
      </c>
      <c r="D35" s="72">
        <v>2774.4</v>
      </c>
      <c r="E35" s="82">
        <v>7.4896000000000003</v>
      </c>
      <c r="F35" s="82"/>
      <c r="G35" s="28"/>
    </row>
    <row r="36" spans="1:7" ht="18.75" customHeight="1" x14ac:dyDescent="0.25">
      <c r="A36" s="87">
        <v>155</v>
      </c>
      <c r="B36" s="82">
        <v>1.5043</v>
      </c>
      <c r="C36" s="72">
        <v>2588.8000000000002</v>
      </c>
      <c r="D36" s="72">
        <v>2784.4</v>
      </c>
      <c r="E36" s="82">
        <v>7.5132000000000003</v>
      </c>
      <c r="F36" s="82"/>
      <c r="G36" s="28"/>
    </row>
    <row r="37" spans="1:7" ht="18.75" customHeight="1" x14ac:dyDescent="0.25">
      <c r="A37" s="87">
        <v>160</v>
      </c>
      <c r="B37" s="82">
        <v>1.5226999999999999</v>
      </c>
      <c r="C37" s="72">
        <v>2596.4</v>
      </c>
      <c r="D37" s="72">
        <v>2794.4</v>
      </c>
      <c r="E37" s="82">
        <v>7.5364000000000004</v>
      </c>
      <c r="F37" s="82"/>
      <c r="G37" s="28"/>
    </row>
    <row r="38" spans="1:7" ht="18.75" customHeight="1" x14ac:dyDescent="0.25">
      <c r="A38" s="87">
        <v>165</v>
      </c>
      <c r="B38" s="82">
        <v>1.5409999999999999</v>
      </c>
      <c r="C38" s="72">
        <v>2604.1</v>
      </c>
      <c r="D38" s="72">
        <v>2804.4</v>
      </c>
      <c r="E38" s="82">
        <v>7.5593000000000004</v>
      </c>
      <c r="F38" s="82"/>
      <c r="G38" s="28"/>
    </row>
    <row r="39" spans="1:7" ht="18.75" customHeight="1" x14ac:dyDescent="0.25">
      <c r="A39" s="87">
        <v>170</v>
      </c>
      <c r="B39" s="82">
        <v>1.5592999999999999</v>
      </c>
      <c r="C39" s="72">
        <v>2611.6999999999998</v>
      </c>
      <c r="D39" s="72">
        <v>2814.4</v>
      </c>
      <c r="E39" s="82">
        <v>7.5819000000000001</v>
      </c>
      <c r="F39" s="82"/>
      <c r="G39" s="28"/>
    </row>
    <row r="40" spans="1:7" ht="18.75" customHeight="1" x14ac:dyDescent="0.25">
      <c r="A40" s="87">
        <v>175</v>
      </c>
      <c r="B40" s="82">
        <v>1.5775999999999999</v>
      </c>
      <c r="C40" s="72">
        <v>2619.1999999999998</v>
      </c>
      <c r="D40" s="72">
        <v>2824.3</v>
      </c>
      <c r="E40" s="82">
        <v>7.6043000000000003</v>
      </c>
      <c r="F40" s="82"/>
      <c r="G40" s="28"/>
    </row>
    <row r="41" spans="1:7" ht="18.75" customHeight="1" x14ac:dyDescent="0.25">
      <c r="A41" s="87">
        <v>180</v>
      </c>
      <c r="B41" s="82">
        <v>1.5958000000000001</v>
      </c>
      <c r="C41" s="72">
        <v>2626.8</v>
      </c>
      <c r="D41" s="72">
        <v>2834.3</v>
      </c>
      <c r="E41" s="82">
        <v>7.6264000000000003</v>
      </c>
      <c r="F41" s="82"/>
      <c r="G41" s="28"/>
    </row>
    <row r="42" spans="1:7" ht="18.75" customHeight="1" x14ac:dyDescent="0.25">
      <c r="A42" s="87">
        <v>185</v>
      </c>
      <c r="B42" s="82">
        <v>1.6140000000000001</v>
      </c>
      <c r="C42" s="72">
        <v>2634.4</v>
      </c>
      <c r="D42" s="72">
        <v>2844.2</v>
      </c>
      <c r="E42" s="82">
        <v>7.6482000000000001</v>
      </c>
      <c r="F42" s="82"/>
      <c r="G42" s="28"/>
    </row>
    <row r="43" spans="1:7" ht="18.75" customHeight="1" x14ac:dyDescent="0.25">
      <c r="A43" s="87">
        <v>190</v>
      </c>
      <c r="B43" s="82">
        <v>1.6322000000000001</v>
      </c>
      <c r="C43" s="72">
        <v>2642</v>
      </c>
      <c r="D43" s="72">
        <v>2854.2</v>
      </c>
      <c r="E43" s="82">
        <v>7.6698000000000004</v>
      </c>
      <c r="F43" s="82"/>
      <c r="G43" s="28"/>
    </row>
    <row r="44" spans="1:7" ht="18.75" customHeight="1" x14ac:dyDescent="0.25">
      <c r="A44" s="87">
        <v>195</v>
      </c>
      <c r="B44" s="82">
        <v>1.6503000000000001</v>
      </c>
      <c r="C44" s="72">
        <v>2649.6</v>
      </c>
      <c r="D44" s="72">
        <v>2864.1</v>
      </c>
      <c r="E44" s="82">
        <v>7.6910999999999996</v>
      </c>
      <c r="F44" s="82"/>
      <c r="G44" s="28"/>
    </row>
    <row r="45" spans="1:7" ht="18.75" customHeight="1" x14ac:dyDescent="0.25">
      <c r="A45" s="87">
        <v>200</v>
      </c>
      <c r="B45" s="82">
        <v>1.6685000000000001</v>
      </c>
      <c r="C45" s="72">
        <v>2657.1</v>
      </c>
      <c r="D45" s="72">
        <v>2874</v>
      </c>
      <c r="E45" s="82">
        <v>7.7122000000000002</v>
      </c>
      <c r="F45" s="82"/>
      <c r="G45" s="28"/>
    </row>
    <row r="46" spans="1:7" ht="18.75" customHeight="1" x14ac:dyDescent="0.25">
      <c r="A46" s="87">
        <v>210</v>
      </c>
      <c r="B46" s="82">
        <v>1.7047000000000001</v>
      </c>
      <c r="C46" s="72">
        <v>2672.3</v>
      </c>
      <c r="D46" s="72">
        <v>2893.9</v>
      </c>
      <c r="E46" s="82">
        <v>7.7538</v>
      </c>
      <c r="F46" s="82"/>
      <c r="G46" s="28"/>
    </row>
    <row r="47" spans="1:7" ht="18.75" customHeight="1" x14ac:dyDescent="0.25">
      <c r="A47" s="87">
        <v>220</v>
      </c>
      <c r="B47" s="82">
        <v>1.7407999999999999</v>
      </c>
      <c r="C47" s="72">
        <v>2687.5</v>
      </c>
      <c r="D47" s="72">
        <v>2913.8</v>
      </c>
      <c r="E47" s="82">
        <v>7.7945000000000002</v>
      </c>
      <c r="F47" s="82"/>
      <c r="G47" s="28"/>
    </row>
    <row r="48" spans="1:7" ht="18.75" customHeight="1" x14ac:dyDescent="0.25">
      <c r="A48" s="87">
        <v>230</v>
      </c>
      <c r="B48" s="82">
        <v>1.7768999999999999</v>
      </c>
      <c r="C48" s="72">
        <v>2702.7</v>
      </c>
      <c r="D48" s="72">
        <v>2933.7</v>
      </c>
      <c r="E48" s="82">
        <v>7.8343999999999996</v>
      </c>
      <c r="F48" s="82"/>
      <c r="G48" s="28"/>
    </row>
    <row r="49" spans="1:7" ht="18.75" customHeight="1" x14ac:dyDescent="0.25">
      <c r="A49" s="87">
        <v>240</v>
      </c>
      <c r="B49" s="82">
        <v>1.8129999999999999</v>
      </c>
      <c r="C49" s="72">
        <v>2717.9</v>
      </c>
      <c r="D49" s="72">
        <v>2953.6</v>
      </c>
      <c r="E49" s="82">
        <v>7.8735999999999997</v>
      </c>
      <c r="F49" s="82"/>
      <c r="G49" s="28"/>
    </row>
    <row r="50" spans="1:7" ht="18.75" customHeight="1" x14ac:dyDescent="0.25">
      <c r="A50" s="87">
        <v>250</v>
      </c>
      <c r="B50" s="82">
        <v>1.849</v>
      </c>
      <c r="C50" s="72">
        <v>2733.1</v>
      </c>
      <c r="D50" s="72">
        <v>2973.5</v>
      </c>
      <c r="E50" s="82">
        <v>7.9120999999999997</v>
      </c>
      <c r="F50" s="82"/>
      <c r="G50" s="28"/>
    </row>
    <row r="51" spans="1:7" ht="18.75" customHeight="1" x14ac:dyDescent="0.25">
      <c r="A51" s="87">
        <v>260</v>
      </c>
      <c r="B51" s="82">
        <v>1.8849</v>
      </c>
      <c r="C51" s="72">
        <v>2748.5</v>
      </c>
      <c r="D51" s="72">
        <v>2993.5</v>
      </c>
      <c r="E51" s="82">
        <v>7.9499000000000004</v>
      </c>
      <c r="F51" s="82"/>
      <c r="G51" s="28"/>
    </row>
    <row r="52" spans="1:7" ht="18.75" customHeight="1" x14ac:dyDescent="0.25">
      <c r="A52" s="87">
        <v>270</v>
      </c>
      <c r="B52" s="82">
        <v>1.9208000000000001</v>
      </c>
      <c r="C52" s="72">
        <v>2763.8</v>
      </c>
      <c r="D52" s="72">
        <v>3013.5</v>
      </c>
      <c r="E52" s="82">
        <v>7.9870999999999999</v>
      </c>
      <c r="F52" s="82"/>
      <c r="G52" s="28"/>
    </row>
    <row r="53" spans="1:7" ht="18.75" customHeight="1" x14ac:dyDescent="0.25">
      <c r="A53" s="87">
        <v>280</v>
      </c>
      <c r="B53" s="82">
        <v>1.9567000000000001</v>
      </c>
      <c r="C53" s="72">
        <v>2779.2</v>
      </c>
      <c r="D53" s="72">
        <v>3033.6</v>
      </c>
      <c r="E53" s="82">
        <v>8.0236999999999998</v>
      </c>
      <c r="F53" s="82"/>
      <c r="G53" s="28"/>
    </row>
    <row r="54" spans="1:7" ht="18.75" customHeight="1" x14ac:dyDescent="0.25">
      <c r="A54" s="87">
        <v>290</v>
      </c>
      <c r="B54" s="82">
        <v>1.9925999999999999</v>
      </c>
      <c r="C54" s="72">
        <v>2794.7</v>
      </c>
      <c r="D54" s="72">
        <v>3053.7</v>
      </c>
      <c r="E54" s="82">
        <v>8.0596999999999994</v>
      </c>
      <c r="F54" s="82"/>
      <c r="G54" s="28"/>
    </row>
    <row r="55" spans="1:7" ht="18.75" customHeight="1" x14ac:dyDescent="0.25">
      <c r="A55" s="87">
        <v>300</v>
      </c>
      <c r="B55" s="82">
        <v>2.0284</v>
      </c>
      <c r="C55" s="72">
        <v>2810.1</v>
      </c>
      <c r="D55" s="72">
        <v>3073.8</v>
      </c>
      <c r="E55" s="82">
        <v>8.0951000000000004</v>
      </c>
      <c r="F55" s="82"/>
      <c r="G55" s="28"/>
    </row>
    <row r="56" spans="1:7" ht="18.75" customHeight="1" x14ac:dyDescent="0.25">
      <c r="A56" s="87">
        <v>310</v>
      </c>
      <c r="B56" s="82">
        <v>2.0642</v>
      </c>
      <c r="C56" s="72">
        <v>2825.7</v>
      </c>
      <c r="D56" s="72">
        <v>3094</v>
      </c>
      <c r="E56" s="82">
        <v>8.1300000000000008</v>
      </c>
      <c r="F56" s="82"/>
      <c r="G56" s="28"/>
    </row>
    <row r="57" spans="1:7" ht="18.75" customHeight="1" x14ac:dyDescent="0.25">
      <c r="A57" s="87">
        <v>320</v>
      </c>
      <c r="B57" s="82">
        <v>2.1</v>
      </c>
      <c r="C57" s="72">
        <v>2841.2</v>
      </c>
      <c r="D57" s="72">
        <v>3114.2</v>
      </c>
      <c r="E57" s="82">
        <v>8.1644000000000005</v>
      </c>
      <c r="F57" s="82"/>
      <c r="G57" s="28"/>
    </row>
    <row r="58" spans="1:7" ht="18.75" customHeight="1" x14ac:dyDescent="0.25">
      <c r="A58" s="87">
        <v>330</v>
      </c>
      <c r="B58" s="82">
        <v>2.1358000000000001</v>
      </c>
      <c r="C58" s="72">
        <v>2856.8</v>
      </c>
      <c r="D58" s="72">
        <v>3134.5</v>
      </c>
      <c r="E58" s="82">
        <v>8.1983999999999995</v>
      </c>
      <c r="F58" s="82"/>
      <c r="G58" s="28"/>
    </row>
    <row r="59" spans="1:7" ht="18.75" customHeight="1" x14ac:dyDescent="0.25">
      <c r="A59" s="87">
        <v>340</v>
      </c>
      <c r="B59" s="82">
        <v>2.1715</v>
      </c>
      <c r="C59" s="72">
        <v>2872.6</v>
      </c>
      <c r="D59" s="72">
        <v>3154.9</v>
      </c>
      <c r="E59" s="82">
        <v>8.2317999999999998</v>
      </c>
      <c r="F59" s="82"/>
      <c r="G59" s="28"/>
    </row>
    <row r="60" spans="1:7" ht="18.75" customHeight="1" x14ac:dyDescent="0.25">
      <c r="A60" s="87">
        <v>350</v>
      </c>
      <c r="B60" s="82">
        <v>2.2073</v>
      </c>
      <c r="C60" s="72">
        <v>2888.4</v>
      </c>
      <c r="D60" s="72">
        <v>3175.3</v>
      </c>
      <c r="E60" s="82">
        <v>8.2647999999999993</v>
      </c>
      <c r="F60" s="82"/>
      <c r="G60" s="28"/>
    </row>
    <row r="61" spans="1:7" ht="18.75" customHeight="1" x14ac:dyDescent="0.25">
      <c r="A61" s="87">
        <v>360</v>
      </c>
      <c r="B61" s="82">
        <v>2.2429999999999999</v>
      </c>
      <c r="C61" s="72">
        <v>2904.1</v>
      </c>
      <c r="D61" s="72">
        <v>3195.7</v>
      </c>
      <c r="E61" s="82">
        <v>8.2973999999999997</v>
      </c>
      <c r="F61" s="82"/>
      <c r="G61" s="28"/>
    </row>
    <row r="62" spans="1:7" ht="18.75" customHeight="1" x14ac:dyDescent="0.25">
      <c r="A62" s="87">
        <v>370</v>
      </c>
      <c r="B62" s="82">
        <v>2.2787000000000002</v>
      </c>
      <c r="C62" s="72">
        <v>2920</v>
      </c>
      <c r="D62" s="72">
        <v>3216.2</v>
      </c>
      <c r="E62" s="82">
        <v>8.3294999999999995</v>
      </c>
      <c r="F62" s="82"/>
      <c r="G62" s="28"/>
    </row>
    <row r="63" spans="1:7" ht="18.75" customHeight="1" x14ac:dyDescent="0.25">
      <c r="A63" s="87">
        <v>380</v>
      </c>
      <c r="B63" s="82">
        <v>2.3144</v>
      </c>
      <c r="C63" s="72">
        <v>2935.9</v>
      </c>
      <c r="D63" s="72">
        <v>3236.8</v>
      </c>
      <c r="E63" s="82">
        <v>8.3613</v>
      </c>
      <c r="F63" s="82"/>
      <c r="G63" s="28"/>
    </row>
    <row r="64" spans="1:7" ht="18.75" customHeight="1" x14ac:dyDescent="0.25">
      <c r="A64" s="87">
        <v>390</v>
      </c>
      <c r="B64" s="82">
        <v>2.3500999999999999</v>
      </c>
      <c r="C64" s="72">
        <v>2951.9</v>
      </c>
      <c r="D64" s="72">
        <v>3257.4</v>
      </c>
      <c r="E64" s="82">
        <v>8.3925999999999998</v>
      </c>
      <c r="F64" s="82"/>
      <c r="G64" s="28"/>
    </row>
    <row r="65" spans="1:7" ht="18.75" customHeight="1" x14ac:dyDescent="0.25">
      <c r="A65" s="87">
        <v>400</v>
      </c>
      <c r="B65" s="82">
        <v>2.3858000000000001</v>
      </c>
      <c r="C65" s="72">
        <v>2967.9</v>
      </c>
      <c r="D65" s="72">
        <v>3278.1</v>
      </c>
      <c r="E65" s="82">
        <v>8.4236000000000004</v>
      </c>
      <c r="F65" s="82"/>
      <c r="G65" s="28"/>
    </row>
    <row r="66" spans="1:7" ht="18.75" customHeight="1" x14ac:dyDescent="0.25">
      <c r="A66" s="87">
        <v>410</v>
      </c>
      <c r="B66" s="82">
        <v>2.4214000000000002</v>
      </c>
      <c r="C66" s="72">
        <v>2984</v>
      </c>
      <c r="D66" s="72">
        <v>3298.8</v>
      </c>
      <c r="E66" s="82">
        <v>8.4542000000000002</v>
      </c>
      <c r="F66" s="82"/>
      <c r="G66" s="28"/>
    </row>
    <row r="67" spans="1:7" ht="18.75" customHeight="1" x14ac:dyDescent="0.25">
      <c r="A67" s="87">
        <v>420</v>
      </c>
      <c r="B67" s="82">
        <v>2.4571000000000001</v>
      </c>
      <c r="C67" s="72">
        <v>3000.3</v>
      </c>
      <c r="D67" s="72">
        <v>3319.7</v>
      </c>
      <c r="E67" s="82">
        <v>8.4844000000000008</v>
      </c>
      <c r="F67" s="82"/>
      <c r="G67" s="28"/>
    </row>
    <row r="68" spans="1:7" ht="18.75" customHeight="1" x14ac:dyDescent="0.25">
      <c r="A68" s="87">
        <v>430</v>
      </c>
      <c r="B68" s="82">
        <v>2.4927000000000001</v>
      </c>
      <c r="C68" s="72">
        <v>3016.4</v>
      </c>
      <c r="D68" s="72">
        <v>3340.5</v>
      </c>
      <c r="E68" s="82">
        <v>8.5143000000000004</v>
      </c>
      <c r="F68" s="82"/>
      <c r="G68" s="28"/>
    </row>
    <row r="69" spans="1:7" ht="18.75" customHeight="1" x14ac:dyDescent="0.25">
      <c r="A69" s="87">
        <v>440</v>
      </c>
      <c r="B69" s="82">
        <v>2.5284</v>
      </c>
      <c r="C69" s="72">
        <v>3032.8</v>
      </c>
      <c r="D69" s="72">
        <v>3361.5</v>
      </c>
      <c r="E69" s="82">
        <v>8.5439000000000007</v>
      </c>
      <c r="F69" s="82"/>
      <c r="G69" s="28"/>
    </row>
    <row r="70" spans="1:7" ht="18.75" customHeight="1" x14ac:dyDescent="0.25">
      <c r="A70" s="87">
        <v>450</v>
      </c>
      <c r="B70" s="82">
        <v>2.5640000000000001</v>
      </c>
      <c r="C70" s="72">
        <v>3049.2</v>
      </c>
      <c r="D70" s="72">
        <v>3382.5</v>
      </c>
      <c r="E70" s="82">
        <v>8.5731000000000002</v>
      </c>
      <c r="F70" s="82"/>
      <c r="G70" s="28"/>
    </row>
    <row r="71" spans="1:7" ht="18.75" customHeight="1" x14ac:dyDescent="0.25">
      <c r="A71" s="87">
        <v>460</v>
      </c>
      <c r="B71" s="82">
        <v>2.5996000000000001</v>
      </c>
      <c r="C71" s="72">
        <v>3065.6</v>
      </c>
      <c r="D71" s="72">
        <v>3403.5</v>
      </c>
      <c r="E71" s="82">
        <v>8.6020000000000003</v>
      </c>
      <c r="F71" s="82"/>
      <c r="G71" s="28"/>
    </row>
    <row r="72" spans="1:7" ht="18.75" customHeight="1" x14ac:dyDescent="0.25">
      <c r="A72" s="87">
        <v>470</v>
      </c>
      <c r="B72" s="82">
        <v>2.6353</v>
      </c>
      <c r="C72" s="72">
        <v>3082</v>
      </c>
      <c r="D72" s="72">
        <v>3424.6</v>
      </c>
      <c r="E72" s="82">
        <v>8.6305999999999994</v>
      </c>
      <c r="F72" s="82"/>
      <c r="G72" s="28"/>
    </row>
    <row r="73" spans="1:7" ht="18.75" customHeight="1" x14ac:dyDescent="0.25">
      <c r="A73" s="87">
        <v>480</v>
      </c>
      <c r="B73" s="82">
        <v>2.6709000000000001</v>
      </c>
      <c r="C73" s="72">
        <v>3098.6</v>
      </c>
      <c r="D73" s="72">
        <v>3445.8</v>
      </c>
      <c r="E73" s="82">
        <v>8.6590000000000007</v>
      </c>
      <c r="F73" s="82"/>
      <c r="G73" s="28"/>
    </row>
    <row r="74" spans="1:7" ht="18.75" customHeight="1" x14ac:dyDescent="0.25">
      <c r="A74" s="87">
        <v>490</v>
      </c>
      <c r="B74" s="82">
        <v>2.7065000000000001</v>
      </c>
      <c r="C74" s="72">
        <v>3115.3</v>
      </c>
      <c r="D74" s="72">
        <v>3467.1</v>
      </c>
      <c r="E74" s="82">
        <v>8.6869999999999994</v>
      </c>
      <c r="F74" s="82"/>
      <c r="G74" s="28"/>
    </row>
    <row r="75" spans="1:7" ht="18.75" customHeight="1" x14ac:dyDescent="0.25">
      <c r="A75" s="87">
        <v>500</v>
      </c>
      <c r="B75" s="82">
        <v>2.7421000000000002</v>
      </c>
      <c r="C75" s="72">
        <v>3131.9</v>
      </c>
      <c r="D75" s="72">
        <v>3488.4</v>
      </c>
      <c r="E75" s="82">
        <v>8.7148000000000003</v>
      </c>
      <c r="F75" s="82"/>
      <c r="G75" s="28"/>
    </row>
    <row r="76" spans="1:7" ht="18.75" customHeight="1" x14ac:dyDescent="0.25">
      <c r="A76" s="87">
        <v>520</v>
      </c>
      <c r="B76" s="82">
        <v>2.8132999999999999</v>
      </c>
      <c r="C76" s="72">
        <v>3165.6</v>
      </c>
      <c r="D76" s="72">
        <v>3531.3</v>
      </c>
      <c r="E76" s="82">
        <v>8.7695000000000007</v>
      </c>
      <c r="F76" s="82"/>
      <c r="G76" s="28"/>
    </row>
    <row r="77" spans="1:7" ht="18.75" customHeight="1" x14ac:dyDescent="0.25">
      <c r="A77" s="87">
        <v>540</v>
      </c>
      <c r="B77" s="82">
        <v>2.8845000000000001</v>
      </c>
      <c r="C77" s="72">
        <v>3199.4</v>
      </c>
      <c r="D77" s="72">
        <v>3574.4</v>
      </c>
      <c r="E77" s="82">
        <v>8.8231000000000002</v>
      </c>
      <c r="F77" s="82"/>
      <c r="G77" s="28"/>
    </row>
    <row r="78" spans="1:7" ht="18.75" customHeight="1" x14ac:dyDescent="0.25">
      <c r="A78" s="87">
        <v>560</v>
      </c>
      <c r="B78" s="82">
        <v>2.9556</v>
      </c>
      <c r="C78" s="72">
        <v>3233.6</v>
      </c>
      <c r="D78" s="72">
        <v>3617.8</v>
      </c>
      <c r="E78" s="82">
        <v>8.8758999999999997</v>
      </c>
      <c r="F78" s="82"/>
      <c r="G78" s="28"/>
    </row>
    <row r="79" spans="1:7" ht="18.75" customHeight="1" x14ac:dyDescent="0.25">
      <c r="A79" s="87">
        <v>580</v>
      </c>
      <c r="B79" s="82">
        <v>3.0268000000000002</v>
      </c>
      <c r="C79" s="72">
        <v>3267.9</v>
      </c>
      <c r="D79" s="72">
        <v>3661.4</v>
      </c>
      <c r="E79" s="82">
        <v>8.9276</v>
      </c>
      <c r="F79" s="82"/>
      <c r="G79" s="28"/>
    </row>
    <row r="80" spans="1:7" ht="18.75" customHeight="1" x14ac:dyDescent="0.25">
      <c r="A80" s="87">
        <v>600</v>
      </c>
      <c r="B80" s="82">
        <v>3.0979000000000001</v>
      </c>
      <c r="C80" s="72">
        <v>3302.6</v>
      </c>
      <c r="D80" s="72">
        <v>3705.3</v>
      </c>
      <c r="E80" s="82">
        <v>8.9785000000000004</v>
      </c>
      <c r="F80" s="82"/>
      <c r="G80" s="28"/>
    </row>
    <row r="81" spans="1:7" ht="18.75" customHeight="1" x14ac:dyDescent="0.25">
      <c r="A81" s="87">
        <v>620</v>
      </c>
      <c r="B81" s="82">
        <v>3.1690999999999998</v>
      </c>
      <c r="C81" s="72">
        <v>3337.6</v>
      </c>
      <c r="D81" s="72">
        <v>3749.6</v>
      </c>
      <c r="E81" s="82">
        <v>9.0286000000000008</v>
      </c>
      <c r="F81" s="82"/>
      <c r="G81" s="28"/>
    </row>
    <row r="82" spans="1:7" ht="18.75" customHeight="1" x14ac:dyDescent="0.25">
      <c r="A82" s="87">
        <v>640</v>
      </c>
      <c r="B82" s="82">
        <v>3.2402000000000002</v>
      </c>
      <c r="C82" s="72">
        <v>3372.8</v>
      </c>
      <c r="D82" s="72">
        <v>3794</v>
      </c>
      <c r="E82" s="82">
        <v>9.0778999999999996</v>
      </c>
      <c r="F82" s="82"/>
      <c r="G82" s="28"/>
    </row>
    <row r="83" spans="1:7" ht="18.75" customHeight="1" x14ac:dyDescent="0.25">
      <c r="A83" s="87">
        <v>660</v>
      </c>
      <c r="B83" s="82">
        <v>3.3113000000000001</v>
      </c>
      <c r="C83" s="72">
        <v>3408.3</v>
      </c>
      <c r="D83" s="72">
        <v>3838.8</v>
      </c>
      <c r="E83" s="82">
        <v>9.1264000000000003</v>
      </c>
      <c r="F83" s="82"/>
      <c r="G83" s="28"/>
    </row>
    <row r="84" spans="1:7" ht="18.75" customHeight="1" x14ac:dyDescent="0.25">
      <c r="A84" s="87">
        <v>680</v>
      </c>
      <c r="B84" s="82">
        <v>3.3824000000000001</v>
      </c>
      <c r="C84" s="72">
        <v>3444.2</v>
      </c>
      <c r="D84" s="72">
        <v>3883.9</v>
      </c>
      <c r="E84" s="82">
        <v>9.1740999999999993</v>
      </c>
      <c r="F84" s="82"/>
      <c r="G84" s="28"/>
    </row>
    <row r="85" spans="1:7" ht="18.75" customHeight="1" x14ac:dyDescent="0.25">
      <c r="A85" s="87">
        <v>700</v>
      </c>
      <c r="B85" s="82">
        <v>3.4535</v>
      </c>
      <c r="C85" s="72">
        <v>3480.2</v>
      </c>
      <c r="D85" s="72">
        <v>3929.2</v>
      </c>
      <c r="E85" s="82">
        <v>9.2211999999999996</v>
      </c>
      <c r="F85" s="82"/>
      <c r="G85" s="28"/>
    </row>
    <row r="86" spans="1:7" ht="18.75" customHeight="1" x14ac:dyDescent="0.25">
      <c r="A86" s="87">
        <v>720</v>
      </c>
      <c r="B86" s="82">
        <v>3.5246</v>
      </c>
      <c r="C86" s="72">
        <v>3516.6</v>
      </c>
      <c r="D86" s="72">
        <v>3974.8</v>
      </c>
      <c r="E86" s="82">
        <v>9.2675999999999998</v>
      </c>
      <c r="F86" s="82"/>
      <c r="G86" s="28"/>
    </row>
    <row r="87" spans="1:7" ht="18.75" customHeight="1" x14ac:dyDescent="0.25">
      <c r="A87" s="87">
        <v>740</v>
      </c>
      <c r="B87" s="82">
        <v>3.5956999999999999</v>
      </c>
      <c r="C87" s="72">
        <v>3553.3</v>
      </c>
      <c r="D87" s="72">
        <v>4020.7</v>
      </c>
      <c r="E87" s="82">
        <v>9.3132999999999999</v>
      </c>
      <c r="F87" s="82"/>
      <c r="G87" s="28"/>
    </row>
    <row r="88" spans="1:7" ht="18.75" customHeight="1" x14ac:dyDescent="0.25">
      <c r="A88" s="87">
        <v>760</v>
      </c>
      <c r="B88" s="82">
        <v>3.6667999999999998</v>
      </c>
      <c r="C88" s="72">
        <v>3590.2</v>
      </c>
      <c r="D88" s="72">
        <v>4066.9</v>
      </c>
      <c r="E88" s="82">
        <v>9.3584999999999994</v>
      </c>
      <c r="F88" s="82"/>
      <c r="G88" s="28"/>
    </row>
    <row r="89" spans="1:7" ht="18.75" customHeight="1" x14ac:dyDescent="0.25">
      <c r="A89" s="87">
        <v>780</v>
      </c>
      <c r="B89" s="82">
        <v>3.7378999999999998</v>
      </c>
      <c r="C89" s="72">
        <v>3627.4</v>
      </c>
      <c r="D89" s="72">
        <v>4113.3</v>
      </c>
      <c r="E89" s="82">
        <v>9.4030000000000005</v>
      </c>
      <c r="F89" s="82"/>
      <c r="G89" s="28"/>
    </row>
    <row r="90" spans="1:7" ht="18.75" customHeight="1" x14ac:dyDescent="0.25">
      <c r="A90" s="87">
        <v>800</v>
      </c>
      <c r="B90" s="82">
        <v>3.8089</v>
      </c>
      <c r="C90" s="72">
        <v>3664.9</v>
      </c>
      <c r="D90" s="72">
        <v>4160.1000000000004</v>
      </c>
      <c r="E90" s="82">
        <v>9.4469999999999992</v>
      </c>
      <c r="F90" s="82"/>
      <c r="G90" s="28"/>
    </row>
    <row r="91" spans="1:7" ht="18.75" customHeight="1" x14ac:dyDescent="0.25">
      <c r="A91" s="87">
        <v>820</v>
      </c>
      <c r="B91" s="82">
        <v>3.88</v>
      </c>
      <c r="C91" s="72">
        <v>3702.7</v>
      </c>
      <c r="D91" s="72">
        <v>4207.1000000000004</v>
      </c>
      <c r="E91" s="82">
        <v>9.4903999999999993</v>
      </c>
      <c r="F91" s="82"/>
      <c r="G91" s="28"/>
    </row>
    <row r="92" spans="1:7" ht="18.75" customHeight="1" x14ac:dyDescent="0.25">
      <c r="A92" s="87">
        <v>840</v>
      </c>
      <c r="B92" s="82">
        <v>3.9510999999999998</v>
      </c>
      <c r="C92" s="72">
        <v>3740.8</v>
      </c>
      <c r="D92" s="72">
        <v>4254.3999999999996</v>
      </c>
      <c r="E92" s="82">
        <v>9.5332000000000008</v>
      </c>
      <c r="F92" s="82"/>
      <c r="G92" s="28"/>
    </row>
    <row r="93" spans="1:7" ht="18.75" customHeight="1" x14ac:dyDescent="0.25">
      <c r="A93" s="87">
        <v>860</v>
      </c>
      <c r="B93" s="82">
        <v>4.0221</v>
      </c>
      <c r="C93" s="72">
        <v>3779</v>
      </c>
      <c r="D93" s="72">
        <v>4301.8999999999996</v>
      </c>
      <c r="E93" s="82">
        <v>9.5755999999999997</v>
      </c>
      <c r="F93" s="82"/>
      <c r="G93" s="28"/>
    </row>
    <row r="94" spans="1:7" ht="18.75" customHeight="1" x14ac:dyDescent="0.25">
      <c r="A94" s="87">
        <v>880</v>
      </c>
      <c r="B94" s="82">
        <v>4.0932000000000004</v>
      </c>
      <c r="C94" s="72">
        <v>3817.7</v>
      </c>
      <c r="D94" s="72">
        <v>4349.8</v>
      </c>
      <c r="E94" s="82">
        <v>9.6173999999999999</v>
      </c>
      <c r="F94" s="82"/>
      <c r="G94" s="28"/>
    </row>
    <row r="95" spans="1:7" ht="18.75" customHeight="1" x14ac:dyDescent="0.25">
      <c r="A95" s="87">
        <v>900</v>
      </c>
      <c r="B95" s="82">
        <v>4.1642000000000001</v>
      </c>
      <c r="C95" s="72">
        <v>3856.6</v>
      </c>
      <c r="D95" s="72">
        <v>4397.8999999999996</v>
      </c>
      <c r="E95" s="82">
        <v>9.6587999999999994</v>
      </c>
      <c r="F95" s="82"/>
      <c r="G95" s="28"/>
    </row>
    <row r="96" spans="1:7" ht="18.75" customHeight="1" x14ac:dyDescent="0.25">
      <c r="A96" s="87">
        <v>920</v>
      </c>
      <c r="B96" s="82">
        <v>4.2352999999999996</v>
      </c>
      <c r="C96" s="72">
        <v>3895.7</v>
      </c>
      <c r="D96" s="72">
        <v>4446.3</v>
      </c>
      <c r="E96" s="82">
        <v>9.6997</v>
      </c>
      <c r="F96" s="82"/>
      <c r="G96" s="28"/>
    </row>
    <row r="97" spans="1:7" ht="18.75" customHeight="1" x14ac:dyDescent="0.25">
      <c r="A97" s="87">
        <v>940</v>
      </c>
      <c r="B97" s="82">
        <v>4.3064</v>
      </c>
      <c r="C97" s="72">
        <v>3935.1</v>
      </c>
      <c r="D97" s="72">
        <v>4494.8999999999996</v>
      </c>
      <c r="E97" s="82">
        <v>9.7401</v>
      </c>
      <c r="F97" s="82"/>
      <c r="G97" s="28"/>
    </row>
    <row r="98" spans="1:7" ht="18.75" customHeight="1" x14ac:dyDescent="0.25">
      <c r="A98" s="87">
        <v>960</v>
      </c>
      <c r="B98" s="82">
        <v>4.3773999999999997</v>
      </c>
      <c r="C98" s="72">
        <v>3974.8</v>
      </c>
      <c r="D98" s="72">
        <v>4543.8999999999996</v>
      </c>
      <c r="E98" s="82">
        <v>9.7800999999999991</v>
      </c>
      <c r="F98" s="82"/>
      <c r="G98" s="28"/>
    </row>
    <row r="99" spans="1:7" ht="18.75" customHeight="1" x14ac:dyDescent="0.25">
      <c r="A99" s="87">
        <v>980</v>
      </c>
      <c r="B99" s="82">
        <v>4.4484000000000004</v>
      </c>
      <c r="C99" s="72">
        <v>4014.7</v>
      </c>
      <c r="D99" s="72">
        <v>4593</v>
      </c>
      <c r="E99" s="82">
        <v>9.8196999999999992</v>
      </c>
      <c r="F99" s="82"/>
      <c r="G99" s="28"/>
    </row>
    <row r="100" spans="1:7" ht="13.8" x14ac:dyDescent="0.25">
      <c r="A100" s="87">
        <v>1000</v>
      </c>
      <c r="B100" s="82">
        <v>4.5194999999999999</v>
      </c>
      <c r="C100" s="72">
        <v>4055</v>
      </c>
      <c r="D100" s="72">
        <v>4642.5</v>
      </c>
      <c r="E100" s="82">
        <v>9.8588000000000005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100"/>
  <sheetViews>
    <sheetView topLeftCell="A13" workbookViewId="0">
      <selection activeCell="A27" sqref="A27:XFD27"/>
    </sheetView>
  </sheetViews>
  <sheetFormatPr defaultRowHeight="13.2" x14ac:dyDescent="0.25"/>
  <cols>
    <col min="1" max="1" width="6.21875" customWidth="1"/>
    <col min="2" max="2" width="10.55468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45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140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1.0001400000000001E-3</v>
      </c>
      <c r="C5" s="74">
        <v>-0.04</v>
      </c>
      <c r="D5" s="74">
        <v>0.1</v>
      </c>
      <c r="E5" s="81">
        <v>-1.4999999999999999E-4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1.00001E-3</v>
      </c>
      <c r="C6" s="74">
        <v>21.02</v>
      </c>
      <c r="D6" s="74">
        <v>21.16</v>
      </c>
      <c r="E6" s="81">
        <v>7.6249999999999998E-2</v>
      </c>
      <c r="F6" s="81"/>
      <c r="G6" s="28"/>
      <c r="H6" s="28"/>
    </row>
    <row r="7" spans="1:8" ht="18.75" customHeight="1" x14ac:dyDescent="0.25">
      <c r="A7" s="7">
        <v>10</v>
      </c>
      <c r="B7" s="79">
        <v>1.0002800000000001E-3</v>
      </c>
      <c r="C7" s="74">
        <v>42.02</v>
      </c>
      <c r="D7" s="74">
        <v>42.16</v>
      </c>
      <c r="E7" s="81">
        <v>0.15107000000000001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1.00088E-3</v>
      </c>
      <c r="C8" s="74">
        <v>62.97</v>
      </c>
      <c r="D8" s="74">
        <v>63.11</v>
      </c>
      <c r="E8" s="81">
        <v>0.22444</v>
      </c>
      <c r="F8" s="81"/>
      <c r="G8" s="28"/>
      <c r="H8" s="28"/>
    </row>
    <row r="9" spans="1:8" ht="18.75" customHeight="1" x14ac:dyDescent="0.25">
      <c r="A9" s="7">
        <v>20</v>
      </c>
      <c r="B9" s="79">
        <v>1.0017800000000001E-3</v>
      </c>
      <c r="C9" s="74">
        <v>83.9</v>
      </c>
      <c r="D9" s="74">
        <v>84.04</v>
      </c>
      <c r="E9" s="81">
        <v>0.29644999999999999</v>
      </c>
      <c r="F9" s="81"/>
      <c r="G9" s="28"/>
    </row>
    <row r="10" spans="1:8" ht="18.75" customHeight="1" x14ac:dyDescent="0.25">
      <c r="A10" s="7">
        <v>25</v>
      </c>
      <c r="B10" s="79">
        <v>1.0029399999999999E-3</v>
      </c>
      <c r="C10" s="74">
        <v>104.82</v>
      </c>
      <c r="D10" s="74">
        <v>104.96</v>
      </c>
      <c r="E10" s="81">
        <v>0.36719000000000002</v>
      </c>
      <c r="F10" s="81"/>
      <c r="G10" s="28"/>
    </row>
    <row r="11" spans="1:8" ht="18.75" customHeight="1" x14ac:dyDescent="0.25">
      <c r="A11" s="7">
        <v>30</v>
      </c>
      <c r="B11" s="79">
        <v>1.00435E-3</v>
      </c>
      <c r="C11" s="74">
        <v>125.72</v>
      </c>
      <c r="D11" s="74">
        <v>125.86</v>
      </c>
      <c r="E11" s="81">
        <v>0.43670999999999999</v>
      </c>
      <c r="F11" s="81"/>
      <c r="G11" s="28"/>
    </row>
    <row r="12" spans="1:8" ht="18.75" customHeight="1" x14ac:dyDescent="0.25">
      <c r="A12" s="7">
        <v>35</v>
      </c>
      <c r="B12" s="79">
        <v>1.00599E-3</v>
      </c>
      <c r="C12" s="74">
        <v>146.61000000000001</v>
      </c>
      <c r="D12" s="74">
        <v>146.75</v>
      </c>
      <c r="E12" s="81">
        <v>0.50507999999999997</v>
      </c>
      <c r="F12" s="81"/>
      <c r="G12" s="28"/>
    </row>
    <row r="13" spans="1:8" ht="18.75" customHeight="1" x14ac:dyDescent="0.25">
      <c r="A13" s="7">
        <v>40</v>
      </c>
      <c r="B13" s="79">
        <v>1.0078299999999999E-3</v>
      </c>
      <c r="C13" s="74">
        <v>167.51</v>
      </c>
      <c r="D13" s="74">
        <v>167.65</v>
      </c>
      <c r="E13" s="81">
        <v>0.57235000000000003</v>
      </c>
      <c r="F13" s="81"/>
      <c r="G13" s="28"/>
    </row>
    <row r="14" spans="1:8" ht="18.75" customHeight="1" x14ac:dyDescent="0.25">
      <c r="A14" s="7">
        <v>45</v>
      </c>
      <c r="B14" s="79">
        <v>1.00987E-3</v>
      </c>
      <c r="C14" s="74">
        <v>188.41</v>
      </c>
      <c r="D14" s="74">
        <v>188.55</v>
      </c>
      <c r="E14" s="81">
        <v>0.63856000000000002</v>
      </c>
      <c r="F14" s="81"/>
      <c r="G14" s="28"/>
    </row>
    <row r="15" spans="1:8" ht="18.75" customHeight="1" x14ac:dyDescent="0.25">
      <c r="A15" s="7">
        <v>50</v>
      </c>
      <c r="B15" s="79">
        <v>1.01209E-3</v>
      </c>
      <c r="C15" s="74">
        <v>209.31</v>
      </c>
      <c r="D15" s="74">
        <v>209.45</v>
      </c>
      <c r="E15" s="81">
        <v>0.70374999999999999</v>
      </c>
      <c r="F15" s="81"/>
      <c r="G15" s="28"/>
    </row>
    <row r="16" spans="1:8" ht="18.75" customHeight="1" x14ac:dyDescent="0.25">
      <c r="A16" s="7">
        <v>55</v>
      </c>
      <c r="B16" s="79">
        <v>1.0145E-3</v>
      </c>
      <c r="C16" s="74">
        <v>230.22</v>
      </c>
      <c r="D16" s="74">
        <v>230.36</v>
      </c>
      <c r="E16" s="81">
        <v>0.76795999999999998</v>
      </c>
      <c r="F16" s="81"/>
      <c r="G16" s="28"/>
    </row>
    <row r="17" spans="1:7" ht="18.75" customHeight="1" x14ac:dyDescent="0.25">
      <c r="A17" s="7">
        <v>60</v>
      </c>
      <c r="B17" s="79">
        <v>1.0170699999999999E-3</v>
      </c>
      <c r="C17" s="74">
        <v>251.14</v>
      </c>
      <c r="D17" s="74">
        <v>251.28</v>
      </c>
      <c r="E17" s="81">
        <v>0.83123000000000002</v>
      </c>
      <c r="F17" s="81"/>
      <c r="G17" s="28"/>
    </row>
    <row r="18" spans="1:7" ht="18.75" customHeight="1" x14ac:dyDescent="0.25">
      <c r="A18" s="7">
        <v>65</v>
      </c>
      <c r="B18" s="79">
        <v>1.0198200000000001E-3</v>
      </c>
      <c r="C18" s="74">
        <v>272.07</v>
      </c>
      <c r="D18" s="74">
        <v>272.20999999999998</v>
      </c>
      <c r="E18" s="81">
        <v>0.89359</v>
      </c>
      <c r="F18" s="81"/>
      <c r="G18" s="28"/>
    </row>
    <row r="19" spans="1:7" ht="18.75" customHeight="1" x14ac:dyDescent="0.25">
      <c r="A19" s="7">
        <v>70</v>
      </c>
      <c r="B19" s="79">
        <v>1.02272E-3</v>
      </c>
      <c r="C19" s="74">
        <v>293.01</v>
      </c>
      <c r="D19" s="74">
        <v>293.14999999999998</v>
      </c>
      <c r="E19" s="81">
        <v>0.95506999999999997</v>
      </c>
      <c r="F19" s="81"/>
      <c r="G19" s="28"/>
    </row>
    <row r="20" spans="1:7" ht="18.75" customHeight="1" x14ac:dyDescent="0.25">
      <c r="A20" s="7">
        <v>75</v>
      </c>
      <c r="B20" s="79">
        <v>1.0257899999999999E-3</v>
      </c>
      <c r="C20" s="74">
        <v>313.97000000000003</v>
      </c>
      <c r="D20" s="74">
        <v>314.11</v>
      </c>
      <c r="E20" s="82">
        <v>1.0157</v>
      </c>
      <c r="F20" s="82"/>
      <c r="G20" s="28"/>
    </row>
    <row r="21" spans="1:7" ht="18.75" customHeight="1" x14ac:dyDescent="0.25">
      <c r="A21" s="7">
        <v>80</v>
      </c>
      <c r="B21" s="79">
        <v>1.0290099999999999E-3</v>
      </c>
      <c r="C21" s="74">
        <v>334.95</v>
      </c>
      <c r="D21" s="74">
        <v>335.09</v>
      </c>
      <c r="E21" s="82">
        <v>1.0754999999999999</v>
      </c>
      <c r="F21" s="82"/>
      <c r="G21" s="28"/>
    </row>
    <row r="22" spans="1:7" ht="18.75" customHeight="1" x14ac:dyDescent="0.25">
      <c r="A22" s="7">
        <v>85</v>
      </c>
      <c r="B22" s="79">
        <v>1.03239E-3</v>
      </c>
      <c r="C22" s="74">
        <v>355.94</v>
      </c>
      <c r="D22" s="74">
        <v>356.08</v>
      </c>
      <c r="E22" s="82">
        <v>1.1345000000000001</v>
      </c>
      <c r="F22" s="82"/>
      <c r="G22" s="28"/>
    </row>
    <row r="23" spans="1:7" ht="18.75" customHeight="1" x14ac:dyDescent="0.25">
      <c r="A23" s="7">
        <v>90</v>
      </c>
      <c r="B23" s="79">
        <v>1.0359200000000001E-3</v>
      </c>
      <c r="C23" s="74">
        <v>376.94</v>
      </c>
      <c r="D23" s="74">
        <v>377.09</v>
      </c>
      <c r="E23" s="82">
        <v>1.1928000000000001</v>
      </c>
      <c r="F23" s="82"/>
      <c r="G23" s="28"/>
    </row>
    <row r="24" spans="1:7" ht="18.75" customHeight="1" x14ac:dyDescent="0.25">
      <c r="A24" s="7">
        <v>95</v>
      </c>
      <c r="B24" s="79">
        <v>1.0395999999999999E-3</v>
      </c>
      <c r="C24" s="74">
        <v>397.98</v>
      </c>
      <c r="D24" s="74">
        <v>398.13</v>
      </c>
      <c r="E24" s="82">
        <v>1.2504</v>
      </c>
      <c r="F24" s="82"/>
      <c r="G24" s="28"/>
    </row>
    <row r="25" spans="1:7" ht="18.75" customHeight="1" x14ac:dyDescent="0.25">
      <c r="A25" s="7">
        <v>100</v>
      </c>
      <c r="B25" s="79">
        <v>1.0434400000000001E-3</v>
      </c>
      <c r="C25" s="74">
        <v>419.05</v>
      </c>
      <c r="D25" s="74">
        <v>419.2</v>
      </c>
      <c r="E25" s="82">
        <v>1.3071999999999999</v>
      </c>
      <c r="F25" s="82"/>
      <c r="G25" s="28"/>
    </row>
    <row r="26" spans="1:7" ht="18.75" customHeight="1" x14ac:dyDescent="0.25">
      <c r="A26" s="7">
        <v>105</v>
      </c>
      <c r="B26" s="79">
        <v>1.04743E-3</v>
      </c>
      <c r="C26" s="74">
        <v>440.14</v>
      </c>
      <c r="D26" s="74">
        <v>440.29</v>
      </c>
      <c r="E26" s="82">
        <v>1.3633</v>
      </c>
      <c r="F26" s="82"/>
      <c r="G26" s="28"/>
    </row>
    <row r="27" spans="1:7" ht="18.75" customHeight="1" x14ac:dyDescent="0.25">
      <c r="A27" s="7">
        <v>110</v>
      </c>
      <c r="B27" s="82">
        <v>1.2391000000000001</v>
      </c>
      <c r="C27" s="72">
        <v>2518</v>
      </c>
      <c r="D27" s="72">
        <v>2691.5</v>
      </c>
      <c r="E27" s="82">
        <v>7.25</v>
      </c>
      <c r="F27" s="82"/>
      <c r="G27" s="28"/>
    </row>
    <row r="28" spans="1:7" ht="18.75" customHeight="1" x14ac:dyDescent="0.25">
      <c r="A28" s="7">
        <v>115</v>
      </c>
      <c r="B28" s="82">
        <v>1.2567999999999999</v>
      </c>
      <c r="C28" s="72">
        <v>2526</v>
      </c>
      <c r="D28" s="72">
        <v>2702</v>
      </c>
      <c r="E28" s="82">
        <v>7.2773000000000003</v>
      </c>
      <c r="F28" s="82"/>
      <c r="G28" s="28"/>
    </row>
    <row r="29" spans="1:7" ht="18.75" customHeight="1" x14ac:dyDescent="0.25">
      <c r="A29" s="7">
        <v>120</v>
      </c>
      <c r="B29" s="82">
        <v>1.2745</v>
      </c>
      <c r="C29" s="72">
        <v>2534</v>
      </c>
      <c r="D29" s="72">
        <v>2712.4</v>
      </c>
      <c r="E29" s="82">
        <v>7.3038999999999996</v>
      </c>
      <c r="F29" s="82"/>
      <c r="G29" s="28"/>
    </row>
    <row r="30" spans="1:7" ht="18.75" customHeight="1" x14ac:dyDescent="0.25">
      <c r="A30" s="7">
        <v>125</v>
      </c>
      <c r="B30" s="82">
        <v>1.292</v>
      </c>
      <c r="C30" s="72">
        <v>2541.9</v>
      </c>
      <c r="D30" s="72">
        <v>2722.8</v>
      </c>
      <c r="E30" s="82">
        <v>7.3300999999999998</v>
      </c>
      <c r="F30" s="82"/>
      <c r="G30" s="28"/>
    </row>
    <row r="31" spans="1:7" ht="18.75" customHeight="1" x14ac:dyDescent="0.25">
      <c r="A31" s="7">
        <v>130</v>
      </c>
      <c r="B31" s="82">
        <v>1.3093999999999999</v>
      </c>
      <c r="C31" s="72">
        <v>2549.6999999999998</v>
      </c>
      <c r="D31" s="72">
        <v>2733</v>
      </c>
      <c r="E31" s="82">
        <v>7.3556999999999997</v>
      </c>
      <c r="F31" s="82"/>
      <c r="G31" s="28"/>
    </row>
    <row r="32" spans="1:7" ht="18.75" customHeight="1" x14ac:dyDescent="0.25">
      <c r="A32" s="7">
        <v>135</v>
      </c>
      <c r="B32" s="82">
        <v>1.3268</v>
      </c>
      <c r="C32" s="72">
        <v>2557.5</v>
      </c>
      <c r="D32" s="72">
        <v>2743.3</v>
      </c>
      <c r="E32" s="82">
        <v>7.3808999999999996</v>
      </c>
      <c r="F32" s="82"/>
      <c r="G32" s="28"/>
    </row>
    <row r="33" spans="1:7" ht="18.75" customHeight="1" x14ac:dyDescent="0.25">
      <c r="A33" s="7">
        <v>140</v>
      </c>
      <c r="B33" s="82">
        <v>1.3441000000000001</v>
      </c>
      <c r="C33" s="72">
        <v>2565.1999999999998</v>
      </c>
      <c r="D33" s="72">
        <v>2753.4</v>
      </c>
      <c r="E33" s="82">
        <v>7.4057000000000004</v>
      </c>
      <c r="F33" s="82"/>
      <c r="G33" s="28"/>
    </row>
    <row r="34" spans="1:7" ht="18.75" customHeight="1" x14ac:dyDescent="0.25">
      <c r="A34" s="7">
        <v>145</v>
      </c>
      <c r="B34" s="82">
        <v>1.3613</v>
      </c>
      <c r="C34" s="72">
        <v>2573</v>
      </c>
      <c r="D34" s="72">
        <v>2763.6</v>
      </c>
      <c r="E34" s="82">
        <v>7.43</v>
      </c>
      <c r="F34" s="82"/>
      <c r="G34" s="28"/>
    </row>
    <row r="35" spans="1:7" ht="18.75" customHeight="1" x14ac:dyDescent="0.25">
      <c r="A35" s="7">
        <v>150</v>
      </c>
      <c r="B35" s="82">
        <v>1.3785000000000001</v>
      </c>
      <c r="C35" s="72">
        <v>2580.6</v>
      </c>
      <c r="D35" s="72">
        <v>2773.6</v>
      </c>
      <c r="E35" s="82">
        <v>7.4539999999999997</v>
      </c>
      <c r="F35" s="82"/>
      <c r="G35" s="28"/>
    </row>
    <row r="36" spans="1:7" ht="18.75" customHeight="1" x14ac:dyDescent="0.25">
      <c r="A36" s="7">
        <v>155</v>
      </c>
      <c r="B36" s="82">
        <v>1.3956999999999999</v>
      </c>
      <c r="C36" s="72">
        <v>2588.3000000000002</v>
      </c>
      <c r="D36" s="72">
        <v>2783.7</v>
      </c>
      <c r="E36" s="82">
        <v>7.4776999999999996</v>
      </c>
      <c r="F36" s="82"/>
      <c r="G36" s="28"/>
    </row>
    <row r="37" spans="1:7" ht="18.75" customHeight="1" x14ac:dyDescent="0.25">
      <c r="A37" s="7">
        <v>160</v>
      </c>
      <c r="B37" s="82">
        <v>1.4128000000000001</v>
      </c>
      <c r="C37" s="72">
        <v>2596</v>
      </c>
      <c r="D37" s="72">
        <v>2793.8</v>
      </c>
      <c r="E37" s="82">
        <v>7.5010000000000003</v>
      </c>
      <c r="F37" s="82"/>
      <c r="G37" s="28"/>
    </row>
    <row r="38" spans="1:7" ht="18.75" customHeight="1" x14ac:dyDescent="0.25">
      <c r="A38" s="7">
        <v>165</v>
      </c>
      <c r="B38" s="82">
        <v>1.4298999999999999</v>
      </c>
      <c r="C38" s="72">
        <v>2603.6</v>
      </c>
      <c r="D38" s="72">
        <v>2803.8</v>
      </c>
      <c r="E38" s="82">
        <v>7.524</v>
      </c>
      <c r="F38" s="82"/>
      <c r="G38" s="28"/>
    </row>
    <row r="39" spans="1:7" ht="18.75" customHeight="1" x14ac:dyDescent="0.25">
      <c r="A39" s="7">
        <v>170</v>
      </c>
      <c r="B39" s="82">
        <v>1.4469000000000001</v>
      </c>
      <c r="C39" s="72">
        <v>2611.1999999999998</v>
      </c>
      <c r="D39" s="72">
        <v>2813.8</v>
      </c>
      <c r="E39" s="82">
        <v>7.5467000000000004</v>
      </c>
      <c r="F39" s="82"/>
      <c r="G39" s="28"/>
    </row>
    <row r="40" spans="1:7" ht="18.75" customHeight="1" x14ac:dyDescent="0.25">
      <c r="A40" s="7">
        <v>175</v>
      </c>
      <c r="B40" s="82">
        <v>1.4639</v>
      </c>
      <c r="C40" s="72">
        <v>2618.9</v>
      </c>
      <c r="D40" s="72">
        <v>2823.8</v>
      </c>
      <c r="E40" s="82">
        <v>7.5690999999999997</v>
      </c>
      <c r="F40" s="82"/>
      <c r="G40" s="28"/>
    </row>
    <row r="41" spans="1:7" ht="18.75" customHeight="1" x14ac:dyDescent="0.25">
      <c r="A41" s="7">
        <v>180</v>
      </c>
      <c r="B41" s="82">
        <v>1.4809000000000001</v>
      </c>
      <c r="C41" s="72">
        <v>2626.4</v>
      </c>
      <c r="D41" s="72">
        <v>2833.7</v>
      </c>
      <c r="E41" s="82">
        <v>7.5911999999999997</v>
      </c>
      <c r="F41" s="82"/>
      <c r="G41" s="28"/>
    </row>
    <row r="42" spans="1:7" ht="18.75" customHeight="1" x14ac:dyDescent="0.25">
      <c r="A42" s="7">
        <v>185</v>
      </c>
      <c r="B42" s="82">
        <v>1.4978</v>
      </c>
      <c r="C42" s="72">
        <v>2634</v>
      </c>
      <c r="D42" s="72">
        <v>2843.7</v>
      </c>
      <c r="E42" s="82">
        <v>7.6131000000000002</v>
      </c>
      <c r="F42" s="82"/>
      <c r="G42" s="28"/>
    </row>
    <row r="43" spans="1:7" ht="18.75" customHeight="1" x14ac:dyDescent="0.25">
      <c r="A43" s="7">
        <v>190</v>
      </c>
      <c r="B43" s="82">
        <v>1.5146999999999999</v>
      </c>
      <c r="C43" s="72">
        <v>2641.6</v>
      </c>
      <c r="D43" s="72">
        <v>2853.7</v>
      </c>
      <c r="E43" s="82">
        <v>7.6346999999999996</v>
      </c>
      <c r="F43" s="82"/>
      <c r="G43" s="28"/>
    </row>
    <row r="44" spans="1:7" ht="18.75" customHeight="1" x14ac:dyDescent="0.25">
      <c r="A44" s="7">
        <v>195</v>
      </c>
      <c r="B44" s="82">
        <v>1.5316000000000001</v>
      </c>
      <c r="C44" s="72">
        <v>2649.2</v>
      </c>
      <c r="D44" s="72">
        <v>2863.6</v>
      </c>
      <c r="E44" s="82">
        <v>7.6561000000000003</v>
      </c>
      <c r="F44" s="82"/>
      <c r="G44" s="28"/>
    </row>
    <row r="45" spans="1:7" ht="18.75" customHeight="1" x14ac:dyDescent="0.25">
      <c r="A45" s="7">
        <v>200</v>
      </c>
      <c r="B45" s="82">
        <v>1.5485</v>
      </c>
      <c r="C45" s="72">
        <v>2656.8</v>
      </c>
      <c r="D45" s="72">
        <v>2873.6</v>
      </c>
      <c r="E45" s="82">
        <v>7.6772999999999998</v>
      </c>
      <c r="F45" s="82"/>
      <c r="G45" s="28"/>
    </row>
    <row r="46" spans="1:7" ht="18.75" customHeight="1" x14ac:dyDescent="0.25">
      <c r="A46" s="7">
        <v>210</v>
      </c>
      <c r="B46" s="82">
        <v>1.5822000000000001</v>
      </c>
      <c r="C46" s="72">
        <v>2672</v>
      </c>
      <c r="D46" s="72">
        <v>2893.5</v>
      </c>
      <c r="E46" s="82">
        <v>7.7188999999999997</v>
      </c>
      <c r="F46" s="82"/>
      <c r="G46" s="28"/>
    </row>
    <row r="47" spans="1:7" ht="18.75" customHeight="1" x14ac:dyDescent="0.25">
      <c r="A47" s="7">
        <v>220</v>
      </c>
      <c r="B47" s="82">
        <v>1.6157999999999999</v>
      </c>
      <c r="C47" s="72">
        <v>2687.2</v>
      </c>
      <c r="D47" s="72">
        <v>2913.4</v>
      </c>
      <c r="E47" s="82">
        <v>7.7596999999999996</v>
      </c>
      <c r="F47" s="82"/>
      <c r="G47" s="28"/>
    </row>
    <row r="48" spans="1:7" ht="18.75" customHeight="1" x14ac:dyDescent="0.25">
      <c r="A48" s="7">
        <v>230</v>
      </c>
      <c r="B48" s="82">
        <v>1.6493</v>
      </c>
      <c r="C48" s="72">
        <v>2702.4</v>
      </c>
      <c r="D48" s="72">
        <v>2933.3</v>
      </c>
      <c r="E48" s="82">
        <v>7.7995999999999999</v>
      </c>
      <c r="F48" s="82"/>
      <c r="G48" s="28"/>
    </row>
    <row r="49" spans="1:7" ht="18.75" customHeight="1" x14ac:dyDescent="0.25">
      <c r="A49" s="7">
        <v>240</v>
      </c>
      <c r="B49" s="82">
        <v>1.6828000000000001</v>
      </c>
      <c r="C49" s="72">
        <v>2717.6</v>
      </c>
      <c r="D49" s="72">
        <v>2953.2</v>
      </c>
      <c r="E49" s="82">
        <v>7.8388999999999998</v>
      </c>
      <c r="F49" s="82"/>
      <c r="G49" s="28"/>
    </row>
    <row r="50" spans="1:7" ht="18.75" customHeight="1" x14ac:dyDescent="0.25">
      <c r="A50" s="7">
        <v>250</v>
      </c>
      <c r="B50" s="82">
        <v>1.7162999999999999</v>
      </c>
      <c r="C50" s="72">
        <v>2732.9</v>
      </c>
      <c r="D50" s="72">
        <v>2973.2</v>
      </c>
      <c r="E50" s="82">
        <v>7.8773999999999997</v>
      </c>
      <c r="F50" s="82"/>
      <c r="G50" s="28"/>
    </row>
    <row r="51" spans="1:7" ht="18.75" customHeight="1" x14ac:dyDescent="0.25">
      <c r="A51" s="7">
        <v>260</v>
      </c>
      <c r="B51" s="82">
        <v>1.7497</v>
      </c>
      <c r="C51" s="72">
        <v>2748.2</v>
      </c>
      <c r="D51" s="72">
        <v>2993.2</v>
      </c>
      <c r="E51" s="82">
        <v>7.9153000000000002</v>
      </c>
      <c r="F51" s="82"/>
      <c r="G51" s="28"/>
    </row>
    <row r="52" spans="1:7" ht="18.75" customHeight="1" x14ac:dyDescent="0.25">
      <c r="A52" s="7">
        <v>270</v>
      </c>
      <c r="B52" s="82">
        <v>1.7830999999999999</v>
      </c>
      <c r="C52" s="72">
        <v>2763.6</v>
      </c>
      <c r="D52" s="72">
        <v>3013.2</v>
      </c>
      <c r="E52" s="82">
        <v>7.9524999999999997</v>
      </c>
      <c r="F52" s="82"/>
      <c r="G52" s="28"/>
    </row>
    <row r="53" spans="1:7" ht="18.75" customHeight="1" x14ac:dyDescent="0.25">
      <c r="A53" s="7">
        <v>280</v>
      </c>
      <c r="B53" s="82">
        <v>1.8164</v>
      </c>
      <c r="C53" s="72">
        <v>2779</v>
      </c>
      <c r="D53" s="72">
        <v>3033.3</v>
      </c>
      <c r="E53" s="82">
        <v>7.9890999999999996</v>
      </c>
      <c r="F53" s="82"/>
      <c r="G53" s="28"/>
    </row>
    <row r="54" spans="1:7" ht="18.75" customHeight="1" x14ac:dyDescent="0.25">
      <c r="A54" s="7">
        <v>290</v>
      </c>
      <c r="B54" s="82">
        <v>1.8498000000000001</v>
      </c>
      <c r="C54" s="72">
        <v>2794.4</v>
      </c>
      <c r="D54" s="72">
        <v>3053.4</v>
      </c>
      <c r="E54" s="82">
        <v>8.0251000000000001</v>
      </c>
      <c r="F54" s="82"/>
      <c r="G54" s="28"/>
    </row>
    <row r="55" spans="1:7" ht="18.75" customHeight="1" x14ac:dyDescent="0.25">
      <c r="A55" s="7">
        <v>300</v>
      </c>
      <c r="B55" s="82">
        <v>1.8831</v>
      </c>
      <c r="C55" s="72">
        <v>2809.9</v>
      </c>
      <c r="D55" s="72">
        <v>3073.5</v>
      </c>
      <c r="E55" s="82">
        <v>8.0606000000000009</v>
      </c>
      <c r="F55" s="82"/>
      <c r="G55" s="28"/>
    </row>
    <row r="56" spans="1:7" ht="18.75" customHeight="1" x14ac:dyDescent="0.25">
      <c r="A56" s="7">
        <v>310</v>
      </c>
      <c r="B56" s="82">
        <v>1.9162999999999999</v>
      </c>
      <c r="C56" s="72">
        <v>2825.4</v>
      </c>
      <c r="D56" s="72">
        <v>3093.7</v>
      </c>
      <c r="E56" s="82">
        <v>8.0954999999999995</v>
      </c>
      <c r="F56" s="82"/>
      <c r="G56" s="28"/>
    </row>
    <row r="57" spans="1:7" ht="18.75" customHeight="1" x14ac:dyDescent="0.25">
      <c r="A57" s="7">
        <v>320</v>
      </c>
      <c r="B57" s="82">
        <v>1.9496</v>
      </c>
      <c r="C57" s="72">
        <v>2841.1</v>
      </c>
      <c r="D57" s="72">
        <v>3114</v>
      </c>
      <c r="E57" s="82">
        <v>8.1300000000000008</v>
      </c>
      <c r="F57" s="82"/>
      <c r="G57" s="28"/>
    </row>
    <row r="58" spans="1:7" ht="18.75" customHeight="1" x14ac:dyDescent="0.25">
      <c r="A58" s="7">
        <v>330</v>
      </c>
      <c r="B58" s="82">
        <v>1.9827999999999999</v>
      </c>
      <c r="C58" s="72">
        <v>2856.7</v>
      </c>
      <c r="D58" s="72">
        <v>3134.3</v>
      </c>
      <c r="E58" s="82">
        <v>8.1638999999999999</v>
      </c>
      <c r="F58" s="82"/>
      <c r="G58" s="28"/>
    </row>
    <row r="59" spans="1:7" ht="18.75" customHeight="1" x14ac:dyDescent="0.25">
      <c r="A59" s="7">
        <v>340</v>
      </c>
      <c r="B59" s="82">
        <v>2.016</v>
      </c>
      <c r="C59" s="72">
        <v>2872.5</v>
      </c>
      <c r="D59" s="72">
        <v>3154.7</v>
      </c>
      <c r="E59" s="82">
        <v>8.1974</v>
      </c>
      <c r="F59" s="82"/>
      <c r="G59" s="28"/>
    </row>
    <row r="60" spans="1:7" ht="18.75" customHeight="1" x14ac:dyDescent="0.25">
      <c r="A60" s="7">
        <v>350</v>
      </c>
      <c r="B60" s="82">
        <v>2.0491999999999999</v>
      </c>
      <c r="C60" s="72">
        <v>2888.2</v>
      </c>
      <c r="D60" s="72">
        <v>3175.1</v>
      </c>
      <c r="E60" s="82">
        <v>8.2303999999999995</v>
      </c>
      <c r="F60" s="82"/>
      <c r="G60" s="28"/>
    </row>
    <row r="61" spans="1:7" ht="18.75" customHeight="1" x14ac:dyDescent="0.25">
      <c r="A61" s="7">
        <v>360</v>
      </c>
      <c r="B61" s="82">
        <v>2.0823999999999998</v>
      </c>
      <c r="C61" s="72">
        <v>2904</v>
      </c>
      <c r="D61" s="72">
        <v>3195.5</v>
      </c>
      <c r="E61" s="82">
        <v>8.2629999999999999</v>
      </c>
      <c r="F61" s="82"/>
      <c r="G61" s="28"/>
    </row>
    <row r="62" spans="1:7" ht="18.75" customHeight="1" x14ac:dyDescent="0.25">
      <c r="A62" s="7">
        <v>370</v>
      </c>
      <c r="B62" s="82">
        <v>2.1156000000000001</v>
      </c>
      <c r="C62" s="72">
        <v>2919.8</v>
      </c>
      <c r="D62" s="72">
        <v>3216</v>
      </c>
      <c r="E62" s="82">
        <v>8.2950999999999997</v>
      </c>
      <c r="F62" s="82"/>
      <c r="G62" s="28"/>
    </row>
    <row r="63" spans="1:7" ht="18.75" customHeight="1" x14ac:dyDescent="0.25">
      <c r="A63" s="7">
        <v>380</v>
      </c>
      <c r="B63" s="82">
        <v>2.1488</v>
      </c>
      <c r="C63" s="72">
        <v>2935.8</v>
      </c>
      <c r="D63" s="72">
        <v>3236.6</v>
      </c>
      <c r="E63" s="82">
        <v>8.3269000000000002</v>
      </c>
      <c r="F63" s="82"/>
      <c r="G63" s="28"/>
    </row>
    <row r="64" spans="1:7" ht="18.75" customHeight="1" x14ac:dyDescent="0.25">
      <c r="A64" s="7">
        <v>390</v>
      </c>
      <c r="B64" s="82">
        <v>2.1819000000000002</v>
      </c>
      <c r="C64" s="72">
        <v>2951.8</v>
      </c>
      <c r="D64" s="72">
        <v>3257.3</v>
      </c>
      <c r="E64" s="82">
        <v>8.3582000000000001</v>
      </c>
      <c r="F64" s="82"/>
      <c r="G64" s="28"/>
    </row>
    <row r="65" spans="1:7" ht="18.75" customHeight="1" x14ac:dyDescent="0.25">
      <c r="A65" s="7">
        <v>400</v>
      </c>
      <c r="B65" s="82">
        <v>2.2151000000000001</v>
      </c>
      <c r="C65" s="72">
        <v>2967.8</v>
      </c>
      <c r="D65" s="72">
        <v>3277.9</v>
      </c>
      <c r="E65" s="82">
        <v>8.3892000000000007</v>
      </c>
      <c r="F65" s="82"/>
      <c r="G65" s="28"/>
    </row>
    <row r="66" spans="1:7" ht="18.75" customHeight="1" x14ac:dyDescent="0.25">
      <c r="A66" s="7">
        <v>410</v>
      </c>
      <c r="B66" s="82">
        <v>2.2482000000000002</v>
      </c>
      <c r="C66" s="72">
        <v>2984</v>
      </c>
      <c r="D66" s="72">
        <v>3298.7</v>
      </c>
      <c r="E66" s="82">
        <v>8.4198000000000004</v>
      </c>
      <c r="F66" s="82"/>
      <c r="G66" s="28"/>
    </row>
    <row r="67" spans="1:7" ht="18.75" customHeight="1" x14ac:dyDescent="0.25">
      <c r="A67" s="7">
        <v>420</v>
      </c>
      <c r="B67" s="82">
        <v>2.2812999999999999</v>
      </c>
      <c r="C67" s="72">
        <v>3000.1</v>
      </c>
      <c r="D67" s="72">
        <v>3319.5</v>
      </c>
      <c r="E67" s="82">
        <v>8.4499999999999993</v>
      </c>
      <c r="F67" s="82"/>
      <c r="G67" s="28"/>
    </row>
    <row r="68" spans="1:7" ht="18.75" customHeight="1" x14ac:dyDescent="0.25">
      <c r="A68" s="7">
        <v>430</v>
      </c>
      <c r="B68" s="82">
        <v>2.3144</v>
      </c>
      <c r="C68" s="72">
        <v>3016.4</v>
      </c>
      <c r="D68" s="72">
        <v>3340.4</v>
      </c>
      <c r="E68" s="82">
        <v>8.4799000000000007</v>
      </c>
      <c r="F68" s="82"/>
      <c r="G68" s="28"/>
    </row>
    <row r="69" spans="1:7" ht="18.75" customHeight="1" x14ac:dyDescent="0.25">
      <c r="A69" s="7">
        <v>440</v>
      </c>
      <c r="B69" s="82">
        <v>2.3475000000000001</v>
      </c>
      <c r="C69" s="72">
        <v>3032.6</v>
      </c>
      <c r="D69" s="72">
        <v>3361.3</v>
      </c>
      <c r="E69" s="82">
        <v>8.5094999999999992</v>
      </c>
      <c r="F69" s="82"/>
      <c r="G69" s="28"/>
    </row>
    <row r="70" spans="1:7" ht="18.75" customHeight="1" x14ac:dyDescent="0.25">
      <c r="A70" s="7">
        <v>450</v>
      </c>
      <c r="B70" s="82">
        <v>2.3805999999999998</v>
      </c>
      <c r="C70" s="72">
        <v>3049</v>
      </c>
      <c r="D70" s="72">
        <v>3382.3</v>
      </c>
      <c r="E70" s="82">
        <v>8.5388000000000002</v>
      </c>
      <c r="F70" s="82"/>
      <c r="G70" s="28"/>
    </row>
    <row r="71" spans="1:7" ht="18.75" customHeight="1" x14ac:dyDescent="0.25">
      <c r="A71" s="7">
        <v>460</v>
      </c>
      <c r="B71" s="82">
        <v>2.4137</v>
      </c>
      <c r="C71" s="72">
        <v>3065.5</v>
      </c>
      <c r="D71" s="72">
        <v>3403.4</v>
      </c>
      <c r="E71" s="82">
        <v>8.5677000000000003</v>
      </c>
      <c r="F71" s="82"/>
      <c r="G71" s="28"/>
    </row>
    <row r="72" spans="1:7" ht="18.75" customHeight="1" x14ac:dyDescent="0.25">
      <c r="A72" s="7">
        <v>470</v>
      </c>
      <c r="B72" s="82">
        <v>2.4468000000000001</v>
      </c>
      <c r="C72" s="72">
        <v>3081.9</v>
      </c>
      <c r="D72" s="72">
        <v>3424.5</v>
      </c>
      <c r="E72" s="82">
        <v>8.5962999999999994</v>
      </c>
      <c r="F72" s="82"/>
      <c r="G72" s="28"/>
    </row>
    <row r="73" spans="1:7" ht="18.75" customHeight="1" x14ac:dyDescent="0.25">
      <c r="A73" s="7">
        <v>480</v>
      </c>
      <c r="B73" s="82">
        <v>2.4799000000000002</v>
      </c>
      <c r="C73" s="72">
        <v>3098.5</v>
      </c>
      <c r="D73" s="72">
        <v>3445.7</v>
      </c>
      <c r="E73" s="82">
        <v>8.6245999999999992</v>
      </c>
      <c r="F73" s="82"/>
      <c r="G73" s="28"/>
    </row>
    <row r="74" spans="1:7" ht="18.75" customHeight="1" x14ac:dyDescent="0.25">
      <c r="A74" s="7">
        <v>490</v>
      </c>
      <c r="B74" s="82">
        <v>2.5129999999999999</v>
      </c>
      <c r="C74" s="72">
        <v>3115.2</v>
      </c>
      <c r="D74" s="72">
        <v>3467</v>
      </c>
      <c r="E74" s="82">
        <v>8.6526999999999994</v>
      </c>
      <c r="F74" s="82"/>
      <c r="G74" s="28"/>
    </row>
    <row r="75" spans="1:7" ht="18.75" customHeight="1" x14ac:dyDescent="0.25">
      <c r="A75" s="7">
        <v>500</v>
      </c>
      <c r="B75" s="82">
        <v>2.5459999999999998</v>
      </c>
      <c r="C75" s="72">
        <v>3131.9</v>
      </c>
      <c r="D75" s="72">
        <v>3488.3</v>
      </c>
      <c r="E75" s="82">
        <v>8.6804000000000006</v>
      </c>
      <c r="F75" s="82"/>
      <c r="G75" s="28"/>
    </row>
    <row r="76" spans="1:7" ht="18.75" customHeight="1" x14ac:dyDescent="0.25">
      <c r="A76" s="7">
        <v>520</v>
      </c>
      <c r="B76" s="82">
        <v>2.6122000000000001</v>
      </c>
      <c r="C76" s="72">
        <v>3165.5</v>
      </c>
      <c r="D76" s="72">
        <v>3531.2</v>
      </c>
      <c r="E76" s="82">
        <v>8.7352000000000007</v>
      </c>
      <c r="F76" s="82"/>
      <c r="G76" s="28"/>
    </row>
    <row r="77" spans="1:7" ht="18.75" customHeight="1" x14ac:dyDescent="0.25">
      <c r="A77" s="7">
        <v>540</v>
      </c>
      <c r="B77" s="82">
        <v>2.6783000000000001</v>
      </c>
      <c r="C77" s="72">
        <v>3199.3</v>
      </c>
      <c r="D77" s="72">
        <v>3574.3</v>
      </c>
      <c r="E77" s="82">
        <v>8.7888999999999999</v>
      </c>
      <c r="F77" s="82"/>
      <c r="G77" s="28"/>
    </row>
    <row r="78" spans="1:7" ht="18.75" customHeight="1" x14ac:dyDescent="0.25">
      <c r="A78" s="7">
        <v>560</v>
      </c>
      <c r="B78" s="82">
        <v>2.7444000000000002</v>
      </c>
      <c r="C78" s="72">
        <v>3233.5</v>
      </c>
      <c r="D78" s="72">
        <v>3617.7</v>
      </c>
      <c r="E78" s="82">
        <v>8.8415999999999997</v>
      </c>
      <c r="F78" s="82"/>
      <c r="G78" s="28"/>
    </row>
    <row r="79" spans="1:7" ht="18.75" customHeight="1" x14ac:dyDescent="0.25">
      <c r="A79" s="7">
        <v>580</v>
      </c>
      <c r="B79" s="82">
        <v>2.8105000000000002</v>
      </c>
      <c r="C79" s="72">
        <v>3267.8</v>
      </c>
      <c r="D79" s="72">
        <v>3661.3</v>
      </c>
      <c r="E79" s="82">
        <v>8.8933999999999997</v>
      </c>
      <c r="F79" s="82"/>
      <c r="G79" s="28"/>
    </row>
    <row r="80" spans="1:7" ht="18.75" customHeight="1" x14ac:dyDescent="0.25">
      <c r="A80" s="7">
        <v>600</v>
      </c>
      <c r="B80" s="82">
        <v>2.8765000000000001</v>
      </c>
      <c r="C80" s="72">
        <v>3302.6</v>
      </c>
      <c r="D80" s="72">
        <v>3705.3</v>
      </c>
      <c r="E80" s="82">
        <v>8.9443000000000001</v>
      </c>
      <c r="F80" s="82"/>
      <c r="G80" s="28"/>
    </row>
    <row r="81" spans="1:7" ht="18.75" customHeight="1" x14ac:dyDescent="0.25">
      <c r="A81" s="7">
        <v>620</v>
      </c>
      <c r="B81" s="82">
        <v>2.9426000000000001</v>
      </c>
      <c r="C81" s="72">
        <v>3337.5</v>
      </c>
      <c r="D81" s="72">
        <v>3749.5</v>
      </c>
      <c r="E81" s="82">
        <v>8.9943000000000008</v>
      </c>
      <c r="F81" s="82"/>
      <c r="G81" s="28"/>
    </row>
    <row r="82" spans="1:7" ht="18.75" customHeight="1" x14ac:dyDescent="0.25">
      <c r="A82" s="7">
        <v>640</v>
      </c>
      <c r="B82" s="82">
        <v>3.0085999999999999</v>
      </c>
      <c r="C82" s="72">
        <v>3372.8</v>
      </c>
      <c r="D82" s="72">
        <v>3794</v>
      </c>
      <c r="E82" s="82">
        <v>9.0435999999999996</v>
      </c>
      <c r="F82" s="82"/>
      <c r="G82" s="28"/>
    </row>
    <row r="83" spans="1:7" ht="18.75" customHeight="1" x14ac:dyDescent="0.25">
      <c r="A83" s="7">
        <v>660</v>
      </c>
      <c r="B83" s="82">
        <v>3.0747</v>
      </c>
      <c r="C83" s="72">
        <v>3408.2</v>
      </c>
      <c r="D83" s="72">
        <v>3838.7</v>
      </c>
      <c r="E83" s="82">
        <v>9.0921000000000003</v>
      </c>
      <c r="F83" s="82"/>
      <c r="G83" s="28"/>
    </row>
    <row r="84" spans="1:7" ht="18.75" customHeight="1" x14ac:dyDescent="0.25">
      <c r="A84" s="7">
        <v>680</v>
      </c>
      <c r="B84" s="82">
        <v>3.1406999999999998</v>
      </c>
      <c r="C84" s="72">
        <v>3444.1</v>
      </c>
      <c r="D84" s="72">
        <v>3883.8</v>
      </c>
      <c r="E84" s="82">
        <v>9.1399000000000008</v>
      </c>
      <c r="F84" s="82"/>
      <c r="G84" s="28"/>
    </row>
    <row r="85" spans="1:7" ht="18.75" customHeight="1" x14ac:dyDescent="0.25">
      <c r="A85" s="7">
        <v>700</v>
      </c>
      <c r="B85" s="82">
        <v>3.2067000000000001</v>
      </c>
      <c r="C85" s="72">
        <v>3480.2</v>
      </c>
      <c r="D85" s="72">
        <v>3929.1</v>
      </c>
      <c r="E85" s="82">
        <v>9.1868999999999996</v>
      </c>
      <c r="F85" s="82"/>
      <c r="G85" s="28"/>
    </row>
    <row r="86" spans="1:7" ht="18.75" customHeight="1" x14ac:dyDescent="0.25">
      <c r="A86" s="7">
        <v>720</v>
      </c>
      <c r="B86" s="82">
        <v>3.2728000000000002</v>
      </c>
      <c r="C86" s="72">
        <v>3516.6</v>
      </c>
      <c r="D86" s="72">
        <v>3974.8</v>
      </c>
      <c r="E86" s="82">
        <v>9.2332999999999998</v>
      </c>
      <c r="F86" s="82"/>
      <c r="G86" s="28"/>
    </row>
    <row r="87" spans="1:7" ht="18.75" customHeight="1" x14ac:dyDescent="0.25">
      <c r="A87" s="7">
        <v>740</v>
      </c>
      <c r="B87" s="82">
        <v>3.3388</v>
      </c>
      <c r="C87" s="72">
        <v>3553.2</v>
      </c>
      <c r="D87" s="72">
        <v>4020.6</v>
      </c>
      <c r="E87" s="82">
        <v>9.2790999999999997</v>
      </c>
      <c r="F87" s="82"/>
      <c r="G87" s="28"/>
    </row>
    <row r="88" spans="1:7" ht="18.75" customHeight="1" x14ac:dyDescent="0.25">
      <c r="A88" s="7">
        <v>760</v>
      </c>
      <c r="B88" s="82">
        <v>3.4047999999999998</v>
      </c>
      <c r="C88" s="72">
        <v>3590.1</v>
      </c>
      <c r="D88" s="72">
        <v>4066.8</v>
      </c>
      <c r="E88" s="82">
        <v>9.3241999999999994</v>
      </c>
      <c r="F88" s="82"/>
      <c r="G88" s="28"/>
    </row>
    <row r="89" spans="1:7" ht="18.75" customHeight="1" x14ac:dyDescent="0.25">
      <c r="A89" s="7">
        <v>780</v>
      </c>
      <c r="B89" s="82">
        <v>3.4708000000000001</v>
      </c>
      <c r="C89" s="72">
        <v>3627.4</v>
      </c>
      <c r="D89" s="72">
        <v>4113.3</v>
      </c>
      <c r="E89" s="82">
        <v>9.3688000000000002</v>
      </c>
      <c r="F89" s="82"/>
      <c r="G89" s="28"/>
    </row>
    <row r="90" spans="1:7" ht="18.75" customHeight="1" x14ac:dyDescent="0.25">
      <c r="A90" s="7">
        <v>800</v>
      </c>
      <c r="B90" s="82">
        <v>3.5367999999999999</v>
      </c>
      <c r="C90" s="72">
        <v>3664.8</v>
      </c>
      <c r="D90" s="72">
        <v>4160</v>
      </c>
      <c r="E90" s="82">
        <v>9.4126999999999992</v>
      </c>
      <c r="F90" s="82"/>
      <c r="G90" s="28"/>
    </row>
    <row r="91" spans="1:7" ht="18.75" customHeight="1" x14ac:dyDescent="0.25">
      <c r="A91" s="7">
        <v>820</v>
      </c>
      <c r="B91" s="82">
        <v>3.6027999999999998</v>
      </c>
      <c r="C91" s="72">
        <v>3702.6</v>
      </c>
      <c r="D91" s="72">
        <v>4207</v>
      </c>
      <c r="E91" s="82">
        <v>9.4560999999999993</v>
      </c>
      <c r="F91" s="82"/>
      <c r="G91" s="28"/>
    </row>
    <row r="92" spans="1:7" ht="18.75" customHeight="1" x14ac:dyDescent="0.25">
      <c r="A92" s="7">
        <v>840</v>
      </c>
      <c r="B92" s="82">
        <v>3.6688000000000001</v>
      </c>
      <c r="C92" s="72">
        <v>3740.7</v>
      </c>
      <c r="D92" s="72">
        <v>4254.3</v>
      </c>
      <c r="E92" s="82">
        <v>9.4990000000000006</v>
      </c>
      <c r="F92" s="82"/>
      <c r="G92" s="28"/>
    </row>
    <row r="93" spans="1:7" ht="18.75" customHeight="1" x14ac:dyDescent="0.25">
      <c r="A93" s="7">
        <v>860</v>
      </c>
      <c r="B93" s="82">
        <v>3.7347999999999999</v>
      </c>
      <c r="C93" s="72">
        <v>3779</v>
      </c>
      <c r="D93" s="72">
        <v>4301.8999999999996</v>
      </c>
      <c r="E93" s="82">
        <v>9.5413999999999994</v>
      </c>
      <c r="F93" s="82"/>
      <c r="G93" s="28"/>
    </row>
    <row r="94" spans="1:7" ht="18.75" customHeight="1" x14ac:dyDescent="0.25">
      <c r="A94" s="7">
        <v>880</v>
      </c>
      <c r="B94" s="82">
        <v>3.8008000000000002</v>
      </c>
      <c r="C94" s="72">
        <v>3817.6</v>
      </c>
      <c r="D94" s="72">
        <v>4349.7</v>
      </c>
      <c r="E94" s="82">
        <v>9.5831999999999997</v>
      </c>
      <c r="F94" s="82"/>
      <c r="G94" s="28"/>
    </row>
    <row r="95" spans="1:7" ht="18.75" customHeight="1" x14ac:dyDescent="0.25">
      <c r="A95" s="7">
        <v>900</v>
      </c>
      <c r="B95" s="82">
        <v>3.8668</v>
      </c>
      <c r="C95" s="72">
        <v>3856.5</v>
      </c>
      <c r="D95" s="72">
        <v>4397.8999999999996</v>
      </c>
      <c r="E95" s="82">
        <v>9.6245999999999992</v>
      </c>
      <c r="F95" s="82"/>
      <c r="G95" s="28"/>
    </row>
    <row r="96" spans="1:7" ht="18.75" customHeight="1" x14ac:dyDescent="0.25">
      <c r="A96" s="7">
        <v>920</v>
      </c>
      <c r="B96" s="82">
        <v>3.9327000000000001</v>
      </c>
      <c r="C96" s="72">
        <v>3895.6</v>
      </c>
      <c r="D96" s="72">
        <v>4446.2</v>
      </c>
      <c r="E96" s="82">
        <v>9.6654999999999998</v>
      </c>
      <c r="F96" s="82"/>
      <c r="G96" s="28"/>
    </row>
    <row r="97" spans="1:7" ht="18.75" customHeight="1" x14ac:dyDescent="0.25">
      <c r="A97" s="7">
        <v>940</v>
      </c>
      <c r="B97" s="82">
        <v>3.9986999999999999</v>
      </c>
      <c r="C97" s="72">
        <v>3935.1</v>
      </c>
      <c r="D97" s="72">
        <v>4494.8999999999996</v>
      </c>
      <c r="E97" s="82">
        <v>9.7058999999999997</v>
      </c>
      <c r="F97" s="82"/>
      <c r="G97" s="28"/>
    </row>
    <row r="98" spans="1:7" ht="18.75" customHeight="1" x14ac:dyDescent="0.25">
      <c r="A98" s="7">
        <v>960</v>
      </c>
      <c r="B98" s="82">
        <v>4.0647000000000002</v>
      </c>
      <c r="C98" s="72">
        <v>3974.7</v>
      </c>
      <c r="D98" s="72">
        <v>4543.8</v>
      </c>
      <c r="E98" s="82">
        <v>9.7459000000000007</v>
      </c>
      <c r="F98" s="82"/>
      <c r="G98" s="28"/>
    </row>
    <row r="99" spans="1:7" ht="18.75" customHeight="1" x14ac:dyDescent="0.25">
      <c r="A99" s="7">
        <v>980</v>
      </c>
      <c r="B99" s="82">
        <v>4.1307</v>
      </c>
      <c r="C99" s="72">
        <v>4014.7</v>
      </c>
      <c r="D99" s="72">
        <v>4593</v>
      </c>
      <c r="E99" s="82">
        <v>9.7855000000000008</v>
      </c>
      <c r="F99" s="82"/>
      <c r="G99" s="28"/>
    </row>
    <row r="100" spans="1:7" ht="13.8" x14ac:dyDescent="0.25">
      <c r="A100" s="7">
        <v>1000</v>
      </c>
      <c r="B100" s="82">
        <v>4.1966000000000001</v>
      </c>
      <c r="C100" s="72">
        <v>4054.9</v>
      </c>
      <c r="D100" s="72">
        <v>4642.3999999999996</v>
      </c>
      <c r="E100" s="82">
        <v>9.8246000000000002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100"/>
  <sheetViews>
    <sheetView topLeftCell="A10" workbookViewId="0">
      <selection activeCell="A28" sqref="A28:XFD28"/>
    </sheetView>
  </sheetViews>
  <sheetFormatPr defaultRowHeight="13.2" x14ac:dyDescent="0.25"/>
  <cols>
    <col min="1" max="1" width="6.21875" customWidth="1"/>
    <col min="2" max="2" width="12.332031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46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150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1.0001299999999999E-3</v>
      </c>
      <c r="C5" s="74">
        <v>-0.04</v>
      </c>
      <c r="D5" s="74">
        <v>0.11</v>
      </c>
      <c r="E5" s="81">
        <v>-1.3999999999999999E-4</v>
      </c>
      <c r="F5" s="81"/>
      <c r="G5" s="28"/>
    </row>
    <row r="6" spans="1:8" ht="18.75" customHeight="1" x14ac:dyDescent="0.25">
      <c r="A6" s="87">
        <v>5</v>
      </c>
      <c r="B6" s="79">
        <v>1.00001E-3</v>
      </c>
      <c r="C6" s="74">
        <v>21.02</v>
      </c>
      <c r="D6" s="74">
        <v>21.17</v>
      </c>
      <c r="E6" s="81">
        <v>7.6249999999999998E-2</v>
      </c>
      <c r="F6" s="81"/>
      <c r="G6" s="28"/>
    </row>
    <row r="7" spans="1:8" ht="18.75" customHeight="1" x14ac:dyDescent="0.25">
      <c r="A7" s="87">
        <v>10</v>
      </c>
      <c r="B7" s="79">
        <v>1.0002699999999999E-3</v>
      </c>
      <c r="C7" s="74">
        <v>42.02</v>
      </c>
      <c r="D7" s="74">
        <v>42.17</v>
      </c>
      <c r="E7" s="81">
        <v>0.15107000000000001</v>
      </c>
      <c r="F7" s="81"/>
      <c r="G7" s="28"/>
    </row>
    <row r="8" spans="1:8" ht="18.75" customHeight="1" x14ac:dyDescent="0.25">
      <c r="A8" s="87">
        <v>15</v>
      </c>
      <c r="B8" s="79">
        <v>1.00088E-3</v>
      </c>
      <c r="C8" s="74">
        <v>62.97</v>
      </c>
      <c r="D8" s="74">
        <v>63.12</v>
      </c>
      <c r="E8" s="81">
        <v>0.22444</v>
      </c>
      <c r="F8" s="81"/>
      <c r="G8" s="28"/>
    </row>
    <row r="9" spans="1:8" ht="18.75" customHeight="1" x14ac:dyDescent="0.25">
      <c r="A9" s="87">
        <v>20</v>
      </c>
      <c r="B9" s="79">
        <v>1.0017699999999999E-3</v>
      </c>
      <c r="C9" s="74">
        <v>83.9</v>
      </c>
      <c r="D9" s="74">
        <v>84.05</v>
      </c>
      <c r="E9" s="81">
        <v>0.29644999999999999</v>
      </c>
      <c r="F9" s="81"/>
      <c r="G9" s="28"/>
    </row>
    <row r="10" spans="1:8" ht="18.75" customHeight="1" x14ac:dyDescent="0.25">
      <c r="A10" s="87">
        <v>25</v>
      </c>
      <c r="B10" s="79">
        <v>1.0029399999999999E-3</v>
      </c>
      <c r="C10" s="74">
        <v>104.82</v>
      </c>
      <c r="D10" s="74">
        <v>104.97</v>
      </c>
      <c r="E10" s="81">
        <v>0.36719000000000002</v>
      </c>
      <c r="F10" s="81"/>
      <c r="G10" s="28"/>
    </row>
    <row r="11" spans="1:8" ht="18.75" customHeight="1" x14ac:dyDescent="0.25">
      <c r="A11" s="87">
        <v>30</v>
      </c>
      <c r="B11" s="79">
        <v>1.00435E-3</v>
      </c>
      <c r="C11" s="74">
        <v>125.72</v>
      </c>
      <c r="D11" s="74">
        <v>125.87</v>
      </c>
      <c r="E11" s="81">
        <v>0.43670999999999999</v>
      </c>
      <c r="F11" s="81"/>
      <c r="G11" s="28"/>
    </row>
    <row r="12" spans="1:8" ht="18.75" customHeight="1" x14ac:dyDescent="0.25">
      <c r="A12" s="87">
        <v>35</v>
      </c>
      <c r="B12" s="79">
        <v>1.0059800000000001E-3</v>
      </c>
      <c r="C12" s="74">
        <v>146.61000000000001</v>
      </c>
      <c r="D12" s="74">
        <v>146.76</v>
      </c>
      <c r="E12" s="81">
        <v>0.50507999999999997</v>
      </c>
      <c r="F12" s="81"/>
      <c r="G12" s="28"/>
    </row>
    <row r="13" spans="1:8" ht="18.75" customHeight="1" x14ac:dyDescent="0.25">
      <c r="A13" s="87">
        <v>40</v>
      </c>
      <c r="B13" s="79">
        <v>1.00782E-3</v>
      </c>
      <c r="C13" s="74">
        <v>167.51</v>
      </c>
      <c r="D13" s="74">
        <v>167.66</v>
      </c>
      <c r="E13" s="81">
        <v>0.57235000000000003</v>
      </c>
      <c r="F13" s="81"/>
      <c r="G13" s="28"/>
    </row>
    <row r="14" spans="1:8" ht="18.75" customHeight="1" x14ac:dyDescent="0.25">
      <c r="A14" s="87">
        <v>45</v>
      </c>
      <c r="B14" s="79">
        <v>1.00986E-3</v>
      </c>
      <c r="C14" s="74">
        <v>188.41</v>
      </c>
      <c r="D14" s="74">
        <v>188.56</v>
      </c>
      <c r="E14" s="81">
        <v>0.63854999999999995</v>
      </c>
      <c r="F14" s="81"/>
      <c r="G14" s="28"/>
    </row>
    <row r="15" spans="1:8" ht="18.75" customHeight="1" x14ac:dyDescent="0.25">
      <c r="A15" s="87">
        <v>50</v>
      </c>
      <c r="B15" s="79">
        <v>1.01209E-3</v>
      </c>
      <c r="C15" s="74">
        <v>209.31</v>
      </c>
      <c r="D15" s="74">
        <v>209.46</v>
      </c>
      <c r="E15" s="81">
        <v>0.70374000000000003</v>
      </c>
      <c r="F15" s="81"/>
      <c r="G15" s="28"/>
    </row>
    <row r="16" spans="1:8" ht="18.75" customHeight="1" x14ac:dyDescent="0.25">
      <c r="A16" s="87">
        <v>55</v>
      </c>
      <c r="B16" s="79">
        <v>1.0144900000000001E-3</v>
      </c>
      <c r="C16" s="74">
        <v>230.22</v>
      </c>
      <c r="D16" s="74">
        <v>230.37</v>
      </c>
      <c r="E16" s="81">
        <v>0.76795999999999998</v>
      </c>
      <c r="F16" s="81"/>
      <c r="G16" s="28"/>
    </row>
    <row r="17" spans="1:7" ht="18.75" customHeight="1" x14ac:dyDescent="0.25">
      <c r="A17" s="87">
        <v>60</v>
      </c>
      <c r="B17" s="79">
        <v>1.0170699999999999E-3</v>
      </c>
      <c r="C17" s="74">
        <v>251.14</v>
      </c>
      <c r="D17" s="74">
        <v>251.29</v>
      </c>
      <c r="E17" s="81">
        <v>0.83121999999999996</v>
      </c>
      <c r="F17" s="81"/>
      <c r="G17" s="28"/>
    </row>
    <row r="18" spans="1:7" ht="18.75" customHeight="1" x14ac:dyDescent="0.25">
      <c r="A18" s="87">
        <v>65</v>
      </c>
      <c r="B18" s="79">
        <v>1.0198099999999999E-3</v>
      </c>
      <c r="C18" s="74">
        <v>272.07</v>
      </c>
      <c r="D18" s="74">
        <v>272.22000000000003</v>
      </c>
      <c r="E18" s="81">
        <v>0.89358000000000004</v>
      </c>
      <c r="F18" s="81"/>
      <c r="G18" s="28"/>
    </row>
    <row r="19" spans="1:7" ht="18.75" customHeight="1" x14ac:dyDescent="0.25">
      <c r="A19" s="87">
        <v>70</v>
      </c>
      <c r="B19" s="79">
        <v>1.02272E-3</v>
      </c>
      <c r="C19" s="74">
        <v>293.01</v>
      </c>
      <c r="D19" s="74">
        <v>293.16000000000003</v>
      </c>
      <c r="E19" s="81">
        <v>0.95506000000000002</v>
      </c>
      <c r="F19" s="81"/>
      <c r="G19" s="28"/>
    </row>
    <row r="20" spans="1:7" ht="18.75" customHeight="1" x14ac:dyDescent="0.25">
      <c r="A20" s="87">
        <v>75</v>
      </c>
      <c r="B20" s="79">
        <v>1.02578E-3</v>
      </c>
      <c r="C20" s="74">
        <v>313.97000000000003</v>
      </c>
      <c r="D20" s="74">
        <v>314.12</v>
      </c>
      <c r="E20" s="82">
        <v>1.0157</v>
      </c>
      <c r="F20" s="82"/>
      <c r="G20" s="28"/>
    </row>
    <row r="21" spans="1:7" ht="18.75" customHeight="1" x14ac:dyDescent="0.25">
      <c r="A21" s="87">
        <v>80</v>
      </c>
      <c r="B21" s="79">
        <v>1.0290099999999999E-3</v>
      </c>
      <c r="C21" s="74">
        <v>334.94</v>
      </c>
      <c r="D21" s="74">
        <v>335.09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1.0323800000000001E-3</v>
      </c>
      <c r="C22" s="74">
        <v>355.94</v>
      </c>
      <c r="D22" s="74">
        <v>356.09</v>
      </c>
      <c r="E22" s="82">
        <v>1.1345000000000001</v>
      </c>
      <c r="F22" s="82"/>
      <c r="G22" s="28"/>
    </row>
    <row r="23" spans="1:7" ht="18.75" customHeight="1" x14ac:dyDescent="0.25">
      <c r="A23" s="87">
        <v>90</v>
      </c>
      <c r="B23" s="79">
        <v>1.0359099999999999E-3</v>
      </c>
      <c r="C23" s="74">
        <v>376.94</v>
      </c>
      <c r="D23" s="74">
        <v>377.1</v>
      </c>
      <c r="E23" s="82">
        <v>1.1928000000000001</v>
      </c>
      <c r="F23" s="82"/>
      <c r="G23" s="28"/>
    </row>
    <row r="24" spans="1:7" ht="18.75" customHeight="1" x14ac:dyDescent="0.25">
      <c r="A24" s="87">
        <v>95</v>
      </c>
      <c r="B24" s="79">
        <v>1.0395999999999999E-3</v>
      </c>
      <c r="C24" s="74">
        <v>397.98</v>
      </c>
      <c r="D24" s="74">
        <v>398.14</v>
      </c>
      <c r="E24" s="82">
        <v>1.2503</v>
      </c>
      <c r="F24" s="82"/>
      <c r="G24" s="28"/>
    </row>
    <row r="25" spans="1:7" ht="18.75" customHeight="1" x14ac:dyDescent="0.25">
      <c r="A25" s="87">
        <v>100</v>
      </c>
      <c r="B25" s="79">
        <v>1.0434400000000001E-3</v>
      </c>
      <c r="C25" s="74">
        <v>419.04</v>
      </c>
      <c r="D25" s="74">
        <v>419.2</v>
      </c>
      <c r="E25" s="82">
        <v>1.3071999999999999</v>
      </c>
      <c r="F25" s="82"/>
      <c r="G25" s="28"/>
    </row>
    <row r="26" spans="1:7" ht="18.75" customHeight="1" x14ac:dyDescent="0.25">
      <c r="A26" s="87">
        <v>105</v>
      </c>
      <c r="B26" s="79">
        <v>1.04743E-3</v>
      </c>
      <c r="C26" s="74">
        <v>440.14</v>
      </c>
      <c r="D26" s="74">
        <v>440.3</v>
      </c>
      <c r="E26" s="82">
        <v>1.3633</v>
      </c>
      <c r="F26" s="82"/>
      <c r="G26" s="28"/>
    </row>
    <row r="27" spans="1:7" ht="18.75" customHeight="1" x14ac:dyDescent="0.25">
      <c r="A27" s="87">
        <v>110</v>
      </c>
      <c r="B27" s="79">
        <v>1.0515800000000001E-3</v>
      </c>
      <c r="C27" s="74">
        <v>461.26</v>
      </c>
      <c r="D27" s="74">
        <v>461.42</v>
      </c>
      <c r="E27" s="82">
        <v>1.4188000000000001</v>
      </c>
      <c r="F27" s="82"/>
      <c r="G27" s="28"/>
    </row>
    <row r="28" spans="1:7" ht="18.75" customHeight="1" x14ac:dyDescent="0.25">
      <c r="A28" s="87">
        <v>115</v>
      </c>
      <c r="B28" s="82">
        <v>1.1714</v>
      </c>
      <c r="C28" s="72">
        <v>2525.1</v>
      </c>
      <c r="D28" s="72">
        <v>2700.8</v>
      </c>
      <c r="E28" s="82">
        <v>7.2430000000000003</v>
      </c>
      <c r="F28" s="82"/>
      <c r="G28" s="28"/>
    </row>
    <row r="29" spans="1:7" ht="18.75" customHeight="1" x14ac:dyDescent="0.25">
      <c r="A29" s="87">
        <v>120</v>
      </c>
      <c r="B29" s="82">
        <v>1.1879999999999999</v>
      </c>
      <c r="C29" s="72">
        <v>2533.1999999999998</v>
      </c>
      <c r="D29" s="72">
        <v>2711.4</v>
      </c>
      <c r="E29" s="82">
        <v>7.2698999999999998</v>
      </c>
      <c r="F29" s="82"/>
      <c r="G29" s="28"/>
    </row>
    <row r="30" spans="1:7" ht="18.75" customHeight="1" x14ac:dyDescent="0.25">
      <c r="A30" s="87">
        <v>125</v>
      </c>
      <c r="B30" s="82">
        <v>1.2043999999999999</v>
      </c>
      <c r="C30" s="72">
        <v>2541.1</v>
      </c>
      <c r="D30" s="72">
        <v>2721.8</v>
      </c>
      <c r="E30" s="82">
        <v>7.2961999999999998</v>
      </c>
      <c r="F30" s="82"/>
      <c r="G30" s="28"/>
    </row>
    <row r="31" spans="1:7" ht="18.75" customHeight="1" x14ac:dyDescent="0.25">
      <c r="A31" s="87">
        <v>130</v>
      </c>
      <c r="B31" s="82">
        <v>1.2208000000000001</v>
      </c>
      <c r="C31" s="72">
        <v>2549</v>
      </c>
      <c r="D31" s="72">
        <v>2732.1</v>
      </c>
      <c r="E31" s="82">
        <v>7.3220000000000001</v>
      </c>
      <c r="F31" s="82"/>
      <c r="G31" s="28"/>
    </row>
    <row r="32" spans="1:7" ht="18.75" customHeight="1" x14ac:dyDescent="0.25">
      <c r="A32" s="87">
        <v>135</v>
      </c>
      <c r="B32" s="82">
        <v>1.2370000000000001</v>
      </c>
      <c r="C32" s="72">
        <v>2556.8000000000002</v>
      </c>
      <c r="D32" s="72">
        <v>2742.4</v>
      </c>
      <c r="E32" s="82">
        <v>7.3472999999999997</v>
      </c>
      <c r="F32" s="82"/>
      <c r="G32" s="28"/>
    </row>
    <row r="33" spans="1:7" ht="18.75" customHeight="1" x14ac:dyDescent="0.25">
      <c r="A33" s="87">
        <v>140</v>
      </c>
      <c r="B33" s="82">
        <v>1.2533000000000001</v>
      </c>
      <c r="C33" s="72">
        <v>2564.6</v>
      </c>
      <c r="D33" s="72">
        <v>2752.6</v>
      </c>
      <c r="E33" s="82">
        <v>7.3722000000000003</v>
      </c>
      <c r="F33" s="82"/>
      <c r="G33" s="28"/>
    </row>
    <row r="34" spans="1:7" ht="18.75" customHeight="1" x14ac:dyDescent="0.25">
      <c r="A34" s="87">
        <v>145</v>
      </c>
      <c r="B34" s="82">
        <v>1.2694000000000001</v>
      </c>
      <c r="C34" s="72">
        <v>2572.4</v>
      </c>
      <c r="D34" s="72">
        <v>2762.8</v>
      </c>
      <c r="E34" s="82">
        <v>7.3967000000000001</v>
      </c>
      <c r="F34" s="82"/>
      <c r="G34" s="28"/>
    </row>
    <row r="35" spans="1:7" ht="18.75" customHeight="1" x14ac:dyDescent="0.25">
      <c r="A35" s="87">
        <v>150</v>
      </c>
      <c r="B35" s="82">
        <v>1.2855000000000001</v>
      </c>
      <c r="C35" s="72">
        <v>2580.1</v>
      </c>
      <c r="D35" s="72">
        <v>2772.9</v>
      </c>
      <c r="E35" s="82">
        <v>7.4207999999999998</v>
      </c>
      <c r="F35" s="82"/>
      <c r="G35" s="28"/>
    </row>
    <row r="36" spans="1:7" ht="18.75" customHeight="1" x14ac:dyDescent="0.25">
      <c r="A36" s="87">
        <v>155</v>
      </c>
      <c r="B36" s="82">
        <v>1.3016000000000001</v>
      </c>
      <c r="C36" s="72">
        <v>2587.8000000000002</v>
      </c>
      <c r="D36" s="72">
        <v>2783</v>
      </c>
      <c r="E36" s="82">
        <v>7.4444999999999997</v>
      </c>
      <c r="F36" s="82"/>
      <c r="G36" s="28"/>
    </row>
    <row r="37" spans="1:7" ht="18.75" customHeight="1" x14ac:dyDescent="0.25">
      <c r="A37" s="87">
        <v>160</v>
      </c>
      <c r="B37" s="82">
        <v>1.3176000000000001</v>
      </c>
      <c r="C37" s="72">
        <v>2595.5</v>
      </c>
      <c r="D37" s="72">
        <v>2793.1</v>
      </c>
      <c r="E37" s="82">
        <v>7.4679000000000002</v>
      </c>
      <c r="F37" s="82"/>
      <c r="G37" s="28"/>
    </row>
    <row r="38" spans="1:7" ht="18.75" customHeight="1" x14ac:dyDescent="0.25">
      <c r="A38" s="87">
        <v>165</v>
      </c>
      <c r="B38" s="82">
        <v>1.3334999999999999</v>
      </c>
      <c r="C38" s="72">
        <v>2603.1</v>
      </c>
      <c r="D38" s="72">
        <v>2803.1</v>
      </c>
      <c r="E38" s="82">
        <v>7.4909999999999997</v>
      </c>
      <c r="F38" s="82"/>
      <c r="G38" s="28"/>
    </row>
    <row r="39" spans="1:7" ht="18.75" customHeight="1" x14ac:dyDescent="0.25">
      <c r="A39" s="87">
        <v>170</v>
      </c>
      <c r="B39" s="82">
        <v>1.3494999999999999</v>
      </c>
      <c r="C39" s="72">
        <v>2610.8000000000002</v>
      </c>
      <c r="D39" s="72">
        <v>2813.2</v>
      </c>
      <c r="E39" s="82">
        <v>7.5137999999999998</v>
      </c>
      <c r="F39" s="82"/>
      <c r="G39" s="28"/>
    </row>
    <row r="40" spans="1:7" ht="18.75" customHeight="1" x14ac:dyDescent="0.25">
      <c r="A40" s="87">
        <v>175</v>
      </c>
      <c r="B40" s="82">
        <v>1.3653999999999999</v>
      </c>
      <c r="C40" s="72">
        <v>2618.4</v>
      </c>
      <c r="D40" s="72">
        <v>2823.2</v>
      </c>
      <c r="E40" s="82">
        <v>7.5362999999999998</v>
      </c>
      <c r="F40" s="82"/>
      <c r="G40" s="28"/>
    </row>
    <row r="41" spans="1:7" ht="18.75" customHeight="1" x14ac:dyDescent="0.25">
      <c r="A41" s="87">
        <v>180</v>
      </c>
      <c r="B41" s="82">
        <v>1.3813</v>
      </c>
      <c r="C41" s="72">
        <v>2626</v>
      </c>
      <c r="D41" s="72">
        <v>2833.2</v>
      </c>
      <c r="E41" s="82">
        <v>7.5585000000000004</v>
      </c>
      <c r="F41" s="82"/>
      <c r="G41" s="28"/>
    </row>
    <row r="42" spans="1:7" ht="18.75" customHeight="1" x14ac:dyDescent="0.25">
      <c r="A42" s="87">
        <v>185</v>
      </c>
      <c r="B42" s="82">
        <v>1.3971</v>
      </c>
      <c r="C42" s="72">
        <v>2633.6</v>
      </c>
      <c r="D42" s="72">
        <v>2843.2</v>
      </c>
      <c r="E42" s="82">
        <v>7.5804</v>
      </c>
      <c r="F42" s="82"/>
      <c r="G42" s="28"/>
    </row>
    <row r="43" spans="1:7" ht="18.75" customHeight="1" x14ac:dyDescent="0.25">
      <c r="A43" s="87">
        <v>190</v>
      </c>
      <c r="B43" s="82">
        <v>1.4129</v>
      </c>
      <c r="C43" s="72">
        <v>2641.3</v>
      </c>
      <c r="D43" s="72">
        <v>2853.2</v>
      </c>
      <c r="E43" s="82">
        <v>7.6021000000000001</v>
      </c>
      <c r="F43" s="82"/>
      <c r="G43" s="28"/>
    </row>
    <row r="44" spans="1:7" ht="18.75" customHeight="1" x14ac:dyDescent="0.25">
      <c r="A44" s="87">
        <v>195</v>
      </c>
      <c r="B44" s="82">
        <v>1.4287000000000001</v>
      </c>
      <c r="C44" s="72">
        <v>2648.8</v>
      </c>
      <c r="D44" s="72">
        <v>2863.1</v>
      </c>
      <c r="E44" s="82">
        <v>7.6234999999999999</v>
      </c>
      <c r="F44" s="82"/>
      <c r="G44" s="28"/>
    </row>
    <row r="45" spans="1:7" ht="18.75" customHeight="1" x14ac:dyDescent="0.25">
      <c r="A45" s="87">
        <v>200</v>
      </c>
      <c r="B45" s="82">
        <v>1.4444999999999999</v>
      </c>
      <c r="C45" s="72">
        <v>2656.4</v>
      </c>
      <c r="D45" s="72">
        <v>2873.1</v>
      </c>
      <c r="E45" s="82">
        <v>7.6447000000000003</v>
      </c>
      <c r="F45" s="82"/>
      <c r="G45" s="28"/>
    </row>
    <row r="46" spans="1:7" ht="18.75" customHeight="1" x14ac:dyDescent="0.25">
      <c r="A46" s="87">
        <v>210</v>
      </c>
      <c r="B46" s="82">
        <v>1.476</v>
      </c>
      <c r="C46" s="72">
        <v>2671.6</v>
      </c>
      <c r="D46" s="72">
        <v>2893</v>
      </c>
      <c r="E46" s="82">
        <v>7.6863999999999999</v>
      </c>
      <c r="F46" s="82"/>
      <c r="G46" s="28"/>
    </row>
    <row r="47" spans="1:7" ht="18.75" customHeight="1" x14ac:dyDescent="0.25">
      <c r="A47" s="87">
        <v>220</v>
      </c>
      <c r="B47" s="82">
        <v>1.5074000000000001</v>
      </c>
      <c r="C47" s="72">
        <v>2686.9</v>
      </c>
      <c r="D47" s="72">
        <v>2913</v>
      </c>
      <c r="E47" s="82">
        <v>7.7271999999999998</v>
      </c>
      <c r="F47" s="82"/>
      <c r="G47" s="28"/>
    </row>
    <row r="48" spans="1:7" ht="18.75" customHeight="1" x14ac:dyDescent="0.25">
      <c r="A48" s="87">
        <v>230</v>
      </c>
      <c r="B48" s="82">
        <v>1.5387999999999999</v>
      </c>
      <c r="C48" s="72">
        <v>2702.1</v>
      </c>
      <c r="D48" s="72">
        <v>2932.9</v>
      </c>
      <c r="E48" s="82">
        <v>7.7671999999999999</v>
      </c>
      <c r="F48" s="82"/>
      <c r="G48" s="28"/>
    </row>
    <row r="49" spans="1:7" ht="18.75" customHeight="1" x14ac:dyDescent="0.25">
      <c r="A49" s="87">
        <v>240</v>
      </c>
      <c r="B49" s="82">
        <v>1.5701000000000001</v>
      </c>
      <c r="C49" s="72">
        <v>2717.4</v>
      </c>
      <c r="D49" s="72">
        <v>2952.9</v>
      </c>
      <c r="E49" s="82">
        <v>7.8064999999999998</v>
      </c>
      <c r="F49" s="82"/>
      <c r="G49" s="28"/>
    </row>
    <row r="50" spans="1:7" ht="18.75" customHeight="1" x14ac:dyDescent="0.25">
      <c r="A50" s="87">
        <v>250</v>
      </c>
      <c r="B50" s="82">
        <v>1.6012999999999999</v>
      </c>
      <c r="C50" s="72">
        <v>2732.7</v>
      </c>
      <c r="D50" s="72">
        <v>2972.9</v>
      </c>
      <c r="E50" s="82">
        <v>7.8451000000000004</v>
      </c>
      <c r="F50" s="82"/>
      <c r="G50" s="28"/>
    </row>
    <row r="51" spans="1:7" ht="18.75" customHeight="1" x14ac:dyDescent="0.25">
      <c r="A51" s="87">
        <v>260</v>
      </c>
      <c r="B51" s="82">
        <v>1.6325000000000001</v>
      </c>
      <c r="C51" s="72">
        <v>2748</v>
      </c>
      <c r="D51" s="72">
        <v>2992.9</v>
      </c>
      <c r="E51" s="82">
        <v>7.883</v>
      </c>
      <c r="F51" s="82"/>
      <c r="G51" s="28"/>
    </row>
    <row r="52" spans="1:7" ht="18.75" customHeight="1" x14ac:dyDescent="0.25">
      <c r="A52" s="87">
        <v>270</v>
      </c>
      <c r="B52" s="82">
        <v>1.6637</v>
      </c>
      <c r="C52" s="72">
        <v>2763.3</v>
      </c>
      <c r="D52" s="72">
        <v>3012.9</v>
      </c>
      <c r="E52" s="82">
        <v>7.9202000000000004</v>
      </c>
      <c r="F52" s="82"/>
      <c r="G52" s="28"/>
    </row>
    <row r="53" spans="1:7" ht="18.75" customHeight="1" x14ac:dyDescent="0.25">
      <c r="A53" s="87">
        <v>280</v>
      </c>
      <c r="B53" s="82">
        <v>1.6949000000000001</v>
      </c>
      <c r="C53" s="72">
        <v>2778.8</v>
      </c>
      <c r="D53" s="72">
        <v>3033</v>
      </c>
      <c r="E53" s="82">
        <v>7.9569000000000001</v>
      </c>
      <c r="F53" s="82"/>
      <c r="G53" s="28"/>
    </row>
    <row r="54" spans="1:7" ht="18.75" customHeight="1" x14ac:dyDescent="0.25">
      <c r="A54" s="87">
        <v>290</v>
      </c>
      <c r="B54" s="82">
        <v>1.726</v>
      </c>
      <c r="C54" s="72">
        <v>2794.2</v>
      </c>
      <c r="D54" s="72">
        <v>3053.1</v>
      </c>
      <c r="E54" s="82">
        <v>7.9928999999999997</v>
      </c>
      <c r="F54" s="82"/>
      <c r="G54" s="28"/>
    </row>
    <row r="55" spans="1:7" ht="18.75" customHeight="1" x14ac:dyDescent="0.25">
      <c r="A55" s="87">
        <v>300</v>
      </c>
      <c r="B55" s="82">
        <v>1.7571000000000001</v>
      </c>
      <c r="C55" s="72">
        <v>2809.7</v>
      </c>
      <c r="D55" s="72">
        <v>3073.3</v>
      </c>
      <c r="E55" s="82">
        <v>8.0283999999999995</v>
      </c>
      <c r="F55" s="82"/>
      <c r="G55" s="28"/>
    </row>
    <row r="56" spans="1:7" ht="18.75" customHeight="1" x14ac:dyDescent="0.25">
      <c r="A56" s="87">
        <v>310</v>
      </c>
      <c r="B56" s="82">
        <v>1.7882</v>
      </c>
      <c r="C56" s="72">
        <v>2825.3</v>
      </c>
      <c r="D56" s="72">
        <v>3093.5</v>
      </c>
      <c r="E56" s="82">
        <v>8.0633999999999997</v>
      </c>
      <c r="F56" s="82"/>
      <c r="G56" s="28"/>
    </row>
    <row r="57" spans="1:7" ht="18.75" customHeight="1" x14ac:dyDescent="0.25">
      <c r="A57" s="87">
        <v>320</v>
      </c>
      <c r="B57" s="82">
        <v>1.8191999999999999</v>
      </c>
      <c r="C57" s="72">
        <v>2840.9</v>
      </c>
      <c r="D57" s="72">
        <v>3113.8</v>
      </c>
      <c r="E57" s="82">
        <v>8.0977999999999994</v>
      </c>
      <c r="F57" s="82"/>
      <c r="G57" s="28"/>
    </row>
    <row r="58" spans="1:7" ht="18.75" customHeight="1" x14ac:dyDescent="0.25">
      <c r="A58" s="87">
        <v>330</v>
      </c>
      <c r="B58" s="82">
        <v>1.8503000000000001</v>
      </c>
      <c r="C58" s="72">
        <v>2856.6</v>
      </c>
      <c r="D58" s="72">
        <v>3134.1</v>
      </c>
      <c r="E58" s="82">
        <v>8.1318000000000001</v>
      </c>
      <c r="F58" s="82"/>
      <c r="G58" s="28"/>
    </row>
    <row r="59" spans="1:7" ht="18.75" customHeight="1" x14ac:dyDescent="0.25">
      <c r="A59" s="87">
        <v>340</v>
      </c>
      <c r="B59" s="82">
        <v>1.8813</v>
      </c>
      <c r="C59" s="72">
        <v>2872.3</v>
      </c>
      <c r="D59" s="72">
        <v>3154.5</v>
      </c>
      <c r="E59" s="82">
        <v>8.1653000000000002</v>
      </c>
      <c r="F59" s="82"/>
      <c r="G59" s="28"/>
    </row>
    <row r="60" spans="1:7" ht="18.75" customHeight="1" x14ac:dyDescent="0.25">
      <c r="A60" s="87">
        <v>350</v>
      </c>
      <c r="B60" s="82">
        <v>1.9123000000000001</v>
      </c>
      <c r="C60" s="72">
        <v>2888.1</v>
      </c>
      <c r="D60" s="72">
        <v>3174.9</v>
      </c>
      <c r="E60" s="82">
        <v>8.1982999999999997</v>
      </c>
      <c r="F60" s="82"/>
      <c r="G60" s="28"/>
    </row>
    <row r="61" spans="1:7" ht="18.75" customHeight="1" x14ac:dyDescent="0.25">
      <c r="A61" s="87">
        <v>360</v>
      </c>
      <c r="B61" s="82">
        <v>1.9433</v>
      </c>
      <c r="C61" s="72">
        <v>2903.8</v>
      </c>
      <c r="D61" s="72">
        <v>3195.3</v>
      </c>
      <c r="E61" s="82">
        <v>8.2309000000000001</v>
      </c>
      <c r="F61" s="82"/>
      <c r="G61" s="28"/>
    </row>
    <row r="62" spans="1:7" ht="18.75" customHeight="1" x14ac:dyDescent="0.25">
      <c r="A62" s="87">
        <v>370</v>
      </c>
      <c r="B62" s="82">
        <v>1.9742999999999999</v>
      </c>
      <c r="C62" s="72">
        <v>2919.8</v>
      </c>
      <c r="D62" s="72">
        <v>3215.9</v>
      </c>
      <c r="E62" s="82">
        <v>8.2630999999999997</v>
      </c>
      <c r="F62" s="82"/>
      <c r="G62" s="28"/>
    </row>
    <row r="63" spans="1:7" ht="18.75" customHeight="1" x14ac:dyDescent="0.25">
      <c r="A63" s="87">
        <v>380</v>
      </c>
      <c r="B63" s="82">
        <v>2.0051999999999999</v>
      </c>
      <c r="C63" s="72">
        <v>2935.6</v>
      </c>
      <c r="D63" s="72">
        <v>3236.4</v>
      </c>
      <c r="E63" s="82">
        <v>8.2948000000000004</v>
      </c>
      <c r="F63" s="82"/>
      <c r="G63" s="28"/>
    </row>
    <row r="64" spans="1:7" ht="18.75" customHeight="1" x14ac:dyDescent="0.25">
      <c r="A64" s="87">
        <v>390</v>
      </c>
      <c r="B64" s="82">
        <v>2.0362</v>
      </c>
      <c r="C64" s="72">
        <v>2951.7</v>
      </c>
      <c r="D64" s="72">
        <v>3257.1</v>
      </c>
      <c r="E64" s="82">
        <v>8.3262</v>
      </c>
      <c r="F64" s="82"/>
      <c r="G64" s="28"/>
    </row>
    <row r="65" spans="1:7" ht="18.75" customHeight="1" x14ac:dyDescent="0.25">
      <c r="A65" s="87">
        <v>400</v>
      </c>
      <c r="B65" s="82">
        <v>2.0670999999999999</v>
      </c>
      <c r="C65" s="72">
        <v>2967.7</v>
      </c>
      <c r="D65" s="72">
        <v>3277.8</v>
      </c>
      <c r="E65" s="82">
        <v>8.3572000000000006</v>
      </c>
      <c r="F65" s="82"/>
      <c r="G65" s="28"/>
    </row>
    <row r="66" spans="1:7" ht="18.75" customHeight="1" x14ac:dyDescent="0.25">
      <c r="A66" s="87">
        <v>410</v>
      </c>
      <c r="B66" s="82">
        <v>2.0981000000000001</v>
      </c>
      <c r="C66" s="72">
        <v>2983.8</v>
      </c>
      <c r="D66" s="72">
        <v>3298.5</v>
      </c>
      <c r="E66" s="82">
        <v>8.3878000000000004</v>
      </c>
      <c r="F66" s="82"/>
      <c r="G66" s="28"/>
    </row>
    <row r="67" spans="1:7" ht="18.75" customHeight="1" x14ac:dyDescent="0.25">
      <c r="A67" s="87">
        <v>420</v>
      </c>
      <c r="B67" s="82">
        <v>2.129</v>
      </c>
      <c r="C67" s="72">
        <v>3000</v>
      </c>
      <c r="D67" s="72">
        <v>3319.4</v>
      </c>
      <c r="E67" s="82">
        <v>8.4179999999999993</v>
      </c>
      <c r="F67" s="82"/>
      <c r="G67" s="28"/>
    </row>
    <row r="68" spans="1:7" ht="18.75" customHeight="1" x14ac:dyDescent="0.25">
      <c r="A68" s="87">
        <v>430</v>
      </c>
      <c r="B68" s="82">
        <v>2.1598999999999999</v>
      </c>
      <c r="C68" s="72">
        <v>3016.3</v>
      </c>
      <c r="D68" s="72">
        <v>3340.3</v>
      </c>
      <c r="E68" s="82">
        <v>8.4480000000000004</v>
      </c>
      <c r="F68" s="82"/>
      <c r="G68" s="28"/>
    </row>
    <row r="69" spans="1:7" ht="18.75" customHeight="1" x14ac:dyDescent="0.25">
      <c r="A69" s="87">
        <v>440</v>
      </c>
      <c r="B69" s="82">
        <v>2.1907999999999999</v>
      </c>
      <c r="C69" s="72">
        <v>3032.6</v>
      </c>
      <c r="D69" s="72">
        <v>3361.2</v>
      </c>
      <c r="E69" s="82">
        <v>8.4774999999999991</v>
      </c>
      <c r="F69" s="82"/>
      <c r="G69" s="28"/>
    </row>
    <row r="70" spans="1:7" ht="18.75" customHeight="1" x14ac:dyDescent="0.25">
      <c r="A70" s="87">
        <v>450</v>
      </c>
      <c r="B70" s="82">
        <v>2.2216999999999998</v>
      </c>
      <c r="C70" s="72">
        <v>3048.9</v>
      </c>
      <c r="D70" s="72">
        <v>3382.2</v>
      </c>
      <c r="E70" s="82">
        <v>8.5068000000000001</v>
      </c>
      <c r="F70" s="82"/>
      <c r="G70" s="28"/>
    </row>
    <row r="71" spans="1:7" ht="18.75" customHeight="1" x14ac:dyDescent="0.25">
      <c r="A71" s="87">
        <v>460</v>
      </c>
      <c r="B71" s="82">
        <v>2.2526000000000002</v>
      </c>
      <c r="C71" s="72">
        <v>3065.4</v>
      </c>
      <c r="D71" s="72">
        <v>3403.3</v>
      </c>
      <c r="E71" s="82">
        <v>8.5357000000000003</v>
      </c>
      <c r="F71" s="82"/>
      <c r="G71" s="28"/>
    </row>
    <row r="72" spans="1:7" ht="18.75" customHeight="1" x14ac:dyDescent="0.25">
      <c r="A72" s="87">
        <v>470</v>
      </c>
      <c r="B72" s="82">
        <v>2.2835000000000001</v>
      </c>
      <c r="C72" s="72">
        <v>3081.9</v>
      </c>
      <c r="D72" s="72">
        <v>3424.4</v>
      </c>
      <c r="E72" s="82">
        <v>8.5643999999999991</v>
      </c>
      <c r="F72" s="82"/>
      <c r="G72" s="28"/>
    </row>
    <row r="73" spans="1:7" ht="18.75" customHeight="1" x14ac:dyDescent="0.25">
      <c r="A73" s="87">
        <v>480</v>
      </c>
      <c r="B73" s="82">
        <v>2.3144</v>
      </c>
      <c r="C73" s="72">
        <v>3098.4</v>
      </c>
      <c r="D73" s="72">
        <v>3445.6</v>
      </c>
      <c r="E73" s="82">
        <v>8.5927000000000007</v>
      </c>
      <c r="F73" s="82"/>
      <c r="G73" s="28"/>
    </row>
    <row r="74" spans="1:7" ht="18.75" customHeight="1" x14ac:dyDescent="0.25">
      <c r="A74" s="87">
        <v>490</v>
      </c>
      <c r="B74" s="82">
        <v>2.3452999999999999</v>
      </c>
      <c r="C74" s="72">
        <v>3115.1</v>
      </c>
      <c r="D74" s="72">
        <v>3466.9</v>
      </c>
      <c r="E74" s="82">
        <v>8.6206999999999994</v>
      </c>
      <c r="F74" s="82"/>
      <c r="G74" s="28"/>
    </row>
    <row r="75" spans="1:7" ht="18.75" customHeight="1" x14ac:dyDescent="0.25">
      <c r="A75" s="87">
        <v>500</v>
      </c>
      <c r="B75" s="82">
        <v>2.3761000000000001</v>
      </c>
      <c r="C75" s="72">
        <v>3131.8</v>
      </c>
      <c r="D75" s="72">
        <v>3488.2</v>
      </c>
      <c r="E75" s="82">
        <v>8.6485000000000003</v>
      </c>
      <c r="F75" s="82"/>
      <c r="G75" s="28"/>
    </row>
    <row r="76" spans="1:7" ht="18.75" customHeight="1" x14ac:dyDescent="0.25">
      <c r="A76" s="87">
        <v>520</v>
      </c>
      <c r="B76" s="82">
        <v>2.4379</v>
      </c>
      <c r="C76" s="72">
        <v>3165.4</v>
      </c>
      <c r="D76" s="72">
        <v>3531.1</v>
      </c>
      <c r="E76" s="82">
        <v>8.7032000000000007</v>
      </c>
      <c r="F76" s="82"/>
      <c r="G76" s="28"/>
    </row>
    <row r="77" spans="1:7" ht="18.75" customHeight="1" x14ac:dyDescent="0.25">
      <c r="A77" s="87">
        <v>540</v>
      </c>
      <c r="B77" s="82">
        <v>2.4996</v>
      </c>
      <c r="C77" s="72">
        <v>3199.3</v>
      </c>
      <c r="D77" s="72">
        <v>3574.2</v>
      </c>
      <c r="E77" s="82">
        <v>8.7568999999999999</v>
      </c>
      <c r="F77" s="82"/>
      <c r="G77" s="28"/>
    </row>
    <row r="78" spans="1:7" ht="18.75" customHeight="1" x14ac:dyDescent="0.25">
      <c r="A78" s="87">
        <v>560</v>
      </c>
      <c r="B78" s="82">
        <v>2.5613000000000001</v>
      </c>
      <c r="C78" s="72">
        <v>3233.4</v>
      </c>
      <c r="D78" s="72">
        <v>3617.6</v>
      </c>
      <c r="E78" s="82">
        <v>8.8095999999999997</v>
      </c>
      <c r="F78" s="82"/>
      <c r="G78" s="28"/>
    </row>
    <row r="79" spans="1:7" ht="18.75" customHeight="1" x14ac:dyDescent="0.25">
      <c r="A79" s="87">
        <v>580</v>
      </c>
      <c r="B79" s="82">
        <v>2.6230000000000002</v>
      </c>
      <c r="C79" s="72">
        <v>3267.8</v>
      </c>
      <c r="D79" s="72">
        <v>3661.2</v>
      </c>
      <c r="E79" s="82">
        <v>8.8613999999999997</v>
      </c>
      <c r="F79" s="82"/>
      <c r="G79" s="28"/>
    </row>
    <row r="80" spans="1:7" ht="18.75" customHeight="1" x14ac:dyDescent="0.25">
      <c r="A80" s="87">
        <v>600</v>
      </c>
      <c r="B80" s="82">
        <v>2.6846000000000001</v>
      </c>
      <c r="C80" s="72">
        <v>3302.5</v>
      </c>
      <c r="D80" s="72">
        <v>3705.2</v>
      </c>
      <c r="E80" s="82">
        <v>8.9123999999999999</v>
      </c>
      <c r="F80" s="82"/>
      <c r="G80" s="28"/>
    </row>
    <row r="81" spans="1:7" ht="18.75" customHeight="1" x14ac:dyDescent="0.25">
      <c r="A81" s="87">
        <v>620</v>
      </c>
      <c r="B81" s="82">
        <v>2.7463000000000002</v>
      </c>
      <c r="C81" s="72">
        <v>3337.5</v>
      </c>
      <c r="D81" s="72">
        <v>3749.4</v>
      </c>
      <c r="E81" s="82">
        <v>8.9624000000000006</v>
      </c>
      <c r="F81" s="82"/>
      <c r="G81" s="28"/>
    </row>
    <row r="82" spans="1:7" ht="18.75" customHeight="1" x14ac:dyDescent="0.25">
      <c r="A82" s="87">
        <v>640</v>
      </c>
      <c r="B82" s="82">
        <v>2.8079999999999998</v>
      </c>
      <c r="C82" s="72">
        <v>3372.7</v>
      </c>
      <c r="D82" s="72">
        <v>3793.9</v>
      </c>
      <c r="E82" s="82">
        <v>9.0116999999999994</v>
      </c>
      <c r="F82" s="82"/>
      <c r="G82" s="28"/>
    </row>
    <row r="83" spans="1:7" ht="18.75" customHeight="1" x14ac:dyDescent="0.25">
      <c r="A83" s="87">
        <v>660</v>
      </c>
      <c r="B83" s="82">
        <v>2.8696000000000002</v>
      </c>
      <c r="C83" s="72">
        <v>3408.3</v>
      </c>
      <c r="D83" s="72">
        <v>3838.7</v>
      </c>
      <c r="E83" s="82">
        <v>9.0602</v>
      </c>
      <c r="F83" s="82"/>
      <c r="G83" s="28"/>
    </row>
    <row r="84" spans="1:7" ht="18.75" customHeight="1" x14ac:dyDescent="0.25">
      <c r="A84" s="87">
        <v>680</v>
      </c>
      <c r="B84" s="82">
        <v>2.9312</v>
      </c>
      <c r="C84" s="72">
        <v>3444</v>
      </c>
      <c r="D84" s="72">
        <v>3883.7</v>
      </c>
      <c r="E84" s="82">
        <v>9.1080000000000005</v>
      </c>
      <c r="F84" s="82"/>
      <c r="G84" s="28"/>
    </row>
    <row r="85" spans="1:7" ht="18.75" customHeight="1" x14ac:dyDescent="0.25">
      <c r="A85" s="87">
        <v>700</v>
      </c>
      <c r="B85" s="82">
        <v>2.9929000000000001</v>
      </c>
      <c r="C85" s="72">
        <v>3480.2</v>
      </c>
      <c r="D85" s="72">
        <v>3929.1</v>
      </c>
      <c r="E85" s="82">
        <v>9.1549999999999994</v>
      </c>
      <c r="F85" s="82"/>
      <c r="G85" s="28"/>
    </row>
    <row r="86" spans="1:7" ht="18.75" customHeight="1" x14ac:dyDescent="0.25">
      <c r="A86" s="87">
        <v>720</v>
      </c>
      <c r="B86" s="82">
        <v>3.0545</v>
      </c>
      <c r="C86" s="72">
        <v>3516.5</v>
      </c>
      <c r="D86" s="72">
        <v>3974.7</v>
      </c>
      <c r="E86" s="82">
        <v>9.2013999999999996</v>
      </c>
      <c r="F86" s="82"/>
      <c r="G86" s="28"/>
    </row>
    <row r="87" spans="1:7" ht="18.75" customHeight="1" x14ac:dyDescent="0.25">
      <c r="A87" s="87">
        <v>740</v>
      </c>
      <c r="B87" s="82">
        <v>3.1160999999999999</v>
      </c>
      <c r="C87" s="72">
        <v>3553.2</v>
      </c>
      <c r="D87" s="72">
        <v>4020.6</v>
      </c>
      <c r="E87" s="82">
        <v>9.2471999999999994</v>
      </c>
      <c r="F87" s="82"/>
      <c r="G87" s="28"/>
    </row>
    <row r="88" spans="1:7" ht="18.75" customHeight="1" x14ac:dyDescent="0.25">
      <c r="A88" s="87">
        <v>760</v>
      </c>
      <c r="B88" s="82">
        <v>3.1777000000000002</v>
      </c>
      <c r="C88" s="72">
        <v>3590.1</v>
      </c>
      <c r="D88" s="72">
        <v>4066.8</v>
      </c>
      <c r="E88" s="82">
        <v>9.2922999999999991</v>
      </c>
      <c r="F88" s="82"/>
      <c r="G88" s="28"/>
    </row>
    <row r="89" spans="1:7" ht="18.75" customHeight="1" x14ac:dyDescent="0.25">
      <c r="A89" s="87">
        <v>780</v>
      </c>
      <c r="B89" s="82">
        <v>3.2393999999999998</v>
      </c>
      <c r="C89" s="72">
        <v>3627.3</v>
      </c>
      <c r="D89" s="72">
        <v>4113.2</v>
      </c>
      <c r="E89" s="82">
        <v>9.3369</v>
      </c>
      <c r="F89" s="82"/>
      <c r="G89" s="28"/>
    </row>
    <row r="90" spans="1:7" ht="18.75" customHeight="1" x14ac:dyDescent="0.25">
      <c r="A90" s="87">
        <v>800</v>
      </c>
      <c r="B90" s="82">
        <v>3.3010000000000002</v>
      </c>
      <c r="C90" s="72">
        <v>3664.9</v>
      </c>
      <c r="D90" s="72">
        <v>4160</v>
      </c>
      <c r="E90" s="82">
        <v>9.3808000000000007</v>
      </c>
      <c r="F90" s="82"/>
      <c r="G90" s="28"/>
    </row>
    <row r="91" spans="1:7" ht="18.75" customHeight="1" x14ac:dyDescent="0.25">
      <c r="A91" s="87">
        <v>820</v>
      </c>
      <c r="B91" s="82">
        <v>3.3626</v>
      </c>
      <c r="C91" s="72">
        <v>3702.6</v>
      </c>
      <c r="D91" s="72">
        <v>4207</v>
      </c>
      <c r="E91" s="82">
        <v>9.4243000000000006</v>
      </c>
      <c r="F91" s="82"/>
      <c r="G91" s="28"/>
    </row>
    <row r="92" spans="1:7" ht="18.75" customHeight="1" x14ac:dyDescent="0.25">
      <c r="A92" s="87">
        <v>840</v>
      </c>
      <c r="B92" s="82">
        <v>3.4241999999999999</v>
      </c>
      <c r="C92" s="72">
        <v>3740.7</v>
      </c>
      <c r="D92" s="72">
        <v>4254.3</v>
      </c>
      <c r="E92" s="82">
        <v>9.4671000000000003</v>
      </c>
      <c r="F92" s="82"/>
      <c r="G92" s="28"/>
    </row>
    <row r="93" spans="1:7" ht="18.75" customHeight="1" x14ac:dyDescent="0.25">
      <c r="A93" s="87">
        <v>860</v>
      </c>
      <c r="B93" s="82">
        <v>3.4857999999999998</v>
      </c>
      <c r="C93" s="72">
        <v>3779</v>
      </c>
      <c r="D93" s="72">
        <v>4301.8999999999996</v>
      </c>
      <c r="E93" s="82">
        <v>9.5094999999999992</v>
      </c>
      <c r="F93" s="82"/>
      <c r="G93" s="28"/>
    </row>
    <row r="94" spans="1:7" ht="18.75" customHeight="1" x14ac:dyDescent="0.25">
      <c r="A94" s="87">
        <v>880</v>
      </c>
      <c r="B94" s="82">
        <v>3.5472999999999999</v>
      </c>
      <c r="C94" s="72">
        <v>3817.6</v>
      </c>
      <c r="D94" s="72">
        <v>4349.7</v>
      </c>
      <c r="E94" s="82">
        <v>9.5512999999999995</v>
      </c>
      <c r="F94" s="82"/>
      <c r="G94" s="28"/>
    </row>
    <row r="95" spans="1:7" ht="18.75" customHeight="1" x14ac:dyDescent="0.25">
      <c r="A95" s="87">
        <v>900</v>
      </c>
      <c r="B95" s="82">
        <v>3.6089000000000002</v>
      </c>
      <c r="C95" s="72">
        <v>3856.5</v>
      </c>
      <c r="D95" s="72">
        <v>4397.8</v>
      </c>
      <c r="E95" s="82">
        <v>9.5927000000000007</v>
      </c>
      <c r="F95" s="82"/>
      <c r="G95" s="28"/>
    </row>
    <row r="96" spans="1:7" ht="18.75" customHeight="1" x14ac:dyDescent="0.25">
      <c r="A96" s="87">
        <v>920</v>
      </c>
      <c r="B96" s="82">
        <v>3.6705000000000001</v>
      </c>
      <c r="C96" s="72">
        <v>3895.6</v>
      </c>
      <c r="D96" s="72">
        <v>4446.2</v>
      </c>
      <c r="E96" s="82">
        <v>9.6335999999999995</v>
      </c>
      <c r="F96" s="82"/>
      <c r="G96" s="28"/>
    </row>
    <row r="97" spans="1:7" ht="18.75" customHeight="1" x14ac:dyDescent="0.25">
      <c r="A97" s="87">
        <v>940</v>
      </c>
      <c r="B97" s="82">
        <v>3.7321</v>
      </c>
      <c r="C97" s="72">
        <v>3935.1</v>
      </c>
      <c r="D97" s="72">
        <v>4494.8999999999996</v>
      </c>
      <c r="E97" s="82">
        <v>9.6739999999999995</v>
      </c>
      <c r="F97" s="82"/>
      <c r="G97" s="28"/>
    </row>
    <row r="98" spans="1:7" ht="18.75" customHeight="1" x14ac:dyDescent="0.25">
      <c r="A98" s="87">
        <v>960</v>
      </c>
      <c r="B98" s="82">
        <v>3.7936999999999999</v>
      </c>
      <c r="C98" s="72">
        <v>3974.7</v>
      </c>
      <c r="D98" s="72">
        <v>4543.8</v>
      </c>
      <c r="E98" s="82">
        <v>9.7140000000000004</v>
      </c>
      <c r="F98" s="82"/>
      <c r="G98" s="28"/>
    </row>
    <row r="99" spans="1:7" ht="18.75" customHeight="1" x14ac:dyDescent="0.25">
      <c r="A99" s="87">
        <v>980</v>
      </c>
      <c r="B99" s="82">
        <v>3.8553000000000002</v>
      </c>
      <c r="C99" s="72">
        <v>4014.7</v>
      </c>
      <c r="D99" s="72">
        <v>4593</v>
      </c>
      <c r="E99" s="82">
        <v>9.7536000000000005</v>
      </c>
      <c r="F99" s="82"/>
      <c r="G99" s="28"/>
    </row>
    <row r="100" spans="1:7" ht="13.8" x14ac:dyDescent="0.25">
      <c r="A100" s="87">
        <v>1000</v>
      </c>
      <c r="B100" s="82">
        <v>3.9167999999999998</v>
      </c>
      <c r="C100" s="72">
        <v>4054.9</v>
      </c>
      <c r="D100" s="72">
        <v>4642.3999999999996</v>
      </c>
      <c r="E100" s="82">
        <v>9.7927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100"/>
  <sheetViews>
    <sheetView topLeftCell="A16" workbookViewId="0">
      <selection activeCell="A28" sqref="A28:XFD28"/>
    </sheetView>
  </sheetViews>
  <sheetFormatPr defaultRowHeight="13.2" x14ac:dyDescent="0.25"/>
  <cols>
    <col min="1" max="1" width="6.21875" customWidth="1"/>
    <col min="2" max="2" width="12.1093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47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160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1.00012E-3</v>
      </c>
      <c r="C5" s="74">
        <v>-0.04</v>
      </c>
      <c r="D5" s="74">
        <v>0.12</v>
      </c>
      <c r="E5" s="81">
        <v>-1.3999999999999999E-4</v>
      </c>
      <c r="F5" s="81"/>
      <c r="G5" s="28"/>
      <c r="H5" s="28"/>
    </row>
    <row r="6" spans="1:8" ht="18.75" customHeight="1" x14ac:dyDescent="0.25">
      <c r="A6" s="87">
        <v>5</v>
      </c>
      <c r="B6" s="79">
        <v>1E-3</v>
      </c>
      <c r="C6" s="74">
        <v>21.02</v>
      </c>
      <c r="D6" s="74">
        <v>21.18</v>
      </c>
      <c r="E6" s="81">
        <v>7.6249999999999998E-2</v>
      </c>
      <c r="F6" s="81"/>
      <c r="G6" s="28"/>
    </row>
    <row r="7" spans="1:8" ht="18.75" customHeight="1" x14ac:dyDescent="0.25">
      <c r="A7" s="87">
        <v>10</v>
      </c>
      <c r="B7" s="79">
        <v>1.0002699999999999E-3</v>
      </c>
      <c r="C7" s="74">
        <v>42.02</v>
      </c>
      <c r="D7" s="74">
        <v>42.18</v>
      </c>
      <c r="E7" s="81">
        <v>0.15107000000000001</v>
      </c>
      <c r="F7" s="81"/>
      <c r="G7" s="28"/>
    </row>
    <row r="8" spans="1:8" ht="18.75" customHeight="1" x14ac:dyDescent="0.25">
      <c r="A8" s="87">
        <v>15</v>
      </c>
      <c r="B8" s="79">
        <v>1.0008700000000001E-3</v>
      </c>
      <c r="C8" s="74">
        <v>62.97</v>
      </c>
      <c r="D8" s="74">
        <v>63.13</v>
      </c>
      <c r="E8" s="81">
        <v>0.22444</v>
      </c>
      <c r="F8" s="81"/>
      <c r="G8" s="28"/>
    </row>
    <row r="9" spans="1:8" ht="18.75" customHeight="1" x14ac:dyDescent="0.25">
      <c r="A9" s="87">
        <v>20</v>
      </c>
      <c r="B9" s="79">
        <v>1.0017699999999999E-3</v>
      </c>
      <c r="C9" s="74">
        <v>83.9</v>
      </c>
      <c r="D9" s="74">
        <v>84.06</v>
      </c>
      <c r="E9" s="81">
        <v>0.29644999999999999</v>
      </c>
      <c r="F9" s="81"/>
      <c r="G9" s="28"/>
    </row>
    <row r="10" spans="1:8" ht="18.75" customHeight="1" x14ac:dyDescent="0.25">
      <c r="A10" s="87">
        <v>25</v>
      </c>
      <c r="B10" s="79">
        <v>1.00293E-3</v>
      </c>
      <c r="C10" s="74">
        <v>104.81</v>
      </c>
      <c r="D10" s="74">
        <v>104.97</v>
      </c>
      <c r="E10" s="81">
        <v>0.36718000000000001</v>
      </c>
      <c r="F10" s="81"/>
      <c r="G10" s="28"/>
    </row>
    <row r="11" spans="1:8" ht="18.75" customHeight="1" x14ac:dyDescent="0.25">
      <c r="A11" s="87">
        <v>30</v>
      </c>
      <c r="B11" s="79">
        <v>1.0043400000000001E-3</v>
      </c>
      <c r="C11" s="74">
        <v>125.72</v>
      </c>
      <c r="D11" s="74">
        <v>125.88</v>
      </c>
      <c r="E11" s="81">
        <v>0.43670999999999999</v>
      </c>
      <c r="F11" s="81"/>
      <c r="G11" s="28"/>
    </row>
    <row r="12" spans="1:8" ht="18.75" customHeight="1" x14ac:dyDescent="0.25">
      <c r="A12" s="87">
        <v>35</v>
      </c>
      <c r="B12" s="79">
        <v>1.0059800000000001E-3</v>
      </c>
      <c r="C12" s="74">
        <v>146.61000000000001</v>
      </c>
      <c r="D12" s="74">
        <v>146.77000000000001</v>
      </c>
      <c r="E12" s="81">
        <v>0.50507999999999997</v>
      </c>
      <c r="F12" s="81"/>
      <c r="G12" s="28"/>
    </row>
    <row r="13" spans="1:8" ht="18.75" customHeight="1" x14ac:dyDescent="0.25">
      <c r="A13" s="87">
        <v>40</v>
      </c>
      <c r="B13" s="79">
        <v>1.00782E-3</v>
      </c>
      <c r="C13" s="74">
        <v>167.51</v>
      </c>
      <c r="D13" s="74">
        <v>167.67</v>
      </c>
      <c r="E13" s="81">
        <v>0.57233999999999996</v>
      </c>
      <c r="F13" s="81"/>
      <c r="G13" s="28"/>
    </row>
    <row r="14" spans="1:8" ht="18.75" customHeight="1" x14ac:dyDescent="0.25">
      <c r="A14" s="87">
        <v>45</v>
      </c>
      <c r="B14" s="79">
        <v>1.00986E-3</v>
      </c>
      <c r="C14" s="74">
        <v>188.41</v>
      </c>
      <c r="D14" s="74">
        <v>188.57</v>
      </c>
      <c r="E14" s="81">
        <v>0.63854999999999995</v>
      </c>
      <c r="F14" s="81"/>
      <c r="G14" s="28"/>
    </row>
    <row r="15" spans="1:8" ht="18.75" customHeight="1" x14ac:dyDescent="0.25">
      <c r="A15" s="87">
        <v>50</v>
      </c>
      <c r="B15" s="79">
        <v>1.0120800000000001E-3</v>
      </c>
      <c r="C15" s="74">
        <v>209.31</v>
      </c>
      <c r="D15" s="74">
        <v>209.47</v>
      </c>
      <c r="E15" s="81">
        <v>0.70374000000000003</v>
      </c>
      <c r="F15" s="81"/>
      <c r="G15" s="28"/>
    </row>
    <row r="16" spans="1:8" ht="18.75" customHeight="1" x14ac:dyDescent="0.25">
      <c r="A16" s="87">
        <v>55</v>
      </c>
      <c r="B16" s="79">
        <v>1.0144900000000001E-3</v>
      </c>
      <c r="C16" s="74">
        <v>230.22</v>
      </c>
      <c r="D16" s="74">
        <v>230.38</v>
      </c>
      <c r="E16" s="81">
        <v>0.76795000000000002</v>
      </c>
      <c r="F16" s="81"/>
      <c r="G16" s="28"/>
    </row>
    <row r="17" spans="1:7" ht="18.75" customHeight="1" x14ac:dyDescent="0.25">
      <c r="A17" s="87">
        <v>60</v>
      </c>
      <c r="B17" s="79">
        <v>1.01706E-3</v>
      </c>
      <c r="C17" s="74">
        <v>251.14</v>
      </c>
      <c r="D17" s="74">
        <v>251.3</v>
      </c>
      <c r="E17" s="81">
        <v>0.83121999999999996</v>
      </c>
      <c r="F17" s="81"/>
      <c r="G17" s="28"/>
    </row>
    <row r="18" spans="1:7" ht="18.75" customHeight="1" x14ac:dyDescent="0.25">
      <c r="A18" s="87">
        <v>65</v>
      </c>
      <c r="B18" s="79">
        <v>1.0198099999999999E-3</v>
      </c>
      <c r="C18" s="74">
        <v>272.07</v>
      </c>
      <c r="D18" s="74">
        <v>272.23</v>
      </c>
      <c r="E18" s="81">
        <v>0.89358000000000004</v>
      </c>
      <c r="F18" s="81"/>
      <c r="G18" s="28"/>
    </row>
    <row r="19" spans="1:7" ht="18.75" customHeight="1" x14ac:dyDescent="0.25">
      <c r="A19" s="87">
        <v>70</v>
      </c>
      <c r="B19" s="79">
        <v>1.02271E-3</v>
      </c>
      <c r="C19" s="74">
        <v>293.01</v>
      </c>
      <c r="D19" s="74">
        <v>293.17</v>
      </c>
      <c r="E19" s="81">
        <v>0.95506000000000002</v>
      </c>
      <c r="F19" s="81"/>
      <c r="G19" s="28"/>
    </row>
    <row r="20" spans="1:7" ht="18.75" customHeight="1" x14ac:dyDescent="0.25">
      <c r="A20" s="87">
        <v>75</v>
      </c>
      <c r="B20" s="79">
        <v>1.02578E-3</v>
      </c>
      <c r="C20" s="74">
        <v>313.97000000000003</v>
      </c>
      <c r="D20" s="74">
        <v>314.13</v>
      </c>
      <c r="E20" s="82">
        <v>1.0157</v>
      </c>
      <c r="F20" s="82"/>
      <c r="G20" s="28"/>
    </row>
    <row r="21" spans="1:7" ht="18.75" customHeight="1" x14ac:dyDescent="0.25">
      <c r="A21" s="87">
        <v>80</v>
      </c>
      <c r="B21" s="79">
        <v>1.029E-3</v>
      </c>
      <c r="C21" s="74">
        <v>334.94</v>
      </c>
      <c r="D21" s="74">
        <v>335.1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1.0323800000000001E-3</v>
      </c>
      <c r="C22" s="74">
        <v>355.92</v>
      </c>
      <c r="D22" s="74">
        <v>356.09</v>
      </c>
      <c r="E22" s="82">
        <v>1.1345000000000001</v>
      </c>
      <c r="F22" s="82"/>
      <c r="G22" s="28"/>
    </row>
    <row r="23" spans="1:7" ht="18.75" customHeight="1" x14ac:dyDescent="0.25">
      <c r="A23" s="87">
        <v>90</v>
      </c>
      <c r="B23" s="79">
        <v>1.0359099999999999E-3</v>
      </c>
      <c r="C23" s="74">
        <v>376.94</v>
      </c>
      <c r="D23" s="74">
        <v>377.11</v>
      </c>
      <c r="E23" s="82">
        <v>1.1928000000000001</v>
      </c>
      <c r="F23" s="82"/>
      <c r="G23" s="28"/>
    </row>
    <row r="24" spans="1:7" ht="18.75" customHeight="1" x14ac:dyDescent="0.25">
      <c r="A24" s="87">
        <v>95</v>
      </c>
      <c r="B24" s="79">
        <v>1.03959E-3</v>
      </c>
      <c r="C24" s="74">
        <v>397.98</v>
      </c>
      <c r="D24" s="74">
        <v>398.15</v>
      </c>
      <c r="E24" s="82">
        <v>1.2503</v>
      </c>
      <c r="F24" s="82"/>
      <c r="G24" s="28"/>
    </row>
    <row r="25" spans="1:7" ht="18.75" customHeight="1" x14ac:dyDescent="0.25">
      <c r="A25" s="87">
        <v>100</v>
      </c>
      <c r="B25" s="79">
        <v>1.0434299999999999E-3</v>
      </c>
      <c r="C25" s="74">
        <v>419.04</v>
      </c>
      <c r="D25" s="74">
        <v>419.21</v>
      </c>
      <c r="E25" s="82">
        <v>1.3071999999999999</v>
      </c>
      <c r="F25" s="82"/>
      <c r="G25" s="28"/>
    </row>
    <row r="26" spans="1:7" ht="18.75" customHeight="1" x14ac:dyDescent="0.25">
      <c r="A26" s="87">
        <v>105</v>
      </c>
      <c r="B26" s="79">
        <v>1.0474200000000001E-3</v>
      </c>
      <c r="C26" s="74">
        <v>440.13</v>
      </c>
      <c r="D26" s="74">
        <v>440.3</v>
      </c>
      <c r="E26" s="82">
        <v>1.3633</v>
      </c>
      <c r="F26" s="82"/>
      <c r="G26" s="28"/>
    </row>
    <row r="27" spans="1:7" ht="18.75" customHeight="1" x14ac:dyDescent="0.25">
      <c r="A27" s="87">
        <v>110</v>
      </c>
      <c r="B27" s="79">
        <v>1.0515699999999999E-3</v>
      </c>
      <c r="C27" s="74">
        <v>461.26</v>
      </c>
      <c r="D27" s="74">
        <v>461.43</v>
      </c>
      <c r="E27" s="82">
        <v>1.4188000000000001</v>
      </c>
      <c r="F27" s="82"/>
      <c r="G27" s="28"/>
    </row>
    <row r="28" spans="1:7" ht="18.75" customHeight="1" x14ac:dyDescent="0.25">
      <c r="A28" s="87">
        <v>115</v>
      </c>
      <c r="B28" s="82">
        <v>1.0967</v>
      </c>
      <c r="C28" s="72">
        <v>2524.1999999999998</v>
      </c>
      <c r="D28" s="72">
        <v>2699.7</v>
      </c>
      <c r="E28" s="82">
        <v>7.2107999999999999</v>
      </c>
      <c r="F28" s="82"/>
      <c r="G28" s="28"/>
    </row>
    <row r="29" spans="1:7" ht="18.75" customHeight="1" x14ac:dyDescent="0.25">
      <c r="A29" s="87">
        <v>120</v>
      </c>
      <c r="B29" s="82">
        <v>1.1123000000000001</v>
      </c>
      <c r="C29" s="72">
        <v>2532.3000000000002</v>
      </c>
      <c r="D29" s="72">
        <v>2710.3</v>
      </c>
      <c r="E29" s="82">
        <v>7.2378999999999998</v>
      </c>
      <c r="F29" s="82"/>
      <c r="G29" s="28"/>
    </row>
    <row r="30" spans="1:7" ht="18.75" customHeight="1" x14ac:dyDescent="0.25">
      <c r="A30" s="87">
        <v>125</v>
      </c>
      <c r="B30" s="82">
        <v>1.1277999999999999</v>
      </c>
      <c r="C30" s="72">
        <v>2540.3000000000002</v>
      </c>
      <c r="D30" s="72">
        <v>2720.7</v>
      </c>
      <c r="E30" s="82">
        <v>7.2644000000000002</v>
      </c>
      <c r="F30" s="82"/>
      <c r="G30" s="28"/>
    </row>
    <row r="31" spans="1:7" ht="18.75" customHeight="1" x14ac:dyDescent="0.25">
      <c r="A31" s="87">
        <v>130</v>
      </c>
      <c r="B31" s="82">
        <v>1.1432</v>
      </c>
      <c r="C31" s="72">
        <v>2548.1999999999998</v>
      </c>
      <c r="D31" s="72">
        <v>2731.1</v>
      </c>
      <c r="E31" s="82">
        <v>7.2904</v>
      </c>
      <c r="F31" s="82"/>
      <c r="G31" s="28"/>
    </row>
    <row r="32" spans="1:7" ht="18.75" customHeight="1" x14ac:dyDescent="0.25">
      <c r="A32" s="87">
        <v>135</v>
      </c>
      <c r="B32" s="82">
        <v>1.1585000000000001</v>
      </c>
      <c r="C32" s="72">
        <v>2556.1</v>
      </c>
      <c r="D32" s="72">
        <v>2741.5</v>
      </c>
      <c r="E32" s="82">
        <v>7.3158000000000003</v>
      </c>
      <c r="F32" s="82"/>
      <c r="G32" s="28"/>
    </row>
    <row r="33" spans="1:7" ht="18.75" customHeight="1" x14ac:dyDescent="0.25">
      <c r="A33" s="87">
        <v>140</v>
      </c>
      <c r="B33" s="82">
        <v>1.1738</v>
      </c>
      <c r="C33" s="72">
        <v>2563.9</v>
      </c>
      <c r="D33" s="72">
        <v>2751.7</v>
      </c>
      <c r="E33" s="82">
        <v>7.3407999999999998</v>
      </c>
      <c r="F33" s="82"/>
      <c r="G33" s="28"/>
    </row>
    <row r="34" spans="1:7" ht="18.75" customHeight="1" x14ac:dyDescent="0.25">
      <c r="A34" s="87">
        <v>145</v>
      </c>
      <c r="B34" s="82">
        <v>1.1890000000000001</v>
      </c>
      <c r="C34" s="72">
        <v>2571.8000000000002</v>
      </c>
      <c r="D34" s="72">
        <v>2762</v>
      </c>
      <c r="E34" s="82">
        <v>7.3654000000000002</v>
      </c>
      <c r="F34" s="82"/>
      <c r="G34" s="28"/>
    </row>
    <row r="35" spans="1:7" ht="18.75" customHeight="1" x14ac:dyDescent="0.25">
      <c r="A35" s="87">
        <v>150</v>
      </c>
      <c r="B35" s="82">
        <v>1.2040999999999999</v>
      </c>
      <c r="C35" s="72">
        <v>2579.4</v>
      </c>
      <c r="D35" s="72">
        <v>2772.1</v>
      </c>
      <c r="E35" s="82">
        <v>7.3895999999999997</v>
      </c>
      <c r="F35" s="82"/>
      <c r="G35" s="28"/>
    </row>
    <row r="36" spans="1:7" ht="18.75" customHeight="1" x14ac:dyDescent="0.25">
      <c r="A36" s="87">
        <v>155</v>
      </c>
      <c r="B36" s="82">
        <v>1.2192000000000001</v>
      </c>
      <c r="C36" s="72">
        <v>2587.1999999999998</v>
      </c>
      <c r="D36" s="72">
        <v>2782.3</v>
      </c>
      <c r="E36" s="82">
        <v>7.4135</v>
      </c>
      <c r="F36" s="82"/>
      <c r="G36" s="28"/>
    </row>
    <row r="37" spans="1:7" ht="18.75" customHeight="1" x14ac:dyDescent="0.25">
      <c r="A37" s="87">
        <v>160</v>
      </c>
      <c r="B37" s="82">
        <v>1.2343</v>
      </c>
      <c r="C37" s="72">
        <v>2594.9</v>
      </c>
      <c r="D37" s="72">
        <v>2792.4</v>
      </c>
      <c r="E37" s="82">
        <v>7.4368999999999996</v>
      </c>
      <c r="F37" s="82"/>
      <c r="G37" s="28"/>
    </row>
    <row r="38" spans="1:7" ht="18.75" customHeight="1" x14ac:dyDescent="0.25">
      <c r="A38" s="87">
        <v>165</v>
      </c>
      <c r="B38" s="82">
        <v>1.2493000000000001</v>
      </c>
      <c r="C38" s="72">
        <v>2602.6</v>
      </c>
      <c r="D38" s="72">
        <v>2802.5</v>
      </c>
      <c r="E38" s="82">
        <v>7.4600999999999997</v>
      </c>
      <c r="F38" s="82"/>
      <c r="G38" s="28"/>
    </row>
    <row r="39" spans="1:7" ht="18.75" customHeight="1" x14ac:dyDescent="0.25">
      <c r="A39" s="87">
        <v>170</v>
      </c>
      <c r="B39" s="82">
        <v>1.2642</v>
      </c>
      <c r="C39" s="72">
        <v>2610.1999999999998</v>
      </c>
      <c r="D39" s="72">
        <v>2812.5</v>
      </c>
      <c r="E39" s="82">
        <v>7.4828999999999999</v>
      </c>
      <c r="F39" s="82"/>
      <c r="G39" s="28"/>
    </row>
    <row r="40" spans="1:7" ht="18.75" customHeight="1" x14ac:dyDescent="0.25">
      <c r="A40" s="87">
        <v>175</v>
      </c>
      <c r="B40" s="82">
        <v>1.2791999999999999</v>
      </c>
      <c r="C40" s="72">
        <v>2617.9</v>
      </c>
      <c r="D40" s="72">
        <v>2822.6</v>
      </c>
      <c r="E40" s="82">
        <v>7.5054999999999996</v>
      </c>
      <c r="F40" s="82"/>
      <c r="G40" s="28"/>
    </row>
    <row r="41" spans="1:7" ht="18.75" customHeight="1" x14ac:dyDescent="0.25">
      <c r="A41" s="87">
        <v>180</v>
      </c>
      <c r="B41" s="82">
        <v>1.2941</v>
      </c>
      <c r="C41" s="72">
        <v>2625.5</v>
      </c>
      <c r="D41" s="72">
        <v>2832.6</v>
      </c>
      <c r="E41" s="82">
        <v>7.5277000000000003</v>
      </c>
      <c r="F41" s="82"/>
      <c r="G41" s="28"/>
    </row>
    <row r="42" spans="1:7" ht="18.75" customHeight="1" x14ac:dyDescent="0.25">
      <c r="A42" s="87">
        <v>185</v>
      </c>
      <c r="B42" s="82">
        <v>1.3089999999999999</v>
      </c>
      <c r="C42" s="72">
        <v>2633.2</v>
      </c>
      <c r="D42" s="72">
        <v>2842.6</v>
      </c>
      <c r="E42" s="82">
        <v>7.5496999999999996</v>
      </c>
      <c r="F42" s="82"/>
      <c r="G42" s="28"/>
    </row>
    <row r="43" spans="1:7" ht="18.75" customHeight="1" x14ac:dyDescent="0.25">
      <c r="A43" s="87">
        <v>190</v>
      </c>
      <c r="B43" s="82">
        <v>1.3238000000000001</v>
      </c>
      <c r="C43" s="72">
        <v>2640.8</v>
      </c>
      <c r="D43" s="72">
        <v>2852.6</v>
      </c>
      <c r="E43" s="82">
        <v>7.5713999999999997</v>
      </c>
      <c r="F43" s="82"/>
      <c r="G43" s="28"/>
    </row>
    <row r="44" spans="1:7" ht="18.75" customHeight="1" x14ac:dyDescent="0.25">
      <c r="A44" s="87">
        <v>195</v>
      </c>
      <c r="B44" s="82">
        <v>1.3387</v>
      </c>
      <c r="C44" s="72">
        <v>2648.4</v>
      </c>
      <c r="D44" s="72">
        <v>2862.6</v>
      </c>
      <c r="E44" s="82">
        <v>7.5929000000000002</v>
      </c>
      <c r="F44" s="82"/>
      <c r="G44" s="28"/>
    </row>
    <row r="45" spans="1:7" ht="18.75" customHeight="1" x14ac:dyDescent="0.25">
      <c r="A45" s="87">
        <v>200</v>
      </c>
      <c r="B45" s="82">
        <v>1.3534999999999999</v>
      </c>
      <c r="C45" s="72">
        <v>2656</v>
      </c>
      <c r="D45" s="72">
        <v>2872.6</v>
      </c>
      <c r="E45" s="82">
        <v>7.6140999999999996</v>
      </c>
      <c r="F45" s="82"/>
      <c r="G45" s="28"/>
    </row>
    <row r="46" spans="1:7" ht="18.75" customHeight="1" x14ac:dyDescent="0.25">
      <c r="A46" s="87">
        <v>210</v>
      </c>
      <c r="B46" s="82">
        <v>1.3831</v>
      </c>
      <c r="C46" s="72">
        <v>2671.3</v>
      </c>
      <c r="D46" s="72">
        <v>2892.6</v>
      </c>
      <c r="E46" s="82">
        <v>7.6558999999999999</v>
      </c>
      <c r="F46" s="82"/>
      <c r="G46" s="28"/>
    </row>
    <row r="47" spans="1:7" ht="18.75" customHeight="1" x14ac:dyDescent="0.25">
      <c r="A47" s="87">
        <v>220</v>
      </c>
      <c r="B47" s="82">
        <v>1.4126000000000001</v>
      </c>
      <c r="C47" s="72">
        <v>2686.6</v>
      </c>
      <c r="D47" s="72">
        <v>2912.6</v>
      </c>
      <c r="E47" s="82">
        <v>7.6967999999999996</v>
      </c>
      <c r="F47" s="82"/>
      <c r="G47" s="28"/>
    </row>
    <row r="48" spans="1:7" ht="18.75" customHeight="1" x14ac:dyDescent="0.25">
      <c r="A48" s="87">
        <v>230</v>
      </c>
      <c r="B48" s="82">
        <v>1.4419999999999999</v>
      </c>
      <c r="C48" s="72">
        <v>2701.8</v>
      </c>
      <c r="D48" s="72">
        <v>2932.5</v>
      </c>
      <c r="E48" s="82">
        <v>7.7369000000000003</v>
      </c>
      <c r="F48" s="82"/>
      <c r="G48" s="28"/>
    </row>
    <row r="49" spans="1:7" ht="18.75" customHeight="1" x14ac:dyDescent="0.25">
      <c r="A49" s="87">
        <v>240</v>
      </c>
      <c r="B49" s="82">
        <v>1.4714</v>
      </c>
      <c r="C49" s="72">
        <v>2717.1</v>
      </c>
      <c r="D49" s="72">
        <v>2952.5</v>
      </c>
      <c r="E49" s="82">
        <v>7.7762000000000002</v>
      </c>
      <c r="F49" s="82"/>
      <c r="G49" s="28"/>
    </row>
    <row r="50" spans="1:7" ht="18.75" customHeight="1" x14ac:dyDescent="0.25">
      <c r="A50" s="87">
        <v>250</v>
      </c>
      <c r="B50" s="82">
        <v>1.5006999999999999</v>
      </c>
      <c r="C50" s="72">
        <v>2732.4</v>
      </c>
      <c r="D50" s="72">
        <v>2972.5</v>
      </c>
      <c r="E50" s="82">
        <v>7.8148</v>
      </c>
      <c r="F50" s="82"/>
      <c r="G50" s="28"/>
    </row>
    <row r="51" spans="1:7" ht="18.75" customHeight="1" x14ac:dyDescent="0.25">
      <c r="A51" s="87">
        <v>260</v>
      </c>
      <c r="B51" s="82">
        <v>1.53</v>
      </c>
      <c r="C51" s="72">
        <v>2747.8</v>
      </c>
      <c r="D51" s="72">
        <v>2992.6</v>
      </c>
      <c r="E51" s="82">
        <v>7.8528000000000002</v>
      </c>
      <c r="F51" s="82"/>
      <c r="G51" s="28"/>
    </row>
    <row r="52" spans="1:7" ht="18.75" customHeight="1" x14ac:dyDescent="0.25">
      <c r="A52" s="87">
        <v>270</v>
      </c>
      <c r="B52" s="82">
        <v>1.5592999999999999</v>
      </c>
      <c r="C52" s="72">
        <v>2763.1</v>
      </c>
      <c r="D52" s="72">
        <v>3012.6</v>
      </c>
      <c r="E52" s="82">
        <v>7.8901000000000003</v>
      </c>
      <c r="F52" s="82"/>
      <c r="G52" s="28"/>
    </row>
    <row r="53" spans="1:7" ht="18.75" customHeight="1" x14ac:dyDescent="0.25">
      <c r="A53" s="87">
        <v>280</v>
      </c>
      <c r="B53" s="82">
        <v>1.5885</v>
      </c>
      <c r="C53" s="72">
        <v>2778.5</v>
      </c>
      <c r="D53" s="72">
        <v>3032.7</v>
      </c>
      <c r="E53" s="82">
        <v>7.9267000000000003</v>
      </c>
      <c r="F53" s="82"/>
      <c r="G53" s="28"/>
    </row>
    <row r="54" spans="1:7" ht="18.75" customHeight="1" x14ac:dyDescent="0.25">
      <c r="A54" s="87">
        <v>290</v>
      </c>
      <c r="B54" s="82">
        <v>1.6176999999999999</v>
      </c>
      <c r="C54" s="72">
        <v>2794.1</v>
      </c>
      <c r="D54" s="72">
        <v>3052.9</v>
      </c>
      <c r="E54" s="82">
        <v>7.9627999999999997</v>
      </c>
      <c r="F54" s="82"/>
      <c r="G54" s="28"/>
    </row>
    <row r="55" spans="1:7" ht="18.75" customHeight="1" x14ac:dyDescent="0.25">
      <c r="A55" s="87">
        <v>300</v>
      </c>
      <c r="B55" s="82">
        <v>1.6469</v>
      </c>
      <c r="C55" s="72">
        <v>2809.6</v>
      </c>
      <c r="D55" s="72">
        <v>3073.1</v>
      </c>
      <c r="E55" s="82">
        <v>7.9983000000000004</v>
      </c>
      <c r="F55" s="82"/>
      <c r="G55" s="28"/>
    </row>
    <row r="56" spans="1:7" ht="18.75" customHeight="1" x14ac:dyDescent="0.25">
      <c r="A56" s="87">
        <v>310</v>
      </c>
      <c r="B56" s="82">
        <v>1.6759999999999999</v>
      </c>
      <c r="C56" s="72">
        <v>2825.1</v>
      </c>
      <c r="D56" s="72">
        <v>3093.3</v>
      </c>
      <c r="E56" s="82">
        <v>8.0333000000000006</v>
      </c>
      <c r="F56" s="82"/>
      <c r="G56" s="28"/>
    </row>
    <row r="57" spans="1:7" ht="18.75" customHeight="1" x14ac:dyDescent="0.25">
      <c r="A57" s="87">
        <v>320</v>
      </c>
      <c r="B57" s="82">
        <v>1.7052</v>
      </c>
      <c r="C57" s="72">
        <v>2840.8</v>
      </c>
      <c r="D57" s="72">
        <v>3113.6</v>
      </c>
      <c r="E57" s="82">
        <v>8.0678000000000001</v>
      </c>
      <c r="F57" s="82"/>
      <c r="G57" s="28"/>
    </row>
    <row r="58" spans="1:7" ht="18.75" customHeight="1" x14ac:dyDescent="0.25">
      <c r="A58" s="87">
        <v>330</v>
      </c>
      <c r="B58" s="82">
        <v>1.7343</v>
      </c>
      <c r="C58" s="72">
        <v>2856.4</v>
      </c>
      <c r="D58" s="72">
        <v>3133.9</v>
      </c>
      <c r="E58" s="82">
        <v>8.1018000000000008</v>
      </c>
      <c r="F58" s="82"/>
      <c r="G58" s="28"/>
    </row>
    <row r="59" spans="1:7" ht="18.75" customHeight="1" x14ac:dyDescent="0.25">
      <c r="A59" s="87">
        <v>340</v>
      </c>
      <c r="B59" s="82">
        <v>1.7634000000000001</v>
      </c>
      <c r="C59" s="72">
        <v>2872.1</v>
      </c>
      <c r="D59" s="72">
        <v>3154.2</v>
      </c>
      <c r="E59" s="82">
        <v>8.1353000000000009</v>
      </c>
      <c r="F59" s="82"/>
      <c r="G59" s="28"/>
    </row>
    <row r="60" spans="1:7" ht="18.75" customHeight="1" x14ac:dyDescent="0.25">
      <c r="A60" s="87">
        <v>350</v>
      </c>
      <c r="B60" s="82">
        <v>1.7925</v>
      </c>
      <c r="C60" s="72">
        <v>2887.9</v>
      </c>
      <c r="D60" s="72">
        <v>3174.7</v>
      </c>
      <c r="E60" s="82">
        <v>8.1683000000000003</v>
      </c>
      <c r="F60" s="82"/>
      <c r="G60" s="28"/>
    </row>
    <row r="61" spans="1:7" ht="18.75" customHeight="1" x14ac:dyDescent="0.25">
      <c r="A61" s="87">
        <v>360</v>
      </c>
      <c r="B61" s="82">
        <v>1.8214999999999999</v>
      </c>
      <c r="C61" s="72">
        <v>2903.8</v>
      </c>
      <c r="D61" s="72">
        <v>3195.2</v>
      </c>
      <c r="E61" s="82">
        <v>8.2009000000000007</v>
      </c>
      <c r="F61" s="82"/>
      <c r="G61" s="28"/>
    </row>
    <row r="62" spans="1:7" ht="18.75" customHeight="1" x14ac:dyDescent="0.25">
      <c r="A62" s="87">
        <v>370</v>
      </c>
      <c r="B62" s="82">
        <v>1.8506</v>
      </c>
      <c r="C62" s="72">
        <v>2919.6</v>
      </c>
      <c r="D62" s="72">
        <v>3215.7</v>
      </c>
      <c r="E62" s="82">
        <v>8.2331000000000003</v>
      </c>
      <c r="F62" s="82"/>
      <c r="G62" s="28"/>
    </row>
    <row r="63" spans="1:7" ht="18.75" customHeight="1" x14ac:dyDescent="0.25">
      <c r="A63" s="87">
        <v>380</v>
      </c>
      <c r="B63" s="82">
        <v>1.8795999999999999</v>
      </c>
      <c r="C63" s="72">
        <v>2935.6</v>
      </c>
      <c r="D63" s="72">
        <v>3236.3</v>
      </c>
      <c r="E63" s="82">
        <v>8.2649000000000008</v>
      </c>
      <c r="F63" s="82"/>
      <c r="G63" s="28"/>
    </row>
    <row r="64" spans="1:7" ht="18.75" customHeight="1" x14ac:dyDescent="0.25">
      <c r="A64" s="87">
        <v>390</v>
      </c>
      <c r="B64" s="82">
        <v>1.9087000000000001</v>
      </c>
      <c r="C64" s="72">
        <v>2951.5</v>
      </c>
      <c r="D64" s="72">
        <v>3256.9</v>
      </c>
      <c r="E64" s="82">
        <v>8.2962000000000007</v>
      </c>
      <c r="F64" s="82"/>
      <c r="G64" s="28"/>
    </row>
    <row r="65" spans="1:7" ht="18.75" customHeight="1" x14ac:dyDescent="0.25">
      <c r="A65" s="87">
        <v>400</v>
      </c>
      <c r="B65" s="82">
        <v>1.9377</v>
      </c>
      <c r="C65" s="72">
        <v>2967.6</v>
      </c>
      <c r="D65" s="72">
        <v>3277.6</v>
      </c>
      <c r="E65" s="82">
        <v>8.3271999999999995</v>
      </c>
      <c r="F65" s="82"/>
      <c r="G65" s="28"/>
    </row>
    <row r="66" spans="1:7" ht="18.75" customHeight="1" x14ac:dyDescent="0.25">
      <c r="A66" s="87">
        <v>410</v>
      </c>
      <c r="B66" s="82">
        <v>1.9666999999999999</v>
      </c>
      <c r="C66" s="72">
        <v>2983.7</v>
      </c>
      <c r="D66" s="72">
        <v>3298.4</v>
      </c>
      <c r="E66" s="82">
        <v>8.3577999999999992</v>
      </c>
      <c r="F66" s="82"/>
      <c r="G66" s="28"/>
    </row>
    <row r="67" spans="1:7" ht="18.75" customHeight="1" x14ac:dyDescent="0.25">
      <c r="A67" s="87">
        <v>420</v>
      </c>
      <c r="B67" s="82">
        <v>1.9957</v>
      </c>
      <c r="C67" s="72">
        <v>2999.9</v>
      </c>
      <c r="D67" s="72">
        <v>3319.2</v>
      </c>
      <c r="E67" s="82">
        <v>8.3880999999999997</v>
      </c>
      <c r="F67" s="82"/>
      <c r="G67" s="28"/>
    </row>
    <row r="68" spans="1:7" ht="18.75" customHeight="1" x14ac:dyDescent="0.25">
      <c r="A68" s="87">
        <v>430</v>
      </c>
      <c r="B68" s="82">
        <v>2.0247000000000002</v>
      </c>
      <c r="C68" s="72">
        <v>3016.1</v>
      </c>
      <c r="D68" s="72">
        <v>3340.1</v>
      </c>
      <c r="E68" s="82">
        <v>8.4179999999999993</v>
      </c>
      <c r="F68" s="82"/>
      <c r="G68" s="28"/>
    </row>
    <row r="69" spans="1:7" ht="18.75" customHeight="1" x14ac:dyDescent="0.25">
      <c r="A69" s="87">
        <v>440</v>
      </c>
      <c r="B69" s="82">
        <v>2.0537000000000001</v>
      </c>
      <c r="C69" s="72">
        <v>3032.5</v>
      </c>
      <c r="D69" s="72">
        <v>3361.1</v>
      </c>
      <c r="E69" s="82">
        <v>8.4475999999999996</v>
      </c>
      <c r="F69" s="82"/>
      <c r="G69" s="28"/>
    </row>
    <row r="70" spans="1:7" ht="18.75" customHeight="1" x14ac:dyDescent="0.25">
      <c r="A70" s="87">
        <v>450</v>
      </c>
      <c r="B70" s="82">
        <v>2.0825999999999998</v>
      </c>
      <c r="C70" s="72">
        <v>3048.9</v>
      </c>
      <c r="D70" s="72">
        <v>3382.1</v>
      </c>
      <c r="E70" s="82">
        <v>8.4769000000000005</v>
      </c>
      <c r="F70" s="82"/>
      <c r="G70" s="28"/>
    </row>
    <row r="71" spans="1:7" ht="18.75" customHeight="1" x14ac:dyDescent="0.25">
      <c r="A71" s="87">
        <v>460</v>
      </c>
      <c r="B71" s="82">
        <v>2.1116000000000001</v>
      </c>
      <c r="C71" s="72">
        <v>3065.3</v>
      </c>
      <c r="D71" s="72">
        <v>3403.2</v>
      </c>
      <c r="E71" s="82">
        <v>8.5058000000000007</v>
      </c>
      <c r="F71" s="82"/>
      <c r="G71" s="28"/>
    </row>
    <row r="72" spans="1:7" ht="18.75" customHeight="1" x14ac:dyDescent="0.25">
      <c r="A72" s="87">
        <v>470</v>
      </c>
      <c r="B72" s="82">
        <v>2.1406000000000001</v>
      </c>
      <c r="C72" s="72">
        <v>3081.8</v>
      </c>
      <c r="D72" s="72">
        <v>3424.3</v>
      </c>
      <c r="E72" s="82">
        <v>8.5343999999999998</v>
      </c>
      <c r="F72" s="82"/>
      <c r="G72" s="28"/>
    </row>
    <row r="73" spans="1:7" ht="18.75" customHeight="1" x14ac:dyDescent="0.25">
      <c r="A73" s="87">
        <v>480</v>
      </c>
      <c r="B73" s="82">
        <v>2.1695000000000002</v>
      </c>
      <c r="C73" s="72">
        <v>3098.4</v>
      </c>
      <c r="D73" s="72">
        <v>3445.5</v>
      </c>
      <c r="E73" s="82">
        <v>8.5627999999999993</v>
      </c>
      <c r="F73" s="82"/>
      <c r="G73" s="28"/>
    </row>
    <row r="74" spans="1:7" ht="18.75" customHeight="1" x14ac:dyDescent="0.25">
      <c r="A74" s="87">
        <v>490</v>
      </c>
      <c r="B74" s="82">
        <v>2.1985000000000001</v>
      </c>
      <c r="C74" s="72">
        <v>3115</v>
      </c>
      <c r="D74" s="72">
        <v>3466.8</v>
      </c>
      <c r="E74" s="82">
        <v>8.5907999999999998</v>
      </c>
      <c r="F74" s="82"/>
      <c r="G74" s="28"/>
    </row>
    <row r="75" spans="1:7" ht="18.75" customHeight="1" x14ac:dyDescent="0.25">
      <c r="A75" s="87">
        <v>500</v>
      </c>
      <c r="B75" s="82">
        <v>2.2273999999999998</v>
      </c>
      <c r="C75" s="72">
        <v>3131.7</v>
      </c>
      <c r="D75" s="72">
        <v>3488.1</v>
      </c>
      <c r="E75" s="82">
        <v>8.6186000000000007</v>
      </c>
      <c r="F75" s="82"/>
      <c r="G75" s="28"/>
    </row>
    <row r="76" spans="1:7" ht="18.75" customHeight="1" x14ac:dyDescent="0.25">
      <c r="A76" s="87">
        <v>520</v>
      </c>
      <c r="B76" s="82">
        <v>2.2852999999999999</v>
      </c>
      <c r="C76" s="72">
        <v>3165.4</v>
      </c>
      <c r="D76" s="72">
        <v>3531</v>
      </c>
      <c r="E76" s="82">
        <v>8.6734000000000009</v>
      </c>
      <c r="F76" s="82"/>
      <c r="G76" s="28"/>
    </row>
    <row r="77" spans="1:7" ht="18.75" customHeight="1" x14ac:dyDescent="0.25">
      <c r="A77" s="87">
        <v>540</v>
      </c>
      <c r="B77" s="82">
        <v>2.3431999999999999</v>
      </c>
      <c r="C77" s="72">
        <v>3199.2</v>
      </c>
      <c r="D77" s="72">
        <v>3574.1</v>
      </c>
      <c r="E77" s="82">
        <v>8.7271000000000001</v>
      </c>
      <c r="F77" s="82"/>
      <c r="G77" s="28"/>
    </row>
    <row r="78" spans="1:7" ht="18.75" customHeight="1" x14ac:dyDescent="0.25">
      <c r="A78" s="87">
        <v>560</v>
      </c>
      <c r="B78" s="82">
        <v>2.4011</v>
      </c>
      <c r="C78" s="72">
        <v>3233.3</v>
      </c>
      <c r="D78" s="72">
        <v>3617.5</v>
      </c>
      <c r="E78" s="82">
        <v>8.7797999999999998</v>
      </c>
      <c r="F78" s="82"/>
      <c r="G78" s="28"/>
    </row>
    <row r="79" spans="1:7" ht="18.75" customHeight="1" x14ac:dyDescent="0.25">
      <c r="A79" s="87">
        <v>580</v>
      </c>
      <c r="B79" s="82">
        <v>2.4588999999999999</v>
      </c>
      <c r="C79" s="72">
        <v>3267.8</v>
      </c>
      <c r="D79" s="72">
        <v>3661.2</v>
      </c>
      <c r="E79" s="82">
        <v>8.8315999999999999</v>
      </c>
      <c r="F79" s="82"/>
      <c r="G79" s="28"/>
    </row>
    <row r="80" spans="1:7" ht="18.75" customHeight="1" x14ac:dyDescent="0.25">
      <c r="A80" s="87">
        <v>600</v>
      </c>
      <c r="B80" s="82">
        <v>2.5167000000000002</v>
      </c>
      <c r="C80" s="72">
        <v>3302.4</v>
      </c>
      <c r="D80" s="72">
        <v>3705.1</v>
      </c>
      <c r="E80" s="82">
        <v>8.8825000000000003</v>
      </c>
      <c r="F80" s="82"/>
      <c r="G80" s="28"/>
    </row>
    <row r="81" spans="1:7" ht="18.75" customHeight="1" x14ac:dyDescent="0.25">
      <c r="A81" s="87">
        <v>620</v>
      </c>
      <c r="B81" s="82">
        <v>2.5745</v>
      </c>
      <c r="C81" s="72">
        <v>3337.4</v>
      </c>
      <c r="D81" s="72">
        <v>3749.3</v>
      </c>
      <c r="E81" s="82">
        <v>8.9326000000000008</v>
      </c>
      <c r="F81" s="82"/>
      <c r="G81" s="28"/>
    </row>
    <row r="82" spans="1:7" ht="18.75" customHeight="1" x14ac:dyDescent="0.25">
      <c r="A82" s="87">
        <v>640</v>
      </c>
      <c r="B82" s="82">
        <v>2.6324000000000001</v>
      </c>
      <c r="C82" s="72">
        <v>3372.6</v>
      </c>
      <c r="D82" s="72">
        <v>3793.8</v>
      </c>
      <c r="E82" s="82">
        <v>8.9818999999999996</v>
      </c>
      <c r="F82" s="82"/>
      <c r="G82" s="28"/>
    </row>
    <row r="83" spans="1:7" ht="18.75" customHeight="1" x14ac:dyDescent="0.25">
      <c r="A83" s="87">
        <v>660</v>
      </c>
      <c r="B83" s="82">
        <v>2.6901999999999999</v>
      </c>
      <c r="C83" s="72">
        <v>3408.2</v>
      </c>
      <c r="D83" s="72">
        <v>3838.6</v>
      </c>
      <c r="E83" s="82">
        <v>9.0304000000000002</v>
      </c>
      <c r="F83" s="82"/>
      <c r="G83" s="28"/>
    </row>
    <row r="84" spans="1:7" ht="18.75" customHeight="1" x14ac:dyDescent="0.25">
      <c r="A84" s="87">
        <v>680</v>
      </c>
      <c r="B84" s="82">
        <v>2.7480000000000002</v>
      </c>
      <c r="C84" s="72">
        <v>3444</v>
      </c>
      <c r="D84" s="72">
        <v>3883.7</v>
      </c>
      <c r="E84" s="82">
        <v>9.0780999999999992</v>
      </c>
      <c r="F84" s="82"/>
      <c r="G84" s="28"/>
    </row>
    <row r="85" spans="1:7" ht="18.75" customHeight="1" x14ac:dyDescent="0.25">
      <c r="A85" s="87">
        <v>700</v>
      </c>
      <c r="B85" s="82">
        <v>2.8056999999999999</v>
      </c>
      <c r="C85" s="72">
        <v>3480.1</v>
      </c>
      <c r="D85" s="72">
        <v>3929</v>
      </c>
      <c r="E85" s="82">
        <v>9.1251999999999995</v>
      </c>
      <c r="F85" s="82"/>
      <c r="G85" s="28"/>
    </row>
    <row r="86" spans="1:7" ht="18.75" customHeight="1" x14ac:dyDescent="0.25">
      <c r="A86" s="87">
        <v>720</v>
      </c>
      <c r="B86" s="82">
        <v>2.8635000000000002</v>
      </c>
      <c r="C86" s="72">
        <v>3516.4</v>
      </c>
      <c r="D86" s="72">
        <v>3974.6</v>
      </c>
      <c r="E86" s="82">
        <v>9.1715999999999998</v>
      </c>
      <c r="F86" s="82"/>
      <c r="G86" s="28"/>
    </row>
    <row r="87" spans="1:7" ht="18.75" customHeight="1" x14ac:dyDescent="0.25">
      <c r="A87" s="87">
        <v>740</v>
      </c>
      <c r="B87" s="82">
        <v>2.9213</v>
      </c>
      <c r="C87" s="72">
        <v>3553.1</v>
      </c>
      <c r="D87" s="72">
        <v>4020.5</v>
      </c>
      <c r="E87" s="82">
        <v>9.2173999999999996</v>
      </c>
      <c r="F87" s="82"/>
      <c r="G87" s="28"/>
    </row>
    <row r="88" spans="1:7" ht="18.75" customHeight="1" x14ac:dyDescent="0.25">
      <c r="A88" s="87">
        <v>760</v>
      </c>
      <c r="B88" s="82">
        <v>2.9790999999999999</v>
      </c>
      <c r="C88" s="72">
        <v>3590</v>
      </c>
      <c r="D88" s="72">
        <v>4066.7</v>
      </c>
      <c r="E88" s="82">
        <v>9.2624999999999993</v>
      </c>
      <c r="F88" s="82"/>
      <c r="G88" s="28"/>
    </row>
    <row r="89" spans="1:7" ht="18.75" customHeight="1" x14ac:dyDescent="0.25">
      <c r="A89" s="87">
        <v>780</v>
      </c>
      <c r="B89" s="82">
        <v>3.0367999999999999</v>
      </c>
      <c r="C89" s="72">
        <v>3627.3</v>
      </c>
      <c r="D89" s="72">
        <v>4113.2</v>
      </c>
      <c r="E89" s="82">
        <v>9.3071000000000002</v>
      </c>
      <c r="F89" s="82"/>
      <c r="G89" s="28"/>
    </row>
    <row r="90" spans="1:7" ht="18.75" customHeight="1" x14ac:dyDescent="0.25">
      <c r="A90" s="87">
        <v>800</v>
      </c>
      <c r="B90" s="82">
        <v>3.0945999999999998</v>
      </c>
      <c r="C90" s="72">
        <v>3664.8</v>
      </c>
      <c r="D90" s="72">
        <v>4159.8999999999996</v>
      </c>
      <c r="E90" s="82">
        <v>9.3510000000000009</v>
      </c>
      <c r="F90" s="82"/>
      <c r="G90" s="28"/>
    </row>
    <row r="91" spans="1:7" ht="18.75" customHeight="1" x14ac:dyDescent="0.25">
      <c r="A91" s="87">
        <v>820</v>
      </c>
      <c r="B91" s="82">
        <v>3.1522999999999999</v>
      </c>
      <c r="C91" s="72">
        <v>3702.6</v>
      </c>
      <c r="D91" s="72">
        <v>4207</v>
      </c>
      <c r="E91" s="82">
        <v>9.3943999999999992</v>
      </c>
      <c r="F91" s="82"/>
      <c r="G91" s="28"/>
    </row>
    <row r="92" spans="1:7" ht="18.75" customHeight="1" x14ac:dyDescent="0.25">
      <c r="A92" s="87">
        <v>840</v>
      </c>
      <c r="B92" s="82">
        <v>3.2101000000000002</v>
      </c>
      <c r="C92" s="72">
        <v>3740.7</v>
      </c>
      <c r="D92" s="72">
        <v>4254.3</v>
      </c>
      <c r="E92" s="82">
        <v>9.4373000000000005</v>
      </c>
      <c r="F92" s="82"/>
      <c r="G92" s="28"/>
    </row>
    <row r="93" spans="1:7" ht="18.75" customHeight="1" x14ac:dyDescent="0.25">
      <c r="A93" s="87">
        <v>860</v>
      </c>
      <c r="B93" s="82">
        <v>3.2679</v>
      </c>
      <c r="C93" s="72">
        <v>3778.9</v>
      </c>
      <c r="D93" s="72">
        <v>4301.8</v>
      </c>
      <c r="E93" s="82">
        <v>9.4796999999999993</v>
      </c>
      <c r="F93" s="82"/>
      <c r="G93" s="28"/>
    </row>
    <row r="94" spans="1:7" ht="18.75" customHeight="1" x14ac:dyDescent="0.25">
      <c r="A94" s="87">
        <v>880</v>
      </c>
      <c r="B94" s="82">
        <v>3.3256000000000001</v>
      </c>
      <c r="C94" s="72">
        <v>3817.6</v>
      </c>
      <c r="D94" s="72">
        <v>4349.7</v>
      </c>
      <c r="E94" s="82">
        <v>9.5214999999999996</v>
      </c>
      <c r="F94" s="82"/>
      <c r="G94" s="28"/>
    </row>
    <row r="95" spans="1:7" ht="18.75" customHeight="1" x14ac:dyDescent="0.25">
      <c r="A95" s="87">
        <v>900</v>
      </c>
      <c r="B95" s="82">
        <v>3.3833000000000002</v>
      </c>
      <c r="C95" s="72">
        <v>3856.5</v>
      </c>
      <c r="D95" s="72">
        <v>4397.8</v>
      </c>
      <c r="E95" s="82">
        <v>9.5629000000000008</v>
      </c>
      <c r="F95" s="82"/>
      <c r="G95" s="28"/>
    </row>
    <row r="96" spans="1:7" ht="18.75" customHeight="1" x14ac:dyDescent="0.25">
      <c r="A96" s="87">
        <v>920</v>
      </c>
      <c r="B96" s="82">
        <v>3.4411</v>
      </c>
      <c r="C96" s="72">
        <v>3895.6</v>
      </c>
      <c r="D96" s="72">
        <v>4446.2</v>
      </c>
      <c r="E96" s="82">
        <v>9.6037999999999997</v>
      </c>
      <c r="F96" s="82"/>
      <c r="G96" s="28"/>
    </row>
    <row r="97" spans="1:7" ht="18.75" customHeight="1" x14ac:dyDescent="0.25">
      <c r="A97" s="87">
        <v>940</v>
      </c>
      <c r="B97" s="82">
        <v>3.4988000000000001</v>
      </c>
      <c r="C97" s="72">
        <v>3935</v>
      </c>
      <c r="D97" s="72">
        <v>4494.8</v>
      </c>
      <c r="E97" s="82">
        <v>9.6441999999999997</v>
      </c>
      <c r="F97" s="82"/>
      <c r="G97" s="28"/>
    </row>
    <row r="98" spans="1:7" ht="18.75" customHeight="1" x14ac:dyDescent="0.25">
      <c r="A98" s="87">
        <v>960</v>
      </c>
      <c r="B98" s="82">
        <v>3.5566</v>
      </c>
      <c r="C98" s="72">
        <v>3974.7</v>
      </c>
      <c r="D98" s="72">
        <v>4543.8</v>
      </c>
      <c r="E98" s="82">
        <v>9.6842000000000006</v>
      </c>
      <c r="F98" s="82"/>
      <c r="G98" s="28"/>
    </row>
    <row r="99" spans="1:7" ht="18.75" customHeight="1" x14ac:dyDescent="0.25">
      <c r="A99" s="87">
        <v>980</v>
      </c>
      <c r="B99" s="82">
        <v>3.6143000000000001</v>
      </c>
      <c r="C99" s="72">
        <v>4014.6</v>
      </c>
      <c r="D99" s="72">
        <v>4592.8999999999996</v>
      </c>
      <c r="E99" s="82">
        <v>9.7238000000000007</v>
      </c>
      <c r="F99" s="82"/>
      <c r="G99" s="28"/>
    </row>
    <row r="100" spans="1:7" ht="13.8" x14ac:dyDescent="0.25">
      <c r="A100" s="87">
        <v>1000</v>
      </c>
      <c r="B100" s="82">
        <v>3.6720000000000002</v>
      </c>
      <c r="C100" s="72">
        <v>4054.9</v>
      </c>
      <c r="D100" s="72">
        <v>4642.3999999999996</v>
      </c>
      <c r="E100" s="82">
        <v>9.7629000000000001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100"/>
  <sheetViews>
    <sheetView topLeftCell="A9" workbookViewId="0">
      <selection activeCell="A29" sqref="A29:XFD29"/>
    </sheetView>
  </sheetViews>
  <sheetFormatPr defaultRowHeight="13.2" x14ac:dyDescent="0.25"/>
  <cols>
    <col min="1" max="1" width="6.21875" customWidth="1"/>
    <col min="2" max="2" width="10.66406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48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180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1.00012E-3</v>
      </c>
      <c r="C5" s="74">
        <v>-0.04</v>
      </c>
      <c r="D5" s="74">
        <v>0.14000000000000001</v>
      </c>
      <c r="E5" s="81">
        <v>-1.3999999999999999E-4</v>
      </c>
      <c r="F5" s="81"/>
      <c r="G5" s="28"/>
    </row>
    <row r="6" spans="1:8" ht="18.75" customHeight="1" x14ac:dyDescent="0.25">
      <c r="A6" s="87">
        <v>5</v>
      </c>
      <c r="B6" s="79">
        <v>9.9999000000000008E-4</v>
      </c>
      <c r="C6" s="74">
        <v>21.02</v>
      </c>
      <c r="D6" s="74">
        <v>21.2</v>
      </c>
      <c r="E6" s="81">
        <v>7.6249999999999998E-2</v>
      </c>
      <c r="F6" s="81"/>
      <c r="G6" s="28"/>
    </row>
    <row r="7" spans="1:8" ht="18.75" customHeight="1" x14ac:dyDescent="0.25">
      <c r="A7" s="87">
        <v>10</v>
      </c>
      <c r="B7" s="79">
        <v>1.00026E-3</v>
      </c>
      <c r="C7" s="74">
        <v>42.02</v>
      </c>
      <c r="D7" s="74">
        <v>42.2</v>
      </c>
      <c r="E7" s="81">
        <v>0.15107000000000001</v>
      </c>
      <c r="F7" s="81"/>
      <c r="G7" s="28"/>
    </row>
    <row r="8" spans="1:8" ht="18.75" customHeight="1" x14ac:dyDescent="0.25">
      <c r="A8" s="87">
        <v>15</v>
      </c>
      <c r="B8" s="79">
        <v>1.0008599999999999E-3</v>
      </c>
      <c r="C8" s="74">
        <v>62.97</v>
      </c>
      <c r="D8" s="74">
        <v>63.15</v>
      </c>
      <c r="E8" s="81">
        <v>0.22444</v>
      </c>
      <c r="F8" s="81"/>
      <c r="G8" s="28"/>
    </row>
    <row r="9" spans="1:8" ht="18.75" customHeight="1" x14ac:dyDescent="0.25">
      <c r="A9" s="87">
        <v>20</v>
      </c>
      <c r="B9" s="79">
        <v>1.00176E-3</v>
      </c>
      <c r="C9" s="74">
        <v>83.9</v>
      </c>
      <c r="D9" s="74">
        <v>84.08</v>
      </c>
      <c r="E9" s="81">
        <v>0.29644999999999999</v>
      </c>
      <c r="F9" s="81"/>
      <c r="G9" s="28"/>
    </row>
    <row r="10" spans="1:8" ht="18.75" customHeight="1" x14ac:dyDescent="0.25">
      <c r="A10" s="87">
        <v>25</v>
      </c>
      <c r="B10" s="79">
        <v>1.00293E-3</v>
      </c>
      <c r="C10" s="74">
        <v>104.81</v>
      </c>
      <c r="D10" s="74">
        <v>104.99</v>
      </c>
      <c r="E10" s="81">
        <v>0.36718000000000001</v>
      </c>
      <c r="F10" s="81"/>
      <c r="G10" s="28"/>
    </row>
    <row r="11" spans="1:8" ht="18.75" customHeight="1" x14ac:dyDescent="0.25">
      <c r="A11" s="87">
        <v>30</v>
      </c>
      <c r="B11" s="79">
        <v>1.0043299999999999E-3</v>
      </c>
      <c r="C11" s="74">
        <v>125.71</v>
      </c>
      <c r="D11" s="74">
        <v>125.89</v>
      </c>
      <c r="E11" s="81">
        <v>0.43669999999999998</v>
      </c>
      <c r="F11" s="81"/>
      <c r="G11" s="28"/>
    </row>
    <row r="12" spans="1:8" ht="18.75" customHeight="1" x14ac:dyDescent="0.25">
      <c r="A12" s="87">
        <v>35</v>
      </c>
      <c r="B12" s="79">
        <v>1.0059699999999999E-3</v>
      </c>
      <c r="C12" s="74">
        <v>146.61000000000001</v>
      </c>
      <c r="D12" s="74">
        <v>146.79</v>
      </c>
      <c r="E12" s="81">
        <v>0.50507000000000002</v>
      </c>
      <c r="F12" s="81"/>
      <c r="G12" s="28"/>
    </row>
    <row r="13" spans="1:8" ht="18.75" customHeight="1" x14ac:dyDescent="0.25">
      <c r="A13" s="87">
        <v>40</v>
      </c>
      <c r="B13" s="79">
        <v>1.00781E-3</v>
      </c>
      <c r="C13" s="74">
        <v>167.51</v>
      </c>
      <c r="D13" s="74">
        <v>167.69</v>
      </c>
      <c r="E13" s="81">
        <v>0.57233000000000001</v>
      </c>
      <c r="F13" s="81"/>
      <c r="G13" s="28"/>
    </row>
    <row r="14" spans="1:8" ht="18.75" customHeight="1" x14ac:dyDescent="0.25">
      <c r="A14" s="87">
        <v>45</v>
      </c>
      <c r="B14" s="79">
        <v>1.0098500000000001E-3</v>
      </c>
      <c r="C14" s="74">
        <v>188.4</v>
      </c>
      <c r="D14" s="74">
        <v>188.58</v>
      </c>
      <c r="E14" s="81">
        <v>0.63854</v>
      </c>
      <c r="F14" s="81"/>
      <c r="G14" s="28"/>
    </row>
    <row r="15" spans="1:8" ht="18.75" customHeight="1" x14ac:dyDescent="0.25">
      <c r="A15" s="87">
        <v>50</v>
      </c>
      <c r="B15" s="79">
        <v>1.0120699999999999E-3</v>
      </c>
      <c r="C15" s="74">
        <v>209.31</v>
      </c>
      <c r="D15" s="74">
        <v>209.49</v>
      </c>
      <c r="E15" s="81">
        <v>0.70372999999999997</v>
      </c>
      <c r="F15" s="81"/>
      <c r="G15" s="28"/>
    </row>
    <row r="16" spans="1:8" ht="18.75" customHeight="1" x14ac:dyDescent="0.25">
      <c r="A16" s="87">
        <v>55</v>
      </c>
      <c r="B16" s="79">
        <v>1.0144799999999999E-3</v>
      </c>
      <c r="C16" s="74">
        <v>230.22</v>
      </c>
      <c r="D16" s="74">
        <v>230.4</v>
      </c>
      <c r="E16" s="81">
        <v>0.76793999999999996</v>
      </c>
      <c r="F16" s="81"/>
      <c r="G16" s="28"/>
    </row>
    <row r="17" spans="1:7" ht="18.75" customHeight="1" x14ac:dyDescent="0.25">
      <c r="A17" s="87">
        <v>60</v>
      </c>
      <c r="B17" s="79">
        <v>1.01706E-3</v>
      </c>
      <c r="C17" s="74">
        <v>251.13</v>
      </c>
      <c r="D17" s="74">
        <v>251.31</v>
      </c>
      <c r="E17" s="81">
        <v>0.83121</v>
      </c>
      <c r="F17" s="81"/>
      <c r="G17" s="28"/>
    </row>
    <row r="18" spans="1:7" ht="18.75" customHeight="1" x14ac:dyDescent="0.25">
      <c r="A18" s="87">
        <v>65</v>
      </c>
      <c r="B18" s="79">
        <v>1.0198E-3</v>
      </c>
      <c r="C18" s="74">
        <v>272.06</v>
      </c>
      <c r="D18" s="74">
        <v>272.24</v>
      </c>
      <c r="E18" s="81">
        <v>0.89356000000000002</v>
      </c>
      <c r="F18" s="81"/>
      <c r="G18" s="28"/>
    </row>
    <row r="19" spans="1:7" ht="18.75" customHeight="1" x14ac:dyDescent="0.25">
      <c r="A19" s="87">
        <v>70</v>
      </c>
      <c r="B19" s="79">
        <v>1.0227000000000001E-3</v>
      </c>
      <c r="C19" s="74">
        <v>293.01</v>
      </c>
      <c r="D19" s="74">
        <v>293.19</v>
      </c>
      <c r="E19" s="81">
        <v>0.95504</v>
      </c>
      <c r="F19" s="81"/>
      <c r="G19" s="28"/>
    </row>
    <row r="20" spans="1:7" ht="18.75" customHeight="1" x14ac:dyDescent="0.25">
      <c r="A20" s="87">
        <v>75</v>
      </c>
      <c r="B20" s="79">
        <v>1.0257700000000001E-3</v>
      </c>
      <c r="C20" s="74">
        <v>313.95999999999998</v>
      </c>
      <c r="D20" s="74">
        <v>314.14</v>
      </c>
      <c r="E20" s="82">
        <v>1.0157</v>
      </c>
      <c r="F20" s="82"/>
      <c r="G20" s="28"/>
    </row>
    <row r="21" spans="1:7" ht="18.75" customHeight="1" x14ac:dyDescent="0.25">
      <c r="A21" s="87">
        <v>80</v>
      </c>
      <c r="B21" s="79">
        <v>1.02899E-3</v>
      </c>
      <c r="C21" s="74">
        <v>334.93</v>
      </c>
      <c r="D21" s="74">
        <v>335.12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1.0323699999999999E-3</v>
      </c>
      <c r="C22" s="74">
        <v>355.92</v>
      </c>
      <c r="D22" s="74">
        <v>356.11</v>
      </c>
      <c r="E22" s="82">
        <v>1.1345000000000001</v>
      </c>
      <c r="F22" s="82"/>
      <c r="G22" s="28"/>
    </row>
    <row r="23" spans="1:7" ht="18.75" customHeight="1" x14ac:dyDescent="0.25">
      <c r="A23" s="87">
        <v>90</v>
      </c>
      <c r="B23" s="79">
        <v>1.0359E-3</v>
      </c>
      <c r="C23" s="74">
        <v>376.93</v>
      </c>
      <c r="D23" s="74">
        <v>377.12</v>
      </c>
      <c r="E23" s="82">
        <v>1.1928000000000001</v>
      </c>
      <c r="F23" s="82"/>
      <c r="G23" s="28"/>
    </row>
    <row r="24" spans="1:7" ht="18.75" customHeight="1" x14ac:dyDescent="0.25">
      <c r="A24" s="87">
        <v>95</v>
      </c>
      <c r="B24" s="79">
        <v>1.03958E-3</v>
      </c>
      <c r="C24" s="74">
        <v>397.97</v>
      </c>
      <c r="D24" s="74">
        <v>398.16</v>
      </c>
      <c r="E24" s="82">
        <v>1.2503</v>
      </c>
      <c r="F24" s="82"/>
      <c r="G24" s="28"/>
    </row>
    <row r="25" spans="1:7" ht="18.75" customHeight="1" x14ac:dyDescent="0.25">
      <c r="A25" s="87">
        <v>100</v>
      </c>
      <c r="B25" s="79">
        <v>1.04342E-3</v>
      </c>
      <c r="C25" s="74">
        <v>419.04</v>
      </c>
      <c r="D25" s="74">
        <v>419.23</v>
      </c>
      <c r="E25" s="82">
        <v>1.3070999999999999</v>
      </c>
      <c r="F25" s="82"/>
      <c r="G25" s="28"/>
    </row>
    <row r="26" spans="1:7" ht="18.75" customHeight="1" x14ac:dyDescent="0.25">
      <c r="A26" s="87">
        <v>105</v>
      </c>
      <c r="B26" s="79">
        <v>1.0474099999999999E-3</v>
      </c>
      <c r="C26" s="74">
        <v>440.13</v>
      </c>
      <c r="D26" s="74">
        <v>440.32</v>
      </c>
      <c r="E26" s="82">
        <v>1.3633</v>
      </c>
      <c r="F26" s="82"/>
      <c r="G26" s="28"/>
    </row>
    <row r="27" spans="1:7" ht="18.75" customHeight="1" x14ac:dyDescent="0.25">
      <c r="A27" s="87">
        <v>110</v>
      </c>
      <c r="B27" s="79">
        <v>1.05156E-3</v>
      </c>
      <c r="C27" s="74">
        <v>461.25</v>
      </c>
      <c r="D27" s="74">
        <v>461.44</v>
      </c>
      <c r="E27" s="82">
        <v>1.4188000000000001</v>
      </c>
      <c r="F27" s="82"/>
      <c r="G27" s="28"/>
    </row>
    <row r="28" spans="1:7" ht="18.75" customHeight="1" x14ac:dyDescent="0.25">
      <c r="A28" s="87">
        <v>115</v>
      </c>
      <c r="B28" s="79">
        <v>1.05587E-3</v>
      </c>
      <c r="C28" s="74">
        <v>482.41</v>
      </c>
      <c r="D28" s="74">
        <v>482.6</v>
      </c>
      <c r="E28" s="82">
        <v>1.4737</v>
      </c>
      <c r="F28" s="82"/>
      <c r="G28" s="28"/>
    </row>
    <row r="29" spans="1:7" ht="18.75" customHeight="1" x14ac:dyDescent="0.25">
      <c r="A29" s="87">
        <v>120</v>
      </c>
      <c r="B29" s="81">
        <v>0.98612</v>
      </c>
      <c r="C29" s="72">
        <v>2530.5</v>
      </c>
      <c r="D29" s="72">
        <v>2708</v>
      </c>
      <c r="E29" s="82">
        <v>7.1790000000000003</v>
      </c>
      <c r="F29" s="82"/>
      <c r="G29" s="28"/>
    </row>
    <row r="30" spans="1:7" ht="18.75" customHeight="1" x14ac:dyDescent="0.25">
      <c r="A30" s="87">
        <v>125</v>
      </c>
      <c r="B30" s="82">
        <v>1</v>
      </c>
      <c r="C30" s="72">
        <v>2538.6999999999998</v>
      </c>
      <c r="D30" s="72">
        <v>2718.7</v>
      </c>
      <c r="E30" s="82">
        <v>7.2058999999999997</v>
      </c>
      <c r="F30" s="82"/>
      <c r="G30" s="28"/>
    </row>
    <row r="31" spans="1:7" ht="18.75" customHeight="1" x14ac:dyDescent="0.25">
      <c r="A31" s="87">
        <v>130</v>
      </c>
      <c r="B31" s="82">
        <v>1.0139</v>
      </c>
      <c r="C31" s="72">
        <v>2546.6999999999998</v>
      </c>
      <c r="D31" s="72">
        <v>2729.2</v>
      </c>
      <c r="E31" s="82">
        <v>7.2321999999999997</v>
      </c>
      <c r="F31" s="82"/>
      <c r="G31" s="28"/>
    </row>
    <row r="32" spans="1:7" ht="18.75" customHeight="1" x14ac:dyDescent="0.25">
      <c r="A32" s="87">
        <v>135</v>
      </c>
      <c r="B32" s="82">
        <v>1.0276000000000001</v>
      </c>
      <c r="C32" s="72">
        <v>2554.6999999999998</v>
      </c>
      <c r="D32" s="72">
        <v>2739.7</v>
      </c>
      <c r="E32" s="82">
        <v>7.258</v>
      </c>
      <c r="F32" s="82"/>
      <c r="G32" s="28"/>
    </row>
    <row r="33" spans="1:7" ht="18.75" customHeight="1" x14ac:dyDescent="0.25">
      <c r="A33" s="87">
        <v>140</v>
      </c>
      <c r="B33" s="82">
        <v>1.0412999999999999</v>
      </c>
      <c r="C33" s="72">
        <v>2562.6</v>
      </c>
      <c r="D33" s="72">
        <v>2750</v>
      </c>
      <c r="E33" s="82">
        <v>7.2831999999999999</v>
      </c>
      <c r="F33" s="82"/>
      <c r="G33" s="28"/>
    </row>
    <row r="34" spans="1:7" ht="18.75" customHeight="1" x14ac:dyDescent="0.25">
      <c r="A34" s="87">
        <v>145</v>
      </c>
      <c r="B34" s="82">
        <v>1.0548999999999999</v>
      </c>
      <c r="C34" s="72">
        <v>2570.5</v>
      </c>
      <c r="D34" s="72">
        <v>2760.4</v>
      </c>
      <c r="E34" s="82">
        <v>7.3080999999999996</v>
      </c>
      <c r="F34" s="82"/>
      <c r="G34" s="28"/>
    </row>
    <row r="35" spans="1:7" ht="18.75" customHeight="1" x14ac:dyDescent="0.25">
      <c r="A35" s="87">
        <v>150</v>
      </c>
      <c r="B35" s="82">
        <v>1.0684</v>
      </c>
      <c r="C35" s="72">
        <v>2578.3000000000002</v>
      </c>
      <c r="D35" s="72">
        <v>2770.6</v>
      </c>
      <c r="E35" s="82">
        <v>7.3324999999999996</v>
      </c>
      <c r="F35" s="82"/>
      <c r="G35" s="28"/>
    </row>
    <row r="36" spans="1:7" ht="18.75" customHeight="1" x14ac:dyDescent="0.25">
      <c r="A36" s="87">
        <v>155</v>
      </c>
      <c r="B36" s="82">
        <v>1.0819000000000001</v>
      </c>
      <c r="C36" s="72">
        <v>2586.1999999999998</v>
      </c>
      <c r="D36" s="72">
        <v>2780.9</v>
      </c>
      <c r="E36" s="82">
        <v>7.3564999999999996</v>
      </c>
      <c r="F36" s="82"/>
      <c r="G36" s="28"/>
    </row>
    <row r="37" spans="1:7" ht="18.75" customHeight="1" x14ac:dyDescent="0.25">
      <c r="A37" s="87">
        <v>160</v>
      </c>
      <c r="B37" s="82">
        <v>1.0953999999999999</v>
      </c>
      <c r="C37" s="72">
        <v>2593.8000000000002</v>
      </c>
      <c r="D37" s="72">
        <v>2791</v>
      </c>
      <c r="E37" s="82">
        <v>7.3800999999999997</v>
      </c>
      <c r="F37" s="82"/>
      <c r="G37" s="28"/>
    </row>
    <row r="38" spans="1:7" ht="18.75" customHeight="1" x14ac:dyDescent="0.25">
      <c r="A38" s="87">
        <v>165</v>
      </c>
      <c r="B38" s="82">
        <v>1.1088</v>
      </c>
      <c r="C38" s="72">
        <v>2601.6</v>
      </c>
      <c r="D38" s="72">
        <v>2801.2</v>
      </c>
      <c r="E38" s="82">
        <v>7.4034000000000004</v>
      </c>
      <c r="F38" s="82"/>
      <c r="G38" s="28"/>
    </row>
    <row r="39" spans="1:7" ht="18.75" customHeight="1" x14ac:dyDescent="0.25">
      <c r="A39" s="87">
        <v>170</v>
      </c>
      <c r="B39" s="82">
        <v>1.1222000000000001</v>
      </c>
      <c r="C39" s="72">
        <v>2609.3000000000002</v>
      </c>
      <c r="D39" s="72">
        <v>2811.3</v>
      </c>
      <c r="E39" s="82">
        <v>7.4264000000000001</v>
      </c>
      <c r="F39" s="82"/>
      <c r="G39" s="28"/>
    </row>
    <row r="40" spans="1:7" ht="18.75" customHeight="1" x14ac:dyDescent="0.25">
      <c r="A40" s="87">
        <v>175</v>
      </c>
      <c r="B40" s="82">
        <v>1.1355</v>
      </c>
      <c r="C40" s="72">
        <v>2617</v>
      </c>
      <c r="D40" s="72">
        <v>2821.4</v>
      </c>
      <c r="E40" s="82">
        <v>7.4490999999999996</v>
      </c>
      <c r="F40" s="82"/>
      <c r="G40" s="28"/>
    </row>
    <row r="41" spans="1:7" ht="18.75" customHeight="1" x14ac:dyDescent="0.25">
      <c r="A41" s="87">
        <v>180</v>
      </c>
      <c r="B41" s="82">
        <v>1.1488</v>
      </c>
      <c r="C41" s="72">
        <v>2624.7</v>
      </c>
      <c r="D41" s="72">
        <v>2831.5</v>
      </c>
      <c r="E41" s="82">
        <v>7.4714</v>
      </c>
      <c r="F41" s="82"/>
      <c r="G41" s="28"/>
    </row>
    <row r="42" spans="1:7" ht="18.75" customHeight="1" x14ac:dyDescent="0.25">
      <c r="A42" s="87">
        <v>185</v>
      </c>
      <c r="B42" s="82">
        <v>1.1620999999999999</v>
      </c>
      <c r="C42" s="72">
        <v>2632.4</v>
      </c>
      <c r="D42" s="72">
        <v>2841.6</v>
      </c>
      <c r="E42" s="82">
        <v>7.4935</v>
      </c>
      <c r="F42" s="82"/>
      <c r="G42" s="28"/>
    </row>
    <row r="43" spans="1:7" ht="18.75" customHeight="1" x14ac:dyDescent="0.25">
      <c r="A43" s="87">
        <v>190</v>
      </c>
      <c r="B43" s="82">
        <v>1.1754</v>
      </c>
      <c r="C43" s="72">
        <v>2640</v>
      </c>
      <c r="D43" s="72">
        <v>2851.6</v>
      </c>
      <c r="E43" s="82">
        <v>7.5153999999999996</v>
      </c>
      <c r="F43" s="82"/>
      <c r="G43" s="28"/>
    </row>
    <row r="44" spans="1:7" ht="18.75" customHeight="1" x14ac:dyDescent="0.25">
      <c r="A44" s="87">
        <v>195</v>
      </c>
      <c r="B44" s="82">
        <v>1.1886000000000001</v>
      </c>
      <c r="C44" s="72">
        <v>2647.8</v>
      </c>
      <c r="D44" s="72">
        <v>2861.7</v>
      </c>
      <c r="E44" s="82">
        <v>7.5369000000000002</v>
      </c>
      <c r="F44" s="82"/>
      <c r="G44" s="28"/>
    </row>
    <row r="45" spans="1:7" ht="18.75" customHeight="1" x14ac:dyDescent="0.25">
      <c r="A45" s="87">
        <v>200</v>
      </c>
      <c r="B45" s="82">
        <v>1.2018</v>
      </c>
      <c r="C45" s="72">
        <v>2655.4</v>
      </c>
      <c r="D45" s="72">
        <v>2871.7</v>
      </c>
      <c r="E45" s="82">
        <v>7.5582000000000003</v>
      </c>
      <c r="F45" s="82"/>
      <c r="G45" s="28"/>
    </row>
    <row r="46" spans="1:7" ht="18.75" customHeight="1" x14ac:dyDescent="0.25">
      <c r="A46" s="87">
        <v>210</v>
      </c>
      <c r="B46" s="82">
        <v>1.2282</v>
      </c>
      <c r="C46" s="72">
        <v>2670.6</v>
      </c>
      <c r="D46" s="72">
        <v>2891.7</v>
      </c>
      <c r="E46" s="82">
        <v>7.6002000000000001</v>
      </c>
      <c r="F46" s="82"/>
      <c r="G46" s="28"/>
    </row>
    <row r="47" spans="1:7" ht="18.75" customHeight="1" x14ac:dyDescent="0.25">
      <c r="A47" s="87">
        <v>220</v>
      </c>
      <c r="B47" s="82">
        <v>1.2544999999999999</v>
      </c>
      <c r="C47" s="72">
        <v>2686</v>
      </c>
      <c r="D47" s="72">
        <v>2911.8</v>
      </c>
      <c r="E47" s="82">
        <v>7.6412000000000004</v>
      </c>
      <c r="F47" s="82"/>
      <c r="G47" s="28"/>
    </row>
    <row r="48" spans="1:7" ht="18.75" customHeight="1" x14ac:dyDescent="0.25">
      <c r="A48" s="87">
        <v>230</v>
      </c>
      <c r="B48" s="82">
        <v>1.2806999999999999</v>
      </c>
      <c r="C48" s="72">
        <v>2701.3</v>
      </c>
      <c r="D48" s="72">
        <v>2931.8</v>
      </c>
      <c r="E48" s="82">
        <v>7.6814</v>
      </c>
      <c r="F48" s="82"/>
      <c r="G48" s="28"/>
    </row>
    <row r="49" spans="1:7" ht="18.75" customHeight="1" x14ac:dyDescent="0.25">
      <c r="A49" s="87">
        <v>240</v>
      </c>
      <c r="B49" s="82">
        <v>1.3069</v>
      </c>
      <c r="C49" s="72">
        <v>2716.6</v>
      </c>
      <c r="D49" s="72">
        <v>2951.8</v>
      </c>
      <c r="E49" s="82">
        <v>7.7207999999999997</v>
      </c>
      <c r="F49" s="82"/>
      <c r="G49" s="28"/>
    </row>
    <row r="50" spans="1:7" ht="18.75" customHeight="1" x14ac:dyDescent="0.25">
      <c r="A50" s="87">
        <v>250</v>
      </c>
      <c r="B50" s="82">
        <v>1.333</v>
      </c>
      <c r="C50" s="72">
        <v>2732</v>
      </c>
      <c r="D50" s="72">
        <v>2971.9</v>
      </c>
      <c r="E50" s="82">
        <v>7.7595000000000001</v>
      </c>
      <c r="F50" s="82"/>
      <c r="G50" s="28"/>
    </row>
    <row r="51" spans="1:7" ht="18.75" customHeight="1" x14ac:dyDescent="0.25">
      <c r="A51" s="87">
        <v>260</v>
      </c>
      <c r="B51" s="82">
        <v>1.3591</v>
      </c>
      <c r="C51" s="72">
        <v>2747.3</v>
      </c>
      <c r="D51" s="72">
        <v>2991.9</v>
      </c>
      <c r="E51" s="82">
        <v>7.7975000000000003</v>
      </c>
      <c r="F51" s="82"/>
      <c r="G51" s="28"/>
    </row>
    <row r="52" spans="1:7" ht="18.75" customHeight="1" x14ac:dyDescent="0.25">
      <c r="A52" s="87">
        <v>270</v>
      </c>
      <c r="B52" s="82">
        <v>1.3852</v>
      </c>
      <c r="C52" s="72">
        <v>2762.8</v>
      </c>
      <c r="D52" s="72">
        <v>3012.1</v>
      </c>
      <c r="E52" s="82">
        <v>7.8349000000000002</v>
      </c>
      <c r="F52" s="82"/>
      <c r="G52" s="28"/>
    </row>
    <row r="53" spans="1:7" ht="18.75" customHeight="1" x14ac:dyDescent="0.25">
      <c r="A53" s="87">
        <v>280</v>
      </c>
      <c r="B53" s="82">
        <v>1.4112</v>
      </c>
      <c r="C53" s="72">
        <v>2778.2</v>
      </c>
      <c r="D53" s="72">
        <v>3032.2</v>
      </c>
      <c r="E53" s="82">
        <v>7.8715999999999999</v>
      </c>
      <c r="F53" s="82"/>
      <c r="G53" s="28"/>
    </row>
    <row r="54" spans="1:7" ht="18.75" customHeight="1" x14ac:dyDescent="0.25">
      <c r="A54" s="87">
        <v>290</v>
      </c>
      <c r="B54" s="82">
        <v>1.4372</v>
      </c>
      <c r="C54" s="72">
        <v>2793.7</v>
      </c>
      <c r="D54" s="72">
        <v>3052.4</v>
      </c>
      <c r="E54" s="82">
        <v>7.9077999999999999</v>
      </c>
      <c r="F54" s="82"/>
      <c r="G54" s="28"/>
    </row>
    <row r="55" spans="1:7" ht="18.75" customHeight="1" x14ac:dyDescent="0.25">
      <c r="A55" s="87">
        <v>300</v>
      </c>
      <c r="B55" s="82">
        <v>1.4632000000000001</v>
      </c>
      <c r="C55" s="72">
        <v>2809.2</v>
      </c>
      <c r="D55" s="72">
        <v>3072.6</v>
      </c>
      <c r="E55" s="82">
        <v>7.9432999999999998</v>
      </c>
      <c r="F55" s="82"/>
      <c r="G55" s="28"/>
    </row>
    <row r="56" spans="1:7" ht="18.75" customHeight="1" x14ac:dyDescent="0.25">
      <c r="A56" s="87">
        <v>310</v>
      </c>
      <c r="B56" s="82">
        <v>1.4891000000000001</v>
      </c>
      <c r="C56" s="72">
        <v>2824.8</v>
      </c>
      <c r="D56" s="72">
        <v>3092.8</v>
      </c>
      <c r="E56" s="82">
        <v>7.9783999999999997</v>
      </c>
      <c r="F56" s="82"/>
      <c r="G56" s="28"/>
    </row>
    <row r="57" spans="1:7" ht="18.75" customHeight="1" x14ac:dyDescent="0.25">
      <c r="A57" s="87">
        <v>320</v>
      </c>
      <c r="B57" s="82">
        <v>1.5150999999999999</v>
      </c>
      <c r="C57" s="72">
        <v>2840.4</v>
      </c>
      <c r="D57" s="72">
        <v>3113.1</v>
      </c>
      <c r="E57" s="82">
        <v>8.0129000000000001</v>
      </c>
      <c r="F57" s="82"/>
      <c r="G57" s="28"/>
    </row>
    <row r="58" spans="1:7" ht="18.75" customHeight="1" x14ac:dyDescent="0.25">
      <c r="A58" s="87">
        <v>330</v>
      </c>
      <c r="B58" s="82">
        <v>1.5409999999999999</v>
      </c>
      <c r="C58" s="72">
        <v>2856.1</v>
      </c>
      <c r="D58" s="72">
        <v>3133.5</v>
      </c>
      <c r="E58" s="82">
        <v>8.0469000000000008</v>
      </c>
      <c r="F58" s="82"/>
      <c r="G58" s="28"/>
    </row>
    <row r="59" spans="1:7" ht="18.75" customHeight="1" x14ac:dyDescent="0.25">
      <c r="A59" s="87">
        <v>340</v>
      </c>
      <c r="B59" s="82">
        <v>1.5669</v>
      </c>
      <c r="C59" s="72">
        <v>2871.8</v>
      </c>
      <c r="D59" s="72">
        <v>3153.8</v>
      </c>
      <c r="E59" s="82">
        <v>8.0803999999999991</v>
      </c>
      <c r="F59" s="82"/>
      <c r="G59" s="28"/>
    </row>
    <row r="60" spans="1:7" ht="18.75" customHeight="1" x14ac:dyDescent="0.25">
      <c r="A60" s="87">
        <v>350</v>
      </c>
      <c r="B60" s="82">
        <v>1.5927</v>
      </c>
      <c r="C60" s="72">
        <v>2887.6</v>
      </c>
      <c r="D60" s="72">
        <v>3174.3</v>
      </c>
      <c r="E60" s="82">
        <v>8.1135000000000002</v>
      </c>
      <c r="F60" s="82"/>
      <c r="G60" s="28"/>
    </row>
    <row r="61" spans="1:7" ht="18.75" customHeight="1" x14ac:dyDescent="0.25">
      <c r="A61" s="87">
        <v>360</v>
      </c>
      <c r="B61" s="82">
        <v>1.6186</v>
      </c>
      <c r="C61" s="72">
        <v>2903.5</v>
      </c>
      <c r="D61" s="72">
        <v>3194.8</v>
      </c>
      <c r="E61" s="82">
        <v>8.1461000000000006</v>
      </c>
      <c r="F61" s="82"/>
      <c r="G61" s="28"/>
    </row>
    <row r="62" spans="1:7" ht="18.75" customHeight="1" x14ac:dyDescent="0.25">
      <c r="A62" s="87">
        <v>370</v>
      </c>
      <c r="B62" s="82">
        <v>1.6445000000000001</v>
      </c>
      <c r="C62" s="72">
        <v>2919.3</v>
      </c>
      <c r="D62" s="72">
        <v>3215.3</v>
      </c>
      <c r="E62" s="82">
        <v>8.1783000000000001</v>
      </c>
      <c r="F62" s="82"/>
      <c r="G62" s="28"/>
    </row>
    <row r="63" spans="1:7" ht="18.75" customHeight="1" x14ac:dyDescent="0.25">
      <c r="A63" s="87">
        <v>380</v>
      </c>
      <c r="B63" s="82">
        <v>1.6702999999999999</v>
      </c>
      <c r="C63" s="72">
        <v>2935.2</v>
      </c>
      <c r="D63" s="72">
        <v>3235.9</v>
      </c>
      <c r="E63" s="82">
        <v>8.2101000000000006</v>
      </c>
      <c r="F63" s="82"/>
      <c r="G63" s="28"/>
    </row>
    <row r="64" spans="1:7" ht="18.75" customHeight="1" x14ac:dyDescent="0.25">
      <c r="A64" s="87">
        <v>390</v>
      </c>
      <c r="B64" s="82">
        <v>1.6960999999999999</v>
      </c>
      <c r="C64" s="72">
        <v>2951.3</v>
      </c>
      <c r="D64" s="72">
        <v>3256.6</v>
      </c>
      <c r="E64" s="82">
        <v>8.2415000000000003</v>
      </c>
      <c r="F64" s="82"/>
      <c r="G64" s="28"/>
    </row>
    <row r="65" spans="1:7" ht="18.75" customHeight="1" x14ac:dyDescent="0.25">
      <c r="A65" s="87">
        <v>400</v>
      </c>
      <c r="B65" s="82">
        <v>1.7219</v>
      </c>
      <c r="C65" s="72">
        <v>2967.4</v>
      </c>
      <c r="D65" s="72">
        <v>3277.3</v>
      </c>
      <c r="E65" s="82">
        <v>8.2725000000000009</v>
      </c>
      <c r="F65" s="82"/>
      <c r="G65" s="28"/>
    </row>
    <row r="66" spans="1:7" ht="18.75" customHeight="1" x14ac:dyDescent="0.25">
      <c r="A66" s="87">
        <v>410</v>
      </c>
      <c r="B66" s="82">
        <v>1.7477</v>
      </c>
      <c r="C66" s="72">
        <v>2983.5</v>
      </c>
      <c r="D66" s="72">
        <v>3298.1</v>
      </c>
      <c r="E66" s="82">
        <v>8.3032000000000004</v>
      </c>
      <c r="F66" s="82"/>
      <c r="G66" s="28"/>
    </row>
    <row r="67" spans="1:7" ht="18.75" customHeight="1" x14ac:dyDescent="0.25">
      <c r="A67" s="87">
        <v>420</v>
      </c>
      <c r="B67" s="82">
        <v>1.7735000000000001</v>
      </c>
      <c r="C67" s="72">
        <v>2999.7</v>
      </c>
      <c r="D67" s="72">
        <v>3318.9</v>
      </c>
      <c r="E67" s="82">
        <v>8.3333999999999993</v>
      </c>
      <c r="F67" s="82"/>
      <c r="G67" s="28"/>
    </row>
    <row r="68" spans="1:7" ht="18.75" customHeight="1" x14ac:dyDescent="0.25">
      <c r="A68" s="87">
        <v>430</v>
      </c>
      <c r="B68" s="82">
        <v>1.7992999999999999</v>
      </c>
      <c r="C68" s="72">
        <v>3015.9</v>
      </c>
      <c r="D68" s="72">
        <v>3339.8</v>
      </c>
      <c r="E68" s="82">
        <v>8.3634000000000004</v>
      </c>
      <c r="F68" s="82"/>
      <c r="G68" s="28"/>
    </row>
    <row r="69" spans="1:7" ht="18.75" customHeight="1" x14ac:dyDescent="0.25">
      <c r="A69" s="87">
        <v>440</v>
      </c>
      <c r="B69" s="82">
        <v>1.8250999999999999</v>
      </c>
      <c r="C69" s="72">
        <v>3032.3</v>
      </c>
      <c r="D69" s="72">
        <v>3360.8</v>
      </c>
      <c r="E69" s="82">
        <v>8.3930000000000007</v>
      </c>
      <c r="F69" s="82"/>
      <c r="G69" s="28"/>
    </row>
    <row r="70" spans="1:7" ht="18.75" customHeight="1" x14ac:dyDescent="0.25">
      <c r="A70" s="87">
        <v>450</v>
      </c>
      <c r="B70" s="82">
        <v>1.8509</v>
      </c>
      <c r="C70" s="72">
        <v>3048.6</v>
      </c>
      <c r="D70" s="72">
        <v>3381.8</v>
      </c>
      <c r="E70" s="82">
        <v>8.4222000000000001</v>
      </c>
      <c r="F70" s="82"/>
      <c r="G70" s="28"/>
    </row>
    <row r="71" spans="1:7" ht="18.75" customHeight="1" x14ac:dyDescent="0.25">
      <c r="A71" s="87">
        <v>460</v>
      </c>
      <c r="B71" s="82">
        <v>1.8766</v>
      </c>
      <c r="C71" s="72">
        <v>3065.1</v>
      </c>
      <c r="D71" s="72">
        <v>3402.9</v>
      </c>
      <c r="E71" s="82">
        <v>8.4512</v>
      </c>
      <c r="F71" s="82"/>
      <c r="G71" s="28"/>
    </row>
    <row r="72" spans="1:7" ht="18.75" customHeight="1" x14ac:dyDescent="0.25">
      <c r="A72" s="87">
        <v>470</v>
      </c>
      <c r="B72" s="82">
        <v>1.9024000000000001</v>
      </c>
      <c r="C72" s="72">
        <v>3081.7</v>
      </c>
      <c r="D72" s="72">
        <v>3424.1</v>
      </c>
      <c r="E72" s="82">
        <v>8.4799000000000007</v>
      </c>
      <c r="F72" s="82"/>
      <c r="G72" s="28"/>
    </row>
    <row r="73" spans="1:7" ht="18.75" customHeight="1" x14ac:dyDescent="0.25">
      <c r="A73" s="87">
        <v>480</v>
      </c>
      <c r="B73" s="82">
        <v>1.9281999999999999</v>
      </c>
      <c r="C73" s="72">
        <v>3098.2</v>
      </c>
      <c r="D73" s="72">
        <v>3445.3</v>
      </c>
      <c r="E73" s="82">
        <v>8.5082000000000004</v>
      </c>
      <c r="F73" s="82"/>
      <c r="G73" s="28"/>
    </row>
    <row r="74" spans="1:7" ht="18.75" customHeight="1" x14ac:dyDescent="0.25">
      <c r="A74" s="87">
        <v>490</v>
      </c>
      <c r="B74" s="82">
        <v>1.9539</v>
      </c>
      <c r="C74" s="72">
        <v>3114.8</v>
      </c>
      <c r="D74" s="72">
        <v>3466.5</v>
      </c>
      <c r="E74" s="82">
        <v>8.5363000000000007</v>
      </c>
      <c r="F74" s="82"/>
      <c r="G74" s="28"/>
    </row>
    <row r="75" spans="1:7" ht="18.75" customHeight="1" x14ac:dyDescent="0.25">
      <c r="A75" s="87">
        <v>500</v>
      </c>
      <c r="B75" s="82">
        <v>1.9797</v>
      </c>
      <c r="C75" s="72">
        <v>3131.6</v>
      </c>
      <c r="D75" s="72">
        <v>3487.9</v>
      </c>
      <c r="E75" s="82">
        <v>8.5640999999999998</v>
      </c>
      <c r="F75" s="82"/>
      <c r="G75" s="28"/>
    </row>
    <row r="76" spans="1:7" ht="18.75" customHeight="1" x14ac:dyDescent="0.25">
      <c r="A76" s="87">
        <v>520</v>
      </c>
      <c r="B76" s="82">
        <v>2.0310999999999999</v>
      </c>
      <c r="C76" s="72">
        <v>3165.2</v>
      </c>
      <c r="D76" s="72">
        <v>3530.8</v>
      </c>
      <c r="E76" s="82">
        <v>8.6188000000000002</v>
      </c>
      <c r="F76" s="82"/>
      <c r="G76" s="28"/>
    </row>
    <row r="77" spans="1:7" ht="18.75" customHeight="1" x14ac:dyDescent="0.25">
      <c r="A77" s="87">
        <v>540</v>
      </c>
      <c r="B77" s="82">
        <v>2.0825999999999998</v>
      </c>
      <c r="C77" s="72">
        <v>3199</v>
      </c>
      <c r="D77" s="72">
        <v>3573.9</v>
      </c>
      <c r="E77" s="82">
        <v>8.6724999999999994</v>
      </c>
      <c r="F77" s="82"/>
      <c r="G77" s="28"/>
    </row>
    <row r="78" spans="1:7" ht="18.75" customHeight="1" x14ac:dyDescent="0.25">
      <c r="A78" s="87">
        <v>560</v>
      </c>
      <c r="B78" s="82">
        <v>2.1339999999999999</v>
      </c>
      <c r="C78" s="72">
        <v>3233.2</v>
      </c>
      <c r="D78" s="72">
        <v>3617.3</v>
      </c>
      <c r="E78" s="82">
        <v>8.7253000000000007</v>
      </c>
      <c r="F78" s="82"/>
      <c r="G78" s="28"/>
    </row>
    <row r="79" spans="1:7" ht="18.75" customHeight="1" x14ac:dyDescent="0.25">
      <c r="A79" s="87">
        <v>580</v>
      </c>
      <c r="B79" s="82">
        <v>2.1855000000000002</v>
      </c>
      <c r="C79" s="72">
        <v>3267.6</v>
      </c>
      <c r="D79" s="72">
        <v>3661</v>
      </c>
      <c r="E79" s="82">
        <v>8.7771000000000008</v>
      </c>
      <c r="F79" s="82"/>
      <c r="G79" s="28"/>
    </row>
    <row r="80" spans="1:7" ht="18.75" customHeight="1" x14ac:dyDescent="0.25">
      <c r="A80" s="87">
        <v>600</v>
      </c>
      <c r="B80" s="82">
        <v>2.2368999999999999</v>
      </c>
      <c r="C80" s="72">
        <v>3302.4</v>
      </c>
      <c r="D80" s="72">
        <v>3705</v>
      </c>
      <c r="E80" s="82">
        <v>8.8279999999999994</v>
      </c>
      <c r="F80" s="82"/>
      <c r="G80" s="28"/>
    </row>
    <row r="81" spans="1:7" ht="18.75" customHeight="1" x14ac:dyDescent="0.25">
      <c r="A81" s="87">
        <v>620</v>
      </c>
      <c r="B81" s="82">
        <v>2.2883</v>
      </c>
      <c r="C81" s="72">
        <v>3337.3</v>
      </c>
      <c r="D81" s="72">
        <v>3749.2</v>
      </c>
      <c r="E81" s="82">
        <v>8.8780999999999999</v>
      </c>
      <c r="F81" s="82"/>
      <c r="G81" s="28"/>
    </row>
    <row r="82" spans="1:7" ht="18.75" customHeight="1" x14ac:dyDescent="0.25">
      <c r="A82" s="87">
        <v>640</v>
      </c>
      <c r="B82" s="82">
        <v>2.3397000000000001</v>
      </c>
      <c r="C82" s="72">
        <v>3372.6</v>
      </c>
      <c r="D82" s="72">
        <v>3793.7</v>
      </c>
      <c r="E82" s="82">
        <v>8.9274000000000004</v>
      </c>
      <c r="F82" s="82"/>
      <c r="G82" s="28"/>
    </row>
    <row r="83" spans="1:7" ht="18.75" customHeight="1" x14ac:dyDescent="0.25">
      <c r="A83" s="87">
        <v>660</v>
      </c>
      <c r="B83" s="82">
        <v>2.3910999999999998</v>
      </c>
      <c r="C83" s="72">
        <v>3408.1</v>
      </c>
      <c r="D83" s="72">
        <v>3838.5</v>
      </c>
      <c r="E83" s="82">
        <v>8.9758999999999993</v>
      </c>
      <c r="F83" s="82"/>
      <c r="G83" s="28"/>
    </row>
    <row r="84" spans="1:7" ht="18.75" customHeight="1" x14ac:dyDescent="0.25">
      <c r="A84" s="87">
        <v>680</v>
      </c>
      <c r="B84" s="82">
        <v>2.4424999999999999</v>
      </c>
      <c r="C84" s="72">
        <v>3444</v>
      </c>
      <c r="D84" s="72">
        <v>3883.6</v>
      </c>
      <c r="E84" s="82">
        <v>9.0236999999999998</v>
      </c>
      <c r="F84" s="82"/>
      <c r="G84" s="28"/>
    </row>
    <row r="85" spans="1:7" ht="18.75" customHeight="1" x14ac:dyDescent="0.25">
      <c r="A85" s="87">
        <v>700</v>
      </c>
      <c r="B85" s="82">
        <v>2.4937999999999998</v>
      </c>
      <c r="C85" s="72">
        <v>3480</v>
      </c>
      <c r="D85" s="72">
        <v>3928.9</v>
      </c>
      <c r="E85" s="82">
        <v>9.0708000000000002</v>
      </c>
      <c r="F85" s="82"/>
      <c r="G85" s="28"/>
    </row>
    <row r="86" spans="1:7" ht="18.75" customHeight="1" x14ac:dyDescent="0.25">
      <c r="A86" s="87">
        <v>720</v>
      </c>
      <c r="B86" s="82">
        <v>2.5451999999999999</v>
      </c>
      <c r="C86" s="72">
        <v>3516.4</v>
      </c>
      <c r="D86" s="72">
        <v>3974.5</v>
      </c>
      <c r="E86" s="82">
        <v>9.1172000000000004</v>
      </c>
      <c r="F86" s="82"/>
      <c r="G86" s="28"/>
    </row>
    <row r="87" spans="1:7" ht="18.75" customHeight="1" x14ac:dyDescent="0.25">
      <c r="A87" s="87">
        <v>740</v>
      </c>
      <c r="B87" s="82">
        <v>2.5966</v>
      </c>
      <c r="C87" s="72">
        <v>3553</v>
      </c>
      <c r="D87" s="72">
        <v>4020.4</v>
      </c>
      <c r="E87" s="82">
        <v>9.1629000000000005</v>
      </c>
      <c r="F87" s="82"/>
      <c r="G87" s="28"/>
    </row>
    <row r="88" spans="1:7" ht="18.75" customHeight="1" x14ac:dyDescent="0.25">
      <c r="A88" s="87">
        <v>760</v>
      </c>
      <c r="B88" s="82">
        <v>2.6478999999999999</v>
      </c>
      <c r="C88" s="72">
        <v>3590</v>
      </c>
      <c r="D88" s="72">
        <v>4066.6</v>
      </c>
      <c r="E88" s="82">
        <v>9.2081</v>
      </c>
      <c r="F88" s="82"/>
      <c r="G88" s="28"/>
    </row>
    <row r="89" spans="1:7" ht="18.75" customHeight="1" x14ac:dyDescent="0.25">
      <c r="A89" s="87">
        <v>780</v>
      </c>
      <c r="B89" s="82">
        <v>2.6993</v>
      </c>
      <c r="C89" s="72">
        <v>3627.2</v>
      </c>
      <c r="D89" s="72">
        <v>4113.1000000000004</v>
      </c>
      <c r="E89" s="82">
        <v>9.2525999999999993</v>
      </c>
      <c r="F89" s="82"/>
      <c r="G89" s="28"/>
    </row>
    <row r="90" spans="1:7" ht="18.75" customHeight="1" x14ac:dyDescent="0.25">
      <c r="A90" s="87">
        <v>800</v>
      </c>
      <c r="B90" s="82">
        <v>2.7505999999999999</v>
      </c>
      <c r="C90" s="72">
        <v>3664.7</v>
      </c>
      <c r="D90" s="72">
        <v>4159.8</v>
      </c>
      <c r="E90" s="82">
        <v>9.2965999999999998</v>
      </c>
      <c r="F90" s="82"/>
      <c r="G90" s="28"/>
    </row>
    <row r="91" spans="1:7" ht="18.75" customHeight="1" x14ac:dyDescent="0.25">
      <c r="A91" s="87">
        <v>820</v>
      </c>
      <c r="B91" s="82">
        <v>2.802</v>
      </c>
      <c r="C91" s="72">
        <v>3702.5</v>
      </c>
      <c r="D91" s="72">
        <v>4206.8999999999996</v>
      </c>
      <c r="E91" s="82">
        <v>9.34</v>
      </c>
      <c r="F91" s="82"/>
      <c r="G91" s="28"/>
    </row>
    <row r="92" spans="1:7" ht="18.75" customHeight="1" x14ac:dyDescent="0.25">
      <c r="A92" s="87">
        <v>840</v>
      </c>
      <c r="B92" s="82">
        <v>2.8532999999999999</v>
      </c>
      <c r="C92" s="72">
        <v>3740.6</v>
      </c>
      <c r="D92" s="72">
        <v>4254.2</v>
      </c>
      <c r="E92" s="82">
        <v>9.3828999999999994</v>
      </c>
      <c r="F92" s="82"/>
      <c r="G92" s="28"/>
    </row>
    <row r="93" spans="1:7" ht="18.75" customHeight="1" x14ac:dyDescent="0.25">
      <c r="A93" s="87">
        <v>860</v>
      </c>
      <c r="B93" s="82">
        <v>2.9047000000000001</v>
      </c>
      <c r="C93" s="72">
        <v>3778.9</v>
      </c>
      <c r="D93" s="72">
        <v>4301.7</v>
      </c>
      <c r="E93" s="82">
        <v>9.4253</v>
      </c>
      <c r="F93" s="82"/>
      <c r="G93" s="28"/>
    </row>
    <row r="94" spans="1:7" ht="18.75" customHeight="1" x14ac:dyDescent="0.25">
      <c r="A94" s="87">
        <v>880</v>
      </c>
      <c r="B94" s="82">
        <v>2.956</v>
      </c>
      <c r="C94" s="72">
        <v>3817.5</v>
      </c>
      <c r="D94" s="72">
        <v>4349.6000000000004</v>
      </c>
      <c r="E94" s="82">
        <v>9.4671000000000003</v>
      </c>
      <c r="F94" s="82"/>
      <c r="G94" s="28"/>
    </row>
    <row r="95" spans="1:7" ht="18.75" customHeight="1" x14ac:dyDescent="0.25">
      <c r="A95" s="87">
        <v>900</v>
      </c>
      <c r="B95" s="82">
        <v>3.0072999999999999</v>
      </c>
      <c r="C95" s="72">
        <v>3856.4</v>
      </c>
      <c r="D95" s="72">
        <v>4397.7</v>
      </c>
      <c r="E95" s="82">
        <v>9.5084999999999997</v>
      </c>
      <c r="F95" s="82"/>
      <c r="G95" s="28"/>
    </row>
    <row r="96" spans="1:7" ht="18.75" customHeight="1" x14ac:dyDescent="0.25">
      <c r="A96" s="87">
        <v>920</v>
      </c>
      <c r="B96" s="82">
        <v>3.0587</v>
      </c>
      <c r="C96" s="72">
        <v>3895.5</v>
      </c>
      <c r="D96" s="72">
        <v>4446.1000000000004</v>
      </c>
      <c r="E96" s="82">
        <v>9.5494000000000003</v>
      </c>
      <c r="F96" s="82"/>
      <c r="G96" s="28"/>
    </row>
    <row r="97" spans="1:7" ht="18.75" customHeight="1" x14ac:dyDescent="0.25">
      <c r="A97" s="87">
        <v>940</v>
      </c>
      <c r="B97" s="82">
        <v>3.11</v>
      </c>
      <c r="C97" s="72">
        <v>3935</v>
      </c>
      <c r="D97" s="72">
        <v>4494.8</v>
      </c>
      <c r="E97" s="82">
        <v>9.5898000000000003</v>
      </c>
      <c r="F97" s="82"/>
      <c r="G97" s="28"/>
    </row>
    <row r="98" spans="1:7" ht="18.75" customHeight="1" x14ac:dyDescent="0.25">
      <c r="A98" s="87">
        <v>960</v>
      </c>
      <c r="B98" s="82">
        <v>3.1613000000000002</v>
      </c>
      <c r="C98" s="72">
        <v>3974.7</v>
      </c>
      <c r="D98" s="72">
        <v>4543.7</v>
      </c>
      <c r="E98" s="82">
        <v>9.6297999999999995</v>
      </c>
      <c r="F98" s="82"/>
      <c r="G98" s="28"/>
    </row>
    <row r="99" spans="1:7" ht="18.75" customHeight="1" x14ac:dyDescent="0.25">
      <c r="A99" s="87">
        <v>980</v>
      </c>
      <c r="B99" s="82">
        <v>3.2126999999999999</v>
      </c>
      <c r="C99" s="72">
        <v>4014.6</v>
      </c>
      <c r="D99" s="72">
        <v>4592.8999999999996</v>
      </c>
      <c r="E99" s="82">
        <v>9.6693999999999996</v>
      </c>
      <c r="F99" s="82"/>
      <c r="G99" s="28"/>
    </row>
    <row r="100" spans="1:7" ht="13.8" x14ac:dyDescent="0.25">
      <c r="A100" s="87">
        <v>1000</v>
      </c>
      <c r="B100" s="82">
        <v>3.2639999999999998</v>
      </c>
      <c r="C100" s="72">
        <v>4054.8</v>
      </c>
      <c r="D100" s="72">
        <v>4642.3</v>
      </c>
      <c r="E100" s="82">
        <v>9.7085000000000008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100"/>
  <sheetViews>
    <sheetView topLeftCell="A12" workbookViewId="0">
      <selection activeCell="A30" sqref="A30:XFD30"/>
    </sheetView>
  </sheetViews>
  <sheetFormatPr defaultRowHeight="13.2" x14ac:dyDescent="0.25"/>
  <cols>
    <col min="1" max="1" width="6.21875" customWidth="1"/>
    <col min="2" max="2" width="11.441406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49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200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1.00011E-3</v>
      </c>
      <c r="C5" s="74">
        <v>-0.04</v>
      </c>
      <c r="D5" s="74">
        <v>0.16</v>
      </c>
      <c r="E5" s="81">
        <v>-1.3999999999999999E-4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9.9997999999999992E-4</v>
      </c>
      <c r="C6" s="74">
        <v>21.02</v>
      </c>
      <c r="D6" s="74">
        <v>21.22</v>
      </c>
      <c r="E6" s="81">
        <v>7.6249999999999998E-2</v>
      </c>
      <c r="F6" s="81"/>
      <c r="G6" s="28"/>
      <c r="H6" s="28"/>
    </row>
    <row r="7" spans="1:8" ht="18.75" customHeight="1" x14ac:dyDescent="0.25">
      <c r="A7" s="7">
        <v>10</v>
      </c>
      <c r="B7" s="79">
        <v>1.0002500000000001E-3</v>
      </c>
      <c r="C7" s="74">
        <v>42.02</v>
      </c>
      <c r="D7" s="74">
        <v>42.22</v>
      </c>
      <c r="E7" s="81">
        <v>0.15107000000000001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1.00085E-3</v>
      </c>
      <c r="C8" s="74">
        <v>62.97</v>
      </c>
      <c r="D8" s="74">
        <v>63.17</v>
      </c>
      <c r="E8" s="81">
        <v>0.22442999999999999</v>
      </c>
      <c r="F8" s="81"/>
      <c r="G8" s="28"/>
      <c r="H8" s="28"/>
    </row>
    <row r="9" spans="1:8" ht="18.75" customHeight="1" x14ac:dyDescent="0.25">
      <c r="A9" s="7">
        <v>20</v>
      </c>
      <c r="B9" s="79">
        <v>1.00175E-3</v>
      </c>
      <c r="C9" s="74">
        <v>83.9</v>
      </c>
      <c r="D9" s="74">
        <v>84.1</v>
      </c>
      <c r="E9" s="81">
        <v>0.29643999999999998</v>
      </c>
      <c r="F9" s="81"/>
      <c r="G9" s="28"/>
      <c r="H9" s="28"/>
    </row>
    <row r="10" spans="1:8" ht="18.75" customHeight="1" x14ac:dyDescent="0.25">
      <c r="A10" s="7">
        <v>25</v>
      </c>
      <c r="B10" s="79">
        <v>1.00292E-3</v>
      </c>
      <c r="C10" s="74">
        <v>104.81</v>
      </c>
      <c r="D10" s="74">
        <v>105.01</v>
      </c>
      <c r="E10" s="81">
        <v>0.36717</v>
      </c>
      <c r="F10" s="81"/>
      <c r="G10" s="28"/>
    </row>
    <row r="11" spans="1:8" ht="18.75" customHeight="1" x14ac:dyDescent="0.25">
      <c r="A11" s="7">
        <v>30</v>
      </c>
      <c r="B11" s="79">
        <v>1.0043299999999999E-3</v>
      </c>
      <c r="C11" s="74">
        <v>125.71</v>
      </c>
      <c r="D11" s="74">
        <v>125.91</v>
      </c>
      <c r="E11" s="81">
        <v>0.43669999999999998</v>
      </c>
      <c r="F11" s="81"/>
      <c r="G11" s="28"/>
    </row>
    <row r="12" spans="1:8" ht="18.75" customHeight="1" x14ac:dyDescent="0.25">
      <c r="A12" s="7">
        <v>35</v>
      </c>
      <c r="B12" s="79">
        <v>1.00596E-3</v>
      </c>
      <c r="C12" s="74">
        <v>146.61000000000001</v>
      </c>
      <c r="D12" s="74">
        <v>146.81</v>
      </c>
      <c r="E12" s="81">
        <v>0.50505999999999995</v>
      </c>
      <c r="F12" s="81"/>
      <c r="G12" s="28"/>
    </row>
    <row r="13" spans="1:8" ht="18.75" customHeight="1" x14ac:dyDescent="0.25">
      <c r="A13" s="7">
        <v>40</v>
      </c>
      <c r="B13" s="79">
        <v>1.0078000000000001E-3</v>
      </c>
      <c r="C13" s="74">
        <v>167.5</v>
      </c>
      <c r="D13" s="74">
        <v>167.7</v>
      </c>
      <c r="E13" s="81">
        <v>0.57233000000000001</v>
      </c>
      <c r="F13" s="81"/>
      <c r="G13" s="28"/>
    </row>
    <row r="14" spans="1:8" ht="18.75" customHeight="1" x14ac:dyDescent="0.25">
      <c r="A14" s="7">
        <v>45</v>
      </c>
      <c r="B14" s="79">
        <v>1.0098399999999999E-3</v>
      </c>
      <c r="C14" s="74">
        <v>188.4</v>
      </c>
      <c r="D14" s="74">
        <v>188.6</v>
      </c>
      <c r="E14" s="81">
        <v>0.63853000000000004</v>
      </c>
      <c r="F14" s="81"/>
      <c r="G14" s="28"/>
    </row>
    <row r="15" spans="1:8" ht="18.75" customHeight="1" x14ac:dyDescent="0.25">
      <c r="A15" s="7">
        <v>50</v>
      </c>
      <c r="B15" s="79">
        <v>1.0120699999999999E-3</v>
      </c>
      <c r="C15" s="74">
        <v>209.3</v>
      </c>
      <c r="D15" s="74">
        <v>209.5</v>
      </c>
      <c r="E15" s="81">
        <v>0.70372000000000001</v>
      </c>
      <c r="F15" s="81"/>
      <c r="G15" s="28"/>
    </row>
    <row r="16" spans="1:8" ht="18.75" customHeight="1" x14ac:dyDescent="0.25">
      <c r="A16" s="7">
        <v>55</v>
      </c>
      <c r="B16" s="79">
        <v>1.01447E-3</v>
      </c>
      <c r="C16" s="74">
        <v>230.21</v>
      </c>
      <c r="D16" s="74">
        <v>230.41</v>
      </c>
      <c r="E16" s="81">
        <v>0.76793</v>
      </c>
      <c r="F16" s="81"/>
      <c r="G16" s="28"/>
    </row>
    <row r="17" spans="1:7" ht="18.75" customHeight="1" x14ac:dyDescent="0.25">
      <c r="A17" s="7">
        <v>60</v>
      </c>
      <c r="B17" s="79">
        <v>1.01705E-3</v>
      </c>
      <c r="C17" s="74">
        <v>251.13</v>
      </c>
      <c r="D17" s="74">
        <v>251.33</v>
      </c>
      <c r="E17" s="81">
        <v>0.83120000000000005</v>
      </c>
      <c r="F17" s="81"/>
      <c r="G17" s="28"/>
    </row>
    <row r="18" spans="1:7" ht="18.75" customHeight="1" x14ac:dyDescent="0.25">
      <c r="A18" s="7">
        <v>65</v>
      </c>
      <c r="B18" s="79">
        <v>1.01979E-3</v>
      </c>
      <c r="C18" s="74">
        <v>272.06</v>
      </c>
      <c r="D18" s="74">
        <v>272.26</v>
      </c>
      <c r="E18" s="81">
        <v>0.89354999999999996</v>
      </c>
      <c r="F18" s="81"/>
      <c r="G18" s="28"/>
    </row>
    <row r="19" spans="1:7" ht="18.75" customHeight="1" x14ac:dyDescent="0.25">
      <c r="A19" s="7">
        <v>70</v>
      </c>
      <c r="B19" s="79">
        <v>1.0227000000000001E-3</v>
      </c>
      <c r="C19" s="74">
        <v>293</v>
      </c>
      <c r="D19" s="74">
        <v>293.2</v>
      </c>
      <c r="E19" s="81">
        <v>0.95503000000000005</v>
      </c>
      <c r="F19" s="81"/>
      <c r="G19" s="28"/>
    </row>
    <row r="20" spans="1:7" ht="18.75" customHeight="1" x14ac:dyDescent="0.25">
      <c r="A20" s="7">
        <v>75</v>
      </c>
      <c r="B20" s="79">
        <v>1.0257599999999999E-3</v>
      </c>
      <c r="C20" s="74">
        <v>313.95</v>
      </c>
      <c r="D20" s="74">
        <v>314.16000000000003</v>
      </c>
      <c r="E20" s="82">
        <v>1.0157</v>
      </c>
      <c r="F20" s="82"/>
      <c r="G20" s="28"/>
    </row>
    <row r="21" spans="1:7" ht="18.75" customHeight="1" x14ac:dyDescent="0.25">
      <c r="A21" s="7">
        <v>80</v>
      </c>
      <c r="B21" s="79">
        <v>1.0289800000000001E-3</v>
      </c>
      <c r="C21" s="74">
        <v>334.92</v>
      </c>
      <c r="D21" s="74">
        <v>335.13</v>
      </c>
      <c r="E21" s="82">
        <v>1.0754999999999999</v>
      </c>
      <c r="F21" s="82"/>
      <c r="G21" s="28"/>
    </row>
    <row r="22" spans="1:7" ht="18.75" customHeight="1" x14ac:dyDescent="0.25">
      <c r="A22" s="7">
        <v>85</v>
      </c>
      <c r="B22" s="79">
        <v>1.03236E-3</v>
      </c>
      <c r="C22" s="74">
        <v>355.92</v>
      </c>
      <c r="D22" s="74">
        <v>356.13</v>
      </c>
      <c r="E22" s="82">
        <v>1.1345000000000001</v>
      </c>
      <c r="F22" s="82"/>
      <c r="G22" s="28"/>
    </row>
    <row r="23" spans="1:7" ht="18.75" customHeight="1" x14ac:dyDescent="0.25">
      <c r="A23" s="7">
        <v>90</v>
      </c>
      <c r="B23" s="79">
        <v>1.03589E-3</v>
      </c>
      <c r="C23" s="74">
        <v>376.93</v>
      </c>
      <c r="D23" s="74">
        <v>377.14</v>
      </c>
      <c r="E23" s="82">
        <v>1.1928000000000001</v>
      </c>
      <c r="F23" s="82"/>
      <c r="G23" s="28"/>
    </row>
    <row r="24" spans="1:7" ht="18.75" customHeight="1" x14ac:dyDescent="0.25">
      <c r="A24" s="7">
        <v>95</v>
      </c>
      <c r="B24" s="79">
        <v>1.0395700000000001E-3</v>
      </c>
      <c r="C24" s="74">
        <v>397.97</v>
      </c>
      <c r="D24" s="74">
        <v>398.18</v>
      </c>
      <c r="E24" s="82">
        <v>1.2503</v>
      </c>
      <c r="F24" s="82"/>
      <c r="G24" s="28"/>
    </row>
    <row r="25" spans="1:7" ht="18.75" customHeight="1" x14ac:dyDescent="0.25">
      <c r="A25" s="7">
        <v>100</v>
      </c>
      <c r="B25" s="79">
        <v>1.04341E-3</v>
      </c>
      <c r="C25" s="74">
        <v>419.03</v>
      </c>
      <c r="D25" s="74">
        <v>419.24</v>
      </c>
      <c r="E25" s="82">
        <v>1.3070999999999999</v>
      </c>
      <c r="F25" s="82"/>
      <c r="G25" s="28"/>
    </row>
    <row r="26" spans="1:7" ht="18.75" customHeight="1" x14ac:dyDescent="0.25">
      <c r="A26" s="7">
        <v>105</v>
      </c>
      <c r="B26" s="79">
        <v>1.0474E-3</v>
      </c>
      <c r="C26" s="74">
        <v>440.12</v>
      </c>
      <c r="D26" s="74">
        <v>440.33</v>
      </c>
      <c r="E26" s="82">
        <v>1.3633</v>
      </c>
      <c r="F26" s="82"/>
      <c r="G26" s="28"/>
    </row>
    <row r="27" spans="1:7" ht="18.75" customHeight="1" x14ac:dyDescent="0.25">
      <c r="A27" s="7">
        <v>110</v>
      </c>
      <c r="B27" s="79">
        <v>1.0515500000000001E-3</v>
      </c>
      <c r="C27" s="74">
        <v>461.25</v>
      </c>
      <c r="D27" s="74">
        <v>461.46</v>
      </c>
      <c r="E27" s="82">
        <v>1.4188000000000001</v>
      </c>
      <c r="F27" s="82"/>
      <c r="G27" s="28"/>
    </row>
    <row r="28" spans="1:7" ht="18.75" customHeight="1" x14ac:dyDescent="0.25">
      <c r="A28" s="7">
        <v>115</v>
      </c>
      <c r="B28" s="79">
        <v>1.05586E-3</v>
      </c>
      <c r="C28" s="74">
        <v>482.41</v>
      </c>
      <c r="D28" s="74">
        <v>482.62</v>
      </c>
      <c r="E28" s="82">
        <v>1.4736</v>
      </c>
      <c r="F28" s="82"/>
      <c r="G28" s="28"/>
    </row>
    <row r="29" spans="1:7" ht="18.75" customHeight="1" x14ac:dyDescent="0.25">
      <c r="A29" s="7">
        <v>120</v>
      </c>
      <c r="B29" s="79">
        <v>1.06032E-3</v>
      </c>
      <c r="C29" s="74">
        <v>503.6</v>
      </c>
      <c r="D29" s="74">
        <v>503.81</v>
      </c>
      <c r="E29" s="82">
        <v>1.5279</v>
      </c>
      <c r="F29" s="82"/>
      <c r="G29" s="28"/>
    </row>
    <row r="30" spans="1:7" ht="18.75" customHeight="1" x14ac:dyDescent="0.25">
      <c r="A30" s="7">
        <v>125</v>
      </c>
      <c r="B30" s="81">
        <v>0.89781</v>
      </c>
      <c r="C30" s="72">
        <v>2537</v>
      </c>
      <c r="D30" s="72">
        <v>2716.6</v>
      </c>
      <c r="E30" s="82">
        <v>7.1531000000000002</v>
      </c>
      <c r="F30" s="82"/>
      <c r="G30" s="28"/>
    </row>
    <row r="31" spans="1:7" ht="18.75" customHeight="1" x14ac:dyDescent="0.25">
      <c r="A31" s="7">
        <v>130</v>
      </c>
      <c r="B31" s="81">
        <v>0.91037000000000001</v>
      </c>
      <c r="C31" s="72">
        <v>2545.1999999999998</v>
      </c>
      <c r="D31" s="72">
        <v>2727.3</v>
      </c>
      <c r="E31" s="82">
        <v>7.1797000000000004</v>
      </c>
      <c r="F31" s="82"/>
      <c r="G31" s="28"/>
    </row>
    <row r="32" spans="1:7" ht="18.75" customHeight="1" x14ac:dyDescent="0.25">
      <c r="A32" s="7">
        <v>135</v>
      </c>
      <c r="B32" s="81">
        <v>0.92283999999999999</v>
      </c>
      <c r="C32" s="72">
        <v>2553.1999999999998</v>
      </c>
      <c r="D32" s="72">
        <v>2737.8</v>
      </c>
      <c r="E32" s="82">
        <v>7.2058</v>
      </c>
      <c r="F32" s="82"/>
      <c r="G32" s="28"/>
    </row>
    <row r="33" spans="1:7" ht="18.75" customHeight="1" x14ac:dyDescent="0.25">
      <c r="A33" s="7">
        <v>140</v>
      </c>
      <c r="B33" s="81">
        <v>0.93523999999999996</v>
      </c>
      <c r="C33" s="72">
        <v>2561.3000000000002</v>
      </c>
      <c r="D33" s="72">
        <v>2748.3</v>
      </c>
      <c r="E33" s="82">
        <v>7.2313000000000001</v>
      </c>
      <c r="F33" s="82"/>
      <c r="G33" s="28"/>
    </row>
    <row r="34" spans="1:7" ht="18.75" customHeight="1" x14ac:dyDescent="0.25">
      <c r="A34" s="7">
        <v>145</v>
      </c>
      <c r="B34" s="81">
        <v>0.94757999999999998</v>
      </c>
      <c r="C34" s="72">
        <v>2569.1999999999998</v>
      </c>
      <c r="D34" s="72">
        <v>2758.7</v>
      </c>
      <c r="E34" s="82">
        <v>7.2564000000000002</v>
      </c>
      <c r="F34" s="82"/>
      <c r="G34" s="28"/>
    </row>
    <row r="35" spans="1:7" ht="18.75" customHeight="1" x14ac:dyDescent="0.25">
      <c r="A35" s="7">
        <v>150</v>
      </c>
      <c r="B35" s="81">
        <v>0.95986000000000005</v>
      </c>
      <c r="C35" s="72">
        <v>2577.1</v>
      </c>
      <c r="D35" s="72">
        <v>2769.1</v>
      </c>
      <c r="E35" s="82">
        <v>7.2809999999999997</v>
      </c>
      <c r="F35" s="82"/>
      <c r="G35" s="28"/>
    </row>
    <row r="36" spans="1:7" ht="18.75" customHeight="1" x14ac:dyDescent="0.25">
      <c r="A36" s="7">
        <v>155</v>
      </c>
      <c r="B36" s="81">
        <v>0.97208000000000006</v>
      </c>
      <c r="C36" s="72">
        <v>2585</v>
      </c>
      <c r="D36" s="72">
        <v>2779.4</v>
      </c>
      <c r="E36" s="82">
        <v>7.3052000000000001</v>
      </c>
      <c r="F36" s="82"/>
      <c r="G36" s="28"/>
    </row>
    <row r="37" spans="1:7" ht="18.75" customHeight="1" x14ac:dyDescent="0.25">
      <c r="A37" s="7">
        <v>160</v>
      </c>
      <c r="B37" s="81">
        <v>0.98426000000000002</v>
      </c>
      <c r="C37" s="72">
        <v>2592.8000000000002</v>
      </c>
      <c r="D37" s="72">
        <v>2789.7</v>
      </c>
      <c r="E37" s="82">
        <v>7.3289999999999997</v>
      </c>
      <c r="F37" s="82"/>
      <c r="G37" s="28"/>
    </row>
    <row r="38" spans="1:7" ht="18.75" customHeight="1" x14ac:dyDescent="0.25">
      <c r="A38" s="7">
        <v>165</v>
      </c>
      <c r="B38" s="81">
        <v>0.99639999999999995</v>
      </c>
      <c r="C38" s="72">
        <v>2600.6</v>
      </c>
      <c r="D38" s="72">
        <v>2799.9</v>
      </c>
      <c r="E38" s="82">
        <v>7.3525</v>
      </c>
      <c r="F38" s="82"/>
      <c r="G38" s="28"/>
    </row>
    <row r="39" spans="1:7" ht="18.75" customHeight="1" x14ac:dyDescent="0.25">
      <c r="A39" s="7">
        <v>170</v>
      </c>
      <c r="B39" s="82">
        <v>1.0085</v>
      </c>
      <c r="C39" s="72">
        <v>2608.4</v>
      </c>
      <c r="D39" s="72">
        <v>2810.1</v>
      </c>
      <c r="E39" s="82">
        <v>7.3756000000000004</v>
      </c>
      <c r="F39" s="82"/>
      <c r="G39" s="28"/>
    </row>
    <row r="40" spans="1:7" ht="18.75" customHeight="1" x14ac:dyDescent="0.25">
      <c r="A40" s="7">
        <v>175</v>
      </c>
      <c r="B40" s="82">
        <v>1.0206</v>
      </c>
      <c r="C40" s="72">
        <v>2616.1</v>
      </c>
      <c r="D40" s="72">
        <v>2820.2</v>
      </c>
      <c r="E40" s="82">
        <v>7.3983999999999996</v>
      </c>
      <c r="F40" s="82"/>
      <c r="G40" s="28"/>
    </row>
    <row r="41" spans="1:7" ht="18.75" customHeight="1" x14ac:dyDescent="0.25">
      <c r="A41" s="7">
        <v>180</v>
      </c>
      <c r="B41" s="82">
        <v>1.0326</v>
      </c>
      <c r="C41" s="72">
        <v>2623.9</v>
      </c>
      <c r="D41" s="72">
        <v>2830.4</v>
      </c>
      <c r="E41" s="82">
        <v>7.4208999999999996</v>
      </c>
      <c r="F41" s="82"/>
      <c r="G41" s="28"/>
    </row>
    <row r="42" spans="1:7" ht="18.75" customHeight="1" x14ac:dyDescent="0.25">
      <c r="A42" s="7">
        <v>185</v>
      </c>
      <c r="B42" s="82">
        <v>1.0446</v>
      </c>
      <c r="C42" s="72">
        <v>2631.6</v>
      </c>
      <c r="D42" s="72">
        <v>2840.5</v>
      </c>
      <c r="E42" s="82">
        <v>7.4431000000000003</v>
      </c>
      <c r="F42" s="82"/>
      <c r="G42" s="28"/>
    </row>
    <row r="43" spans="1:7" ht="18.75" customHeight="1" x14ac:dyDescent="0.25">
      <c r="A43" s="7">
        <v>190</v>
      </c>
      <c r="B43" s="82">
        <v>1.0566</v>
      </c>
      <c r="C43" s="72">
        <v>2639.3</v>
      </c>
      <c r="D43" s="72">
        <v>2850.6</v>
      </c>
      <c r="E43" s="82">
        <v>7.4649999999999999</v>
      </c>
      <c r="F43" s="82"/>
      <c r="G43" s="28"/>
    </row>
    <row r="44" spans="1:7" ht="18.75" customHeight="1" x14ac:dyDescent="0.25">
      <c r="A44" s="7">
        <v>195</v>
      </c>
      <c r="B44" s="82">
        <v>1.0685</v>
      </c>
      <c r="C44" s="72">
        <v>2647</v>
      </c>
      <c r="D44" s="72">
        <v>2860.7</v>
      </c>
      <c r="E44" s="82">
        <v>7.4866999999999999</v>
      </c>
      <c r="F44" s="82"/>
      <c r="G44" s="28"/>
    </row>
    <row r="45" spans="1:7" ht="18.75" customHeight="1" x14ac:dyDescent="0.25">
      <c r="A45" s="7">
        <v>200</v>
      </c>
      <c r="B45" s="82">
        <v>1.0805</v>
      </c>
      <c r="C45" s="72">
        <v>2654.6</v>
      </c>
      <c r="D45" s="72">
        <v>2870.7</v>
      </c>
      <c r="E45" s="82">
        <v>7.5080999999999998</v>
      </c>
      <c r="F45" s="82"/>
      <c r="G45" s="28"/>
    </row>
    <row r="46" spans="1:7" ht="18.75" customHeight="1" x14ac:dyDescent="0.25">
      <c r="A46" s="7">
        <v>210</v>
      </c>
      <c r="B46" s="82">
        <v>1.1043000000000001</v>
      </c>
      <c r="C46" s="72">
        <v>2669.9</v>
      </c>
      <c r="D46" s="72">
        <v>2890.8</v>
      </c>
      <c r="E46" s="82">
        <v>7.5500999999999996</v>
      </c>
      <c r="F46" s="82"/>
      <c r="G46" s="28"/>
    </row>
    <row r="47" spans="1:7" ht="18.75" customHeight="1" x14ac:dyDescent="0.25">
      <c r="A47" s="7">
        <v>220</v>
      </c>
      <c r="B47" s="82">
        <v>1.1279999999999999</v>
      </c>
      <c r="C47" s="72">
        <v>2685.3</v>
      </c>
      <c r="D47" s="72">
        <v>2910.9</v>
      </c>
      <c r="E47" s="82">
        <v>7.5913000000000004</v>
      </c>
      <c r="F47" s="82"/>
      <c r="G47" s="28"/>
    </row>
    <row r="48" spans="1:7" ht="18.75" customHeight="1" x14ac:dyDescent="0.25">
      <c r="A48" s="7">
        <v>230</v>
      </c>
      <c r="B48" s="82">
        <v>1.1516999999999999</v>
      </c>
      <c r="C48" s="72">
        <v>2700.7</v>
      </c>
      <c r="D48" s="72">
        <v>2931</v>
      </c>
      <c r="E48" s="82">
        <v>7.6315999999999997</v>
      </c>
      <c r="F48" s="82"/>
      <c r="G48" s="28"/>
    </row>
    <row r="49" spans="1:7" ht="18.75" customHeight="1" x14ac:dyDescent="0.25">
      <c r="A49" s="7">
        <v>240</v>
      </c>
      <c r="B49" s="82">
        <v>1.1753</v>
      </c>
      <c r="C49" s="72">
        <v>2716</v>
      </c>
      <c r="D49" s="72">
        <v>2951.1</v>
      </c>
      <c r="E49" s="82">
        <v>7.6711999999999998</v>
      </c>
      <c r="F49" s="82"/>
      <c r="G49" s="28"/>
    </row>
    <row r="50" spans="1:7" ht="18.75" customHeight="1" x14ac:dyDescent="0.25">
      <c r="A50" s="7">
        <v>250</v>
      </c>
      <c r="B50" s="82">
        <v>1.1989000000000001</v>
      </c>
      <c r="C50" s="72">
        <v>2731.4</v>
      </c>
      <c r="D50" s="72">
        <v>2971.2</v>
      </c>
      <c r="E50" s="82">
        <v>7.71</v>
      </c>
      <c r="F50" s="82"/>
      <c r="G50" s="28"/>
    </row>
    <row r="51" spans="1:7" ht="18.75" customHeight="1" x14ac:dyDescent="0.25">
      <c r="A51" s="7">
        <v>260</v>
      </c>
      <c r="B51" s="82">
        <v>1.2223999999999999</v>
      </c>
      <c r="C51" s="72">
        <v>2746.8</v>
      </c>
      <c r="D51" s="72">
        <v>2991.3</v>
      </c>
      <c r="E51" s="82">
        <v>7.7480000000000002</v>
      </c>
      <c r="F51" s="82"/>
      <c r="G51" s="28"/>
    </row>
    <row r="52" spans="1:7" ht="18.75" customHeight="1" x14ac:dyDescent="0.25">
      <c r="A52" s="7">
        <v>270</v>
      </c>
      <c r="B52" s="82">
        <v>1.2459</v>
      </c>
      <c r="C52" s="72">
        <v>2762.3</v>
      </c>
      <c r="D52" s="72">
        <v>3011.5</v>
      </c>
      <c r="E52" s="82">
        <v>7.7854999999999999</v>
      </c>
      <c r="F52" s="82"/>
      <c r="G52" s="28"/>
    </row>
    <row r="53" spans="1:7" ht="18.75" customHeight="1" x14ac:dyDescent="0.25">
      <c r="A53" s="7">
        <v>280</v>
      </c>
      <c r="B53" s="82">
        <v>1.2694000000000001</v>
      </c>
      <c r="C53" s="72">
        <v>2777.7</v>
      </c>
      <c r="D53" s="72">
        <v>3031.6</v>
      </c>
      <c r="E53" s="82">
        <v>7.8223000000000003</v>
      </c>
      <c r="F53" s="82"/>
      <c r="G53" s="28"/>
    </row>
    <row r="54" spans="1:7" ht="18.75" customHeight="1" x14ac:dyDescent="0.25">
      <c r="A54" s="7">
        <v>290</v>
      </c>
      <c r="B54" s="82">
        <v>1.2927999999999999</v>
      </c>
      <c r="C54" s="72">
        <v>2793.2</v>
      </c>
      <c r="D54" s="72">
        <v>3051.8</v>
      </c>
      <c r="E54" s="82">
        <v>7.8583999999999996</v>
      </c>
      <c r="F54" s="82"/>
      <c r="G54" s="28"/>
    </row>
    <row r="55" spans="1:7" ht="18.75" customHeight="1" x14ac:dyDescent="0.25">
      <c r="A55" s="7">
        <v>300</v>
      </c>
      <c r="B55" s="82">
        <v>1.3162</v>
      </c>
      <c r="C55" s="72">
        <v>2808.9</v>
      </c>
      <c r="D55" s="72">
        <v>3072.1</v>
      </c>
      <c r="E55" s="82">
        <v>7.8940999999999999</v>
      </c>
      <c r="F55" s="82"/>
      <c r="G55" s="28"/>
    </row>
    <row r="56" spans="1:7" ht="18.75" customHeight="1" x14ac:dyDescent="0.25">
      <c r="A56" s="7">
        <v>310</v>
      </c>
      <c r="B56" s="82">
        <v>1.3395999999999999</v>
      </c>
      <c r="C56" s="72">
        <v>2824.4</v>
      </c>
      <c r="D56" s="72">
        <v>3092.3</v>
      </c>
      <c r="E56" s="82">
        <v>7.9291</v>
      </c>
      <c r="F56" s="82"/>
      <c r="G56" s="28"/>
    </row>
    <row r="57" spans="1:7" ht="18.75" customHeight="1" x14ac:dyDescent="0.25">
      <c r="A57" s="7">
        <v>320</v>
      </c>
      <c r="B57" s="82">
        <v>1.363</v>
      </c>
      <c r="C57" s="72">
        <v>2840.1</v>
      </c>
      <c r="D57" s="72">
        <v>3112.7</v>
      </c>
      <c r="E57" s="82">
        <v>7.9637000000000002</v>
      </c>
      <c r="F57" s="82"/>
      <c r="G57" s="28"/>
    </row>
    <row r="58" spans="1:7" ht="18.75" customHeight="1" x14ac:dyDescent="0.25">
      <c r="A58" s="7">
        <v>330</v>
      </c>
      <c r="B58" s="82">
        <v>1.3863000000000001</v>
      </c>
      <c r="C58" s="72">
        <v>2855.7</v>
      </c>
      <c r="D58" s="72">
        <v>3133</v>
      </c>
      <c r="E58" s="82">
        <v>7.9977</v>
      </c>
      <c r="F58" s="82"/>
      <c r="G58" s="28"/>
    </row>
    <row r="59" spans="1:7" ht="18.75" customHeight="1" x14ac:dyDescent="0.25">
      <c r="A59" s="7">
        <v>340</v>
      </c>
      <c r="B59" s="82">
        <v>1.4097</v>
      </c>
      <c r="C59" s="72">
        <v>2871.5</v>
      </c>
      <c r="D59" s="72">
        <v>3153.4</v>
      </c>
      <c r="E59" s="82">
        <v>8.0312999999999999</v>
      </c>
      <c r="F59" s="82"/>
      <c r="G59" s="28"/>
    </row>
    <row r="60" spans="1:7" ht="18.75" customHeight="1" x14ac:dyDescent="0.25">
      <c r="A60" s="7">
        <v>350</v>
      </c>
      <c r="B60" s="82">
        <v>1.4330000000000001</v>
      </c>
      <c r="C60" s="72">
        <v>2887.3</v>
      </c>
      <c r="D60" s="72">
        <v>3173.9</v>
      </c>
      <c r="E60" s="82">
        <v>8.0643999999999991</v>
      </c>
      <c r="F60" s="82"/>
      <c r="G60" s="28"/>
    </row>
    <row r="61" spans="1:7" ht="18.75" customHeight="1" x14ac:dyDescent="0.25">
      <c r="A61" s="7">
        <v>360</v>
      </c>
      <c r="B61" s="82">
        <v>1.4562999999999999</v>
      </c>
      <c r="C61" s="72">
        <v>2903.1</v>
      </c>
      <c r="D61" s="72">
        <v>3194.4</v>
      </c>
      <c r="E61" s="82">
        <v>8.0970999999999993</v>
      </c>
      <c r="F61" s="82"/>
      <c r="G61" s="28"/>
    </row>
    <row r="62" spans="1:7" ht="18.75" customHeight="1" x14ac:dyDescent="0.25">
      <c r="A62" s="7">
        <v>370</v>
      </c>
      <c r="B62" s="82">
        <v>1.4795</v>
      </c>
      <c r="C62" s="72">
        <v>2919.1</v>
      </c>
      <c r="D62" s="72">
        <v>3215</v>
      </c>
      <c r="E62" s="82">
        <v>8.1293000000000006</v>
      </c>
      <c r="F62" s="82"/>
      <c r="G62" s="28"/>
    </row>
    <row r="63" spans="1:7" ht="18.75" customHeight="1" x14ac:dyDescent="0.25">
      <c r="A63" s="7">
        <v>380</v>
      </c>
      <c r="B63" s="82">
        <v>1.5027999999999999</v>
      </c>
      <c r="C63" s="72">
        <v>2935</v>
      </c>
      <c r="D63" s="72">
        <v>3235.6</v>
      </c>
      <c r="E63" s="82">
        <v>8.1610999999999994</v>
      </c>
      <c r="F63" s="82"/>
      <c r="G63" s="28"/>
    </row>
    <row r="64" spans="1:7" ht="18.75" customHeight="1" x14ac:dyDescent="0.25">
      <c r="A64" s="7">
        <v>390</v>
      </c>
      <c r="B64" s="82">
        <v>1.5261</v>
      </c>
      <c r="C64" s="72">
        <v>2951.1</v>
      </c>
      <c r="D64" s="72">
        <v>3256.3</v>
      </c>
      <c r="E64" s="82">
        <v>8.1925000000000008</v>
      </c>
      <c r="F64" s="82"/>
      <c r="G64" s="28"/>
    </row>
    <row r="65" spans="1:7" ht="18.75" customHeight="1" x14ac:dyDescent="0.25">
      <c r="A65" s="7">
        <v>400</v>
      </c>
      <c r="B65" s="82">
        <v>1.5492999999999999</v>
      </c>
      <c r="C65" s="72">
        <v>2967.1</v>
      </c>
      <c r="D65" s="72">
        <v>3277</v>
      </c>
      <c r="E65" s="82">
        <v>8.2235999999999994</v>
      </c>
      <c r="F65" s="82"/>
      <c r="G65" s="28"/>
    </row>
    <row r="66" spans="1:7" ht="18.75" customHeight="1" x14ac:dyDescent="0.25">
      <c r="A66" s="7">
        <v>410</v>
      </c>
      <c r="B66" s="82">
        <v>1.5726</v>
      </c>
      <c r="C66" s="72">
        <v>2983.3</v>
      </c>
      <c r="D66" s="72">
        <v>3297.8</v>
      </c>
      <c r="E66" s="82">
        <v>8.2542000000000009</v>
      </c>
      <c r="F66" s="82"/>
      <c r="G66" s="28"/>
    </row>
    <row r="67" spans="1:7" ht="18.75" customHeight="1" x14ac:dyDescent="0.25">
      <c r="A67" s="7">
        <v>420</v>
      </c>
      <c r="B67" s="82">
        <v>1.5958000000000001</v>
      </c>
      <c r="C67" s="72">
        <v>2999.5</v>
      </c>
      <c r="D67" s="72">
        <v>3318.7</v>
      </c>
      <c r="E67" s="82">
        <v>8.2844999999999995</v>
      </c>
      <c r="F67" s="82"/>
      <c r="G67" s="28"/>
    </row>
    <row r="68" spans="1:7" ht="18.75" customHeight="1" x14ac:dyDescent="0.25">
      <c r="A68" s="7">
        <v>430</v>
      </c>
      <c r="B68" s="82">
        <v>1.619</v>
      </c>
      <c r="C68" s="72">
        <v>3015.8</v>
      </c>
      <c r="D68" s="72">
        <v>3339.6</v>
      </c>
      <c r="E68" s="82">
        <v>8.3145000000000007</v>
      </c>
      <c r="F68" s="82"/>
      <c r="G68" s="28"/>
    </row>
    <row r="69" spans="1:7" ht="18.75" customHeight="1" x14ac:dyDescent="0.25">
      <c r="A69" s="7">
        <v>440</v>
      </c>
      <c r="B69" s="82">
        <v>1.6422000000000001</v>
      </c>
      <c r="C69" s="72">
        <v>3032.1</v>
      </c>
      <c r="D69" s="72">
        <v>3360.5</v>
      </c>
      <c r="E69" s="82">
        <v>8.3440999999999992</v>
      </c>
      <c r="F69" s="82"/>
      <c r="G69" s="28"/>
    </row>
    <row r="70" spans="1:7" ht="18.75" customHeight="1" x14ac:dyDescent="0.25">
      <c r="A70" s="7">
        <v>450</v>
      </c>
      <c r="B70" s="82">
        <v>1.6655</v>
      </c>
      <c r="C70" s="72">
        <v>3048.5</v>
      </c>
      <c r="D70" s="72">
        <v>3381.6</v>
      </c>
      <c r="E70" s="82">
        <v>8.3734000000000002</v>
      </c>
      <c r="F70" s="82"/>
      <c r="G70" s="28"/>
    </row>
    <row r="71" spans="1:7" ht="18.75" customHeight="1" x14ac:dyDescent="0.25">
      <c r="A71" s="7">
        <v>460</v>
      </c>
      <c r="B71" s="82">
        <v>1.6887000000000001</v>
      </c>
      <c r="C71" s="72">
        <v>3065</v>
      </c>
      <c r="D71" s="72">
        <v>3402.7</v>
      </c>
      <c r="E71" s="82">
        <v>8.4023000000000003</v>
      </c>
      <c r="F71" s="82"/>
      <c r="G71" s="28"/>
    </row>
    <row r="72" spans="1:7" ht="18.75" customHeight="1" x14ac:dyDescent="0.25">
      <c r="A72" s="7">
        <v>470</v>
      </c>
      <c r="B72" s="82">
        <v>1.7119</v>
      </c>
      <c r="C72" s="72">
        <v>3081.4</v>
      </c>
      <c r="D72" s="72">
        <v>3423.8</v>
      </c>
      <c r="E72" s="82">
        <v>8.4309999999999992</v>
      </c>
      <c r="F72" s="82"/>
      <c r="G72" s="28"/>
    </row>
    <row r="73" spans="1:7" ht="18.75" customHeight="1" x14ac:dyDescent="0.25">
      <c r="A73" s="7">
        <v>480</v>
      </c>
      <c r="B73" s="82">
        <v>1.7351000000000001</v>
      </c>
      <c r="C73" s="72">
        <v>3098</v>
      </c>
      <c r="D73" s="72">
        <v>3445</v>
      </c>
      <c r="E73" s="82">
        <v>8.4594000000000005</v>
      </c>
      <c r="F73" s="82"/>
      <c r="G73" s="28"/>
    </row>
    <row r="74" spans="1:7" ht="18.75" customHeight="1" x14ac:dyDescent="0.25">
      <c r="A74" s="7">
        <v>490</v>
      </c>
      <c r="B74" s="82">
        <v>1.7582</v>
      </c>
      <c r="C74" s="72">
        <v>3114.7</v>
      </c>
      <c r="D74" s="72">
        <v>3466.3</v>
      </c>
      <c r="E74" s="82">
        <v>8.4873999999999992</v>
      </c>
      <c r="F74" s="82"/>
      <c r="G74" s="28"/>
    </row>
    <row r="75" spans="1:7" ht="18.75" customHeight="1" x14ac:dyDescent="0.25">
      <c r="A75" s="7">
        <v>500</v>
      </c>
      <c r="B75" s="82">
        <v>1.7814000000000001</v>
      </c>
      <c r="C75" s="72">
        <v>3131.4</v>
      </c>
      <c r="D75" s="72">
        <v>3487.7</v>
      </c>
      <c r="E75" s="82">
        <v>8.5152000000000001</v>
      </c>
      <c r="F75" s="82"/>
      <c r="G75" s="28"/>
    </row>
    <row r="76" spans="1:7" ht="18.75" customHeight="1" x14ac:dyDescent="0.25">
      <c r="A76" s="7">
        <v>520</v>
      </c>
      <c r="B76" s="82">
        <v>1.8278000000000001</v>
      </c>
      <c r="C76" s="72">
        <v>3165</v>
      </c>
      <c r="D76" s="72">
        <v>3530.6</v>
      </c>
      <c r="E76" s="82">
        <v>8.57</v>
      </c>
      <c r="F76" s="82"/>
      <c r="G76" s="28"/>
    </row>
    <row r="77" spans="1:7" ht="18.75" customHeight="1" x14ac:dyDescent="0.25">
      <c r="A77" s="7">
        <v>540</v>
      </c>
      <c r="B77" s="82">
        <v>1.8741000000000001</v>
      </c>
      <c r="C77" s="72">
        <v>3198.9</v>
      </c>
      <c r="D77" s="72">
        <v>3573.7</v>
      </c>
      <c r="E77" s="82">
        <v>8.6236999999999995</v>
      </c>
      <c r="F77" s="82"/>
      <c r="G77" s="28"/>
    </row>
    <row r="78" spans="1:7" ht="18.75" customHeight="1" x14ac:dyDescent="0.25">
      <c r="A78" s="7">
        <v>560</v>
      </c>
      <c r="B78" s="82">
        <v>1.9204000000000001</v>
      </c>
      <c r="C78" s="72">
        <v>3233</v>
      </c>
      <c r="D78" s="72">
        <v>3617.1</v>
      </c>
      <c r="E78" s="82">
        <v>8.6765000000000008</v>
      </c>
      <c r="F78" s="82"/>
      <c r="G78" s="28"/>
    </row>
    <row r="79" spans="1:7" ht="18.75" customHeight="1" x14ac:dyDescent="0.25">
      <c r="A79" s="7">
        <v>580</v>
      </c>
      <c r="B79" s="82">
        <v>1.9666999999999999</v>
      </c>
      <c r="C79" s="72">
        <v>3267.5</v>
      </c>
      <c r="D79" s="72">
        <v>3660.8</v>
      </c>
      <c r="E79" s="82">
        <v>8.7283000000000008</v>
      </c>
      <c r="F79" s="82"/>
      <c r="G79" s="28"/>
    </row>
    <row r="80" spans="1:7" ht="18.75" customHeight="1" x14ac:dyDescent="0.25">
      <c r="A80" s="7">
        <v>600</v>
      </c>
      <c r="B80" s="82">
        <v>2.0129999999999999</v>
      </c>
      <c r="C80" s="72">
        <v>3302.2</v>
      </c>
      <c r="D80" s="72">
        <v>3704.8</v>
      </c>
      <c r="E80" s="82">
        <v>8.7791999999999994</v>
      </c>
      <c r="F80" s="82"/>
      <c r="G80" s="28"/>
    </row>
    <row r="81" spans="1:7" ht="18.75" customHeight="1" x14ac:dyDescent="0.25">
      <c r="A81" s="7">
        <v>620</v>
      </c>
      <c r="B81" s="82">
        <v>2.0592999999999999</v>
      </c>
      <c r="C81" s="72">
        <v>3337.1</v>
      </c>
      <c r="D81" s="72">
        <v>3749</v>
      </c>
      <c r="E81" s="82">
        <v>8.8292999999999999</v>
      </c>
      <c r="F81" s="82"/>
      <c r="G81" s="28"/>
    </row>
    <row r="82" spans="1:7" ht="18.75" customHeight="1" x14ac:dyDescent="0.25">
      <c r="A82" s="7">
        <v>640</v>
      </c>
      <c r="B82" s="82">
        <v>2.1055999999999999</v>
      </c>
      <c r="C82" s="72">
        <v>3372.5</v>
      </c>
      <c r="D82" s="72">
        <v>3793.6</v>
      </c>
      <c r="E82" s="82">
        <v>8.8786000000000005</v>
      </c>
      <c r="F82" s="82"/>
      <c r="G82" s="28"/>
    </row>
    <row r="83" spans="1:7" ht="18.75" customHeight="1" x14ac:dyDescent="0.25">
      <c r="A83" s="7">
        <v>660</v>
      </c>
      <c r="B83" s="82">
        <v>2.1518000000000002</v>
      </c>
      <c r="C83" s="72">
        <v>3408</v>
      </c>
      <c r="D83" s="72">
        <v>3838.4</v>
      </c>
      <c r="E83" s="82">
        <v>8.9271999999999991</v>
      </c>
      <c r="F83" s="82"/>
      <c r="G83" s="28"/>
    </row>
    <row r="84" spans="1:7" ht="18.75" customHeight="1" x14ac:dyDescent="0.25">
      <c r="A84" s="7">
        <v>680</v>
      </c>
      <c r="B84" s="82">
        <v>2.1981000000000002</v>
      </c>
      <c r="C84" s="72">
        <v>3443.8</v>
      </c>
      <c r="D84" s="72">
        <v>3883.4</v>
      </c>
      <c r="E84" s="82">
        <v>8.9749999999999996</v>
      </c>
      <c r="F84" s="82"/>
      <c r="G84" s="28"/>
    </row>
    <row r="85" spans="1:7" ht="18.75" customHeight="1" x14ac:dyDescent="0.25">
      <c r="A85" s="7">
        <v>700</v>
      </c>
      <c r="B85" s="82">
        <v>2.2443</v>
      </c>
      <c r="C85" s="72">
        <v>3479.9</v>
      </c>
      <c r="D85" s="72">
        <v>3928.8</v>
      </c>
      <c r="E85" s="82">
        <v>9.0220000000000002</v>
      </c>
      <c r="F85" s="82"/>
      <c r="G85" s="28"/>
    </row>
    <row r="86" spans="1:7" ht="18.75" customHeight="1" x14ac:dyDescent="0.25">
      <c r="A86" s="7">
        <v>720</v>
      </c>
      <c r="B86" s="82">
        <v>2.2906</v>
      </c>
      <c r="C86" s="72">
        <v>3516.3</v>
      </c>
      <c r="D86" s="72">
        <v>3974.4</v>
      </c>
      <c r="E86" s="82">
        <v>9.0685000000000002</v>
      </c>
      <c r="F86" s="82"/>
      <c r="G86" s="28"/>
    </row>
    <row r="87" spans="1:7" ht="18.75" customHeight="1" x14ac:dyDescent="0.25">
      <c r="A87" s="7">
        <v>740</v>
      </c>
      <c r="B87" s="82">
        <v>2.3368000000000002</v>
      </c>
      <c r="C87" s="72">
        <v>3552.9</v>
      </c>
      <c r="D87" s="72">
        <v>4020.3</v>
      </c>
      <c r="E87" s="82">
        <v>9.1142000000000003</v>
      </c>
      <c r="F87" s="82"/>
      <c r="G87" s="28"/>
    </row>
    <row r="88" spans="1:7" ht="18.75" customHeight="1" x14ac:dyDescent="0.25">
      <c r="A88" s="7">
        <v>760</v>
      </c>
      <c r="B88" s="82">
        <v>2.383</v>
      </c>
      <c r="C88" s="72">
        <v>3589.9</v>
      </c>
      <c r="D88" s="72">
        <v>4066.5</v>
      </c>
      <c r="E88" s="82">
        <v>9.1593999999999998</v>
      </c>
      <c r="F88" s="82"/>
      <c r="G88" s="28"/>
    </row>
    <row r="89" spans="1:7" ht="18.75" customHeight="1" x14ac:dyDescent="0.25">
      <c r="A89" s="7">
        <v>780</v>
      </c>
      <c r="B89" s="82">
        <v>2.4293</v>
      </c>
      <c r="C89" s="72">
        <v>3627.1</v>
      </c>
      <c r="D89" s="72">
        <v>4113</v>
      </c>
      <c r="E89" s="82">
        <v>9.2039000000000009</v>
      </c>
      <c r="F89" s="82"/>
      <c r="G89" s="28"/>
    </row>
    <row r="90" spans="1:7" ht="18.75" customHeight="1" x14ac:dyDescent="0.25">
      <c r="A90" s="7">
        <v>800</v>
      </c>
      <c r="B90" s="82">
        <v>2.4754999999999998</v>
      </c>
      <c r="C90" s="72">
        <v>3664.7</v>
      </c>
      <c r="D90" s="72">
        <v>4159.8</v>
      </c>
      <c r="E90" s="82">
        <v>9.2478999999999996</v>
      </c>
      <c r="F90" s="82"/>
      <c r="G90" s="28"/>
    </row>
    <row r="91" spans="1:7" ht="18.75" customHeight="1" x14ac:dyDescent="0.25">
      <c r="A91" s="7">
        <v>820</v>
      </c>
      <c r="B91" s="82">
        <v>2.5217000000000001</v>
      </c>
      <c r="C91" s="72">
        <v>3702.5</v>
      </c>
      <c r="D91" s="72">
        <v>4206.8</v>
      </c>
      <c r="E91" s="82">
        <v>9.2912999999999997</v>
      </c>
      <c r="F91" s="82"/>
      <c r="G91" s="28"/>
    </row>
    <row r="92" spans="1:7" ht="18.75" customHeight="1" x14ac:dyDescent="0.25">
      <c r="A92" s="7">
        <v>840</v>
      </c>
      <c r="B92" s="82">
        <v>2.5678999999999998</v>
      </c>
      <c r="C92" s="72">
        <v>3740.5</v>
      </c>
      <c r="D92" s="72">
        <v>4254.1000000000004</v>
      </c>
      <c r="E92" s="82">
        <v>9.3341999999999992</v>
      </c>
      <c r="F92" s="82"/>
      <c r="G92" s="28"/>
    </row>
    <row r="93" spans="1:7" ht="18.75" customHeight="1" x14ac:dyDescent="0.25">
      <c r="A93" s="7">
        <v>860</v>
      </c>
      <c r="B93" s="82">
        <v>2.6141000000000001</v>
      </c>
      <c r="C93" s="72">
        <v>3778.9</v>
      </c>
      <c r="D93" s="72">
        <v>4301.7</v>
      </c>
      <c r="E93" s="82">
        <v>9.3765999999999998</v>
      </c>
      <c r="F93" s="82"/>
      <c r="G93" s="28"/>
    </row>
    <row r="94" spans="1:7" ht="18.75" customHeight="1" x14ac:dyDescent="0.25">
      <c r="A94" s="7">
        <v>880</v>
      </c>
      <c r="B94" s="82">
        <v>2.6602999999999999</v>
      </c>
      <c r="C94" s="72">
        <v>3817.4</v>
      </c>
      <c r="D94" s="72">
        <v>4349.5</v>
      </c>
      <c r="E94" s="82">
        <v>9.4184000000000001</v>
      </c>
      <c r="F94" s="82"/>
      <c r="G94" s="28"/>
    </row>
    <row r="95" spans="1:7" ht="18.75" customHeight="1" x14ac:dyDescent="0.25">
      <c r="A95" s="7">
        <v>900</v>
      </c>
      <c r="B95" s="82">
        <v>2.7065999999999999</v>
      </c>
      <c r="C95" s="72">
        <v>3856.3</v>
      </c>
      <c r="D95" s="72">
        <v>4397.6000000000004</v>
      </c>
      <c r="E95" s="82">
        <v>9.4597999999999995</v>
      </c>
      <c r="F95" s="82"/>
      <c r="G95" s="28"/>
    </row>
    <row r="96" spans="1:7" ht="18.75" customHeight="1" x14ac:dyDescent="0.25">
      <c r="A96" s="7">
        <v>920</v>
      </c>
      <c r="B96" s="82">
        <v>2.7528000000000001</v>
      </c>
      <c r="C96" s="72">
        <v>3895.4</v>
      </c>
      <c r="D96" s="72">
        <v>4446</v>
      </c>
      <c r="E96" s="82">
        <v>9.5007000000000001</v>
      </c>
      <c r="F96" s="82"/>
      <c r="G96" s="28"/>
    </row>
    <row r="97" spans="1:7" ht="18.75" customHeight="1" x14ac:dyDescent="0.25">
      <c r="A97" s="7">
        <v>940</v>
      </c>
      <c r="B97" s="82">
        <v>2.7989999999999999</v>
      </c>
      <c r="C97" s="72">
        <v>3934.9</v>
      </c>
      <c r="D97" s="72">
        <v>4494.7</v>
      </c>
      <c r="E97" s="82">
        <v>9.5411999999999999</v>
      </c>
      <c r="F97" s="82"/>
      <c r="G97" s="28"/>
    </row>
    <row r="98" spans="1:7" ht="18.75" customHeight="1" x14ac:dyDescent="0.25">
      <c r="A98" s="7">
        <v>960</v>
      </c>
      <c r="B98" s="82">
        <v>2.8451</v>
      </c>
      <c r="C98" s="72">
        <v>3974.6</v>
      </c>
      <c r="D98" s="72">
        <v>4543.6000000000004</v>
      </c>
      <c r="E98" s="82">
        <v>9.5812000000000008</v>
      </c>
      <c r="F98" s="82"/>
      <c r="G98" s="28"/>
    </row>
    <row r="99" spans="1:7" ht="18.75" customHeight="1" x14ac:dyDescent="0.25">
      <c r="A99" s="7">
        <v>980</v>
      </c>
      <c r="B99" s="82">
        <v>2.8913000000000002</v>
      </c>
      <c r="C99" s="72">
        <v>4014.5</v>
      </c>
      <c r="D99" s="72">
        <v>4592.8</v>
      </c>
      <c r="E99" s="82">
        <v>9.6206999999999994</v>
      </c>
      <c r="F99" s="82"/>
      <c r="G99" s="28"/>
    </row>
    <row r="100" spans="1:7" ht="13.8" x14ac:dyDescent="0.25">
      <c r="A100" s="7">
        <v>1000</v>
      </c>
      <c r="B100" s="82">
        <v>2.9375</v>
      </c>
      <c r="C100" s="72">
        <v>4054.8</v>
      </c>
      <c r="D100" s="72">
        <v>4642.3</v>
      </c>
      <c r="E100" s="82">
        <v>9.6599000000000004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100"/>
  <sheetViews>
    <sheetView topLeftCell="A11" workbookViewId="0">
      <selection activeCell="A30" sqref="A30:XFD30"/>
    </sheetView>
  </sheetViews>
  <sheetFormatPr defaultRowHeight="13.2" x14ac:dyDescent="0.25"/>
  <cols>
    <col min="1" max="1" width="6.21875" customWidth="1"/>
    <col min="2" max="2" width="12.2187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50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220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1.0001000000000001E-3</v>
      </c>
      <c r="C5" s="74">
        <v>-0.04</v>
      </c>
      <c r="D5" s="74">
        <v>0.18</v>
      </c>
      <c r="E5" s="81">
        <v>-1.3999999999999999E-4</v>
      </c>
      <c r="F5" s="81"/>
      <c r="G5" s="28"/>
      <c r="H5" s="28"/>
    </row>
    <row r="6" spans="1:8" ht="18.75" customHeight="1" x14ac:dyDescent="0.25">
      <c r="A6" s="87">
        <v>5</v>
      </c>
      <c r="B6" s="79">
        <v>9.9997999999999992E-4</v>
      </c>
      <c r="C6" s="74">
        <v>21.02</v>
      </c>
      <c r="D6" s="74">
        <v>21.24</v>
      </c>
      <c r="E6" s="81">
        <v>7.6249999999999998E-2</v>
      </c>
      <c r="F6" s="81"/>
      <c r="G6" s="28"/>
      <c r="H6" s="28"/>
    </row>
    <row r="7" spans="1:8" ht="18.75" customHeight="1" x14ac:dyDescent="0.25">
      <c r="A7" s="87">
        <v>10</v>
      </c>
      <c r="B7" s="79">
        <v>1.0002399999999999E-3</v>
      </c>
      <c r="C7" s="74">
        <v>42.01</v>
      </c>
      <c r="D7" s="74">
        <v>42.23</v>
      </c>
      <c r="E7" s="81">
        <v>0.15107000000000001</v>
      </c>
      <c r="F7" s="81"/>
      <c r="G7" s="28"/>
      <c r="H7" s="28"/>
    </row>
    <row r="8" spans="1:8" ht="18.75" customHeight="1" x14ac:dyDescent="0.25">
      <c r="A8" s="87">
        <v>15</v>
      </c>
      <c r="B8" s="79">
        <v>1.00084E-3</v>
      </c>
      <c r="C8" s="74">
        <v>62.97</v>
      </c>
      <c r="D8" s="74">
        <v>63.19</v>
      </c>
      <c r="E8" s="81">
        <v>0.22442999999999999</v>
      </c>
      <c r="F8" s="81"/>
      <c r="G8" s="28"/>
      <c r="H8" s="28"/>
    </row>
    <row r="9" spans="1:8" ht="18.75" customHeight="1" x14ac:dyDescent="0.25">
      <c r="A9" s="87">
        <v>20</v>
      </c>
      <c r="B9" s="79">
        <v>1.0017400000000001E-3</v>
      </c>
      <c r="C9" s="74">
        <v>83.9</v>
      </c>
      <c r="D9" s="74">
        <v>84.12</v>
      </c>
      <c r="E9" s="81">
        <v>0.29643999999999998</v>
      </c>
      <c r="F9" s="81"/>
      <c r="G9" s="28"/>
      <c r="H9" s="28"/>
    </row>
    <row r="10" spans="1:8" ht="18.75" customHeight="1" x14ac:dyDescent="0.25">
      <c r="A10" s="87">
        <v>25</v>
      </c>
      <c r="B10" s="79">
        <v>1.0029100000000001E-3</v>
      </c>
      <c r="C10" s="74">
        <v>104.81</v>
      </c>
      <c r="D10" s="74">
        <v>105.03</v>
      </c>
      <c r="E10" s="81">
        <v>0.36717</v>
      </c>
      <c r="F10" s="81"/>
      <c r="G10" s="28"/>
      <c r="H10" s="28"/>
    </row>
    <row r="11" spans="1:8" ht="18.75" customHeight="1" x14ac:dyDescent="0.25">
      <c r="A11" s="87">
        <v>30</v>
      </c>
      <c r="B11" s="79">
        <v>1.00432E-3</v>
      </c>
      <c r="C11" s="74">
        <v>125.71</v>
      </c>
      <c r="D11" s="74">
        <v>125.93</v>
      </c>
      <c r="E11" s="81">
        <v>0.43669000000000002</v>
      </c>
      <c r="F11" s="81"/>
      <c r="G11" s="28"/>
      <c r="H11" s="28"/>
    </row>
    <row r="12" spans="1:8" ht="18.75" customHeight="1" x14ac:dyDescent="0.25">
      <c r="A12" s="87">
        <v>35</v>
      </c>
      <c r="B12" s="79">
        <v>1.00595E-3</v>
      </c>
      <c r="C12" s="74">
        <v>146.61000000000001</v>
      </c>
      <c r="D12" s="74">
        <v>146.83000000000001</v>
      </c>
      <c r="E12" s="81">
        <v>0.50505999999999995</v>
      </c>
      <c r="F12" s="81"/>
      <c r="G12" s="28"/>
    </row>
    <row r="13" spans="1:8" ht="18.75" customHeight="1" x14ac:dyDescent="0.25">
      <c r="A13" s="87">
        <v>40</v>
      </c>
      <c r="B13" s="79">
        <v>1.0077899999999999E-3</v>
      </c>
      <c r="C13" s="74">
        <v>167.5</v>
      </c>
      <c r="D13" s="74">
        <v>167.72</v>
      </c>
      <c r="E13" s="81">
        <v>0.57232000000000005</v>
      </c>
      <c r="F13" s="81"/>
      <c r="G13" s="28"/>
    </row>
    <row r="14" spans="1:8" ht="18.75" customHeight="1" x14ac:dyDescent="0.25">
      <c r="A14" s="87">
        <v>45</v>
      </c>
      <c r="B14" s="79">
        <v>1.00983E-3</v>
      </c>
      <c r="C14" s="74">
        <v>188.4</v>
      </c>
      <c r="D14" s="74">
        <v>188.62</v>
      </c>
      <c r="E14" s="81">
        <v>0.63851999999999998</v>
      </c>
      <c r="F14" s="81"/>
      <c r="G14" s="28"/>
    </row>
    <row r="15" spans="1:8" ht="18.75" customHeight="1" x14ac:dyDescent="0.25">
      <c r="A15" s="87">
        <v>50</v>
      </c>
      <c r="B15" s="79">
        <v>1.01206E-3</v>
      </c>
      <c r="C15" s="74">
        <v>209.3</v>
      </c>
      <c r="D15" s="74">
        <v>209.52</v>
      </c>
      <c r="E15" s="81">
        <v>0.70370999999999995</v>
      </c>
      <c r="F15" s="81"/>
      <c r="G15" s="28"/>
    </row>
    <row r="16" spans="1:8" ht="18.75" customHeight="1" x14ac:dyDescent="0.25">
      <c r="A16" s="87">
        <v>55</v>
      </c>
      <c r="B16" s="79">
        <v>1.01446E-3</v>
      </c>
      <c r="C16" s="74">
        <v>230.21</v>
      </c>
      <c r="D16" s="74">
        <v>230.43</v>
      </c>
      <c r="E16" s="81">
        <v>0.76792000000000005</v>
      </c>
      <c r="F16" s="81"/>
      <c r="G16" s="28"/>
    </row>
    <row r="17" spans="1:7" ht="18.75" customHeight="1" x14ac:dyDescent="0.25">
      <c r="A17" s="87">
        <v>60</v>
      </c>
      <c r="B17" s="79">
        <v>1.0170400000000001E-3</v>
      </c>
      <c r="C17" s="74">
        <v>251.13</v>
      </c>
      <c r="D17" s="74">
        <v>251.35</v>
      </c>
      <c r="E17" s="81">
        <v>0.83118999999999998</v>
      </c>
      <c r="F17" s="81"/>
      <c r="G17" s="28"/>
    </row>
    <row r="18" spans="1:7" ht="18.75" customHeight="1" x14ac:dyDescent="0.25">
      <c r="A18" s="87">
        <v>65</v>
      </c>
      <c r="B18" s="79">
        <v>1.0197800000000001E-3</v>
      </c>
      <c r="C18" s="74">
        <v>272.06</v>
      </c>
      <c r="D18" s="74">
        <v>272.27999999999997</v>
      </c>
      <c r="E18" s="81">
        <v>0.89354</v>
      </c>
      <c r="F18" s="81"/>
      <c r="G18" s="28"/>
    </row>
    <row r="19" spans="1:7" ht="18.75" customHeight="1" x14ac:dyDescent="0.25">
      <c r="A19" s="87">
        <v>70</v>
      </c>
      <c r="B19" s="79">
        <v>1.0226899999999999E-3</v>
      </c>
      <c r="C19" s="74">
        <v>292.99</v>
      </c>
      <c r="D19" s="74">
        <v>293.22000000000003</v>
      </c>
      <c r="E19" s="81">
        <v>0.95501999999999998</v>
      </c>
      <c r="F19" s="81"/>
      <c r="G19" s="28"/>
    </row>
    <row r="20" spans="1:7" ht="18.75" customHeight="1" x14ac:dyDescent="0.25">
      <c r="A20" s="87">
        <v>75</v>
      </c>
      <c r="B20" s="79">
        <v>1.02575E-3</v>
      </c>
      <c r="C20" s="74">
        <v>313.95</v>
      </c>
      <c r="D20" s="74">
        <v>314.18</v>
      </c>
      <c r="E20" s="82">
        <v>1.0157</v>
      </c>
      <c r="F20" s="82"/>
      <c r="G20" s="28"/>
    </row>
    <row r="21" spans="1:7" ht="18.75" customHeight="1" x14ac:dyDescent="0.25">
      <c r="A21" s="87">
        <v>80</v>
      </c>
      <c r="B21" s="79">
        <v>1.0289699999999999E-3</v>
      </c>
      <c r="C21" s="74">
        <v>334.92</v>
      </c>
      <c r="D21" s="74">
        <v>335.15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1.03235E-3</v>
      </c>
      <c r="C22" s="74">
        <v>355.91</v>
      </c>
      <c r="D22" s="74">
        <v>356.14</v>
      </c>
      <c r="E22" s="82">
        <v>1.1345000000000001</v>
      </c>
      <c r="F22" s="82"/>
      <c r="G22" s="28"/>
    </row>
    <row r="23" spans="1:7" ht="18.75" customHeight="1" x14ac:dyDescent="0.25">
      <c r="A23" s="87">
        <v>90</v>
      </c>
      <c r="B23" s="79">
        <v>1.0358800000000001E-3</v>
      </c>
      <c r="C23" s="74">
        <v>376.93</v>
      </c>
      <c r="D23" s="74">
        <v>377.16</v>
      </c>
      <c r="E23" s="82">
        <v>1.1928000000000001</v>
      </c>
      <c r="F23" s="82"/>
      <c r="G23" s="28"/>
    </row>
    <row r="24" spans="1:7" ht="18.75" customHeight="1" x14ac:dyDescent="0.25">
      <c r="A24" s="87">
        <v>95</v>
      </c>
      <c r="B24" s="79">
        <v>1.0395599999999999E-3</v>
      </c>
      <c r="C24" s="74">
        <v>397.96</v>
      </c>
      <c r="D24" s="74">
        <v>398.19</v>
      </c>
      <c r="E24" s="82">
        <v>1.2503</v>
      </c>
      <c r="F24" s="82"/>
      <c r="G24" s="28"/>
    </row>
    <row r="25" spans="1:7" ht="18.75" customHeight="1" x14ac:dyDescent="0.25">
      <c r="A25" s="87">
        <v>100</v>
      </c>
      <c r="B25" s="79">
        <v>1.0434000000000001E-3</v>
      </c>
      <c r="C25" s="74">
        <v>419.03</v>
      </c>
      <c r="D25" s="74">
        <v>419.26</v>
      </c>
      <c r="E25" s="82">
        <v>1.3070999999999999</v>
      </c>
      <c r="F25" s="82"/>
      <c r="G25" s="28"/>
    </row>
    <row r="26" spans="1:7" ht="18.75" customHeight="1" x14ac:dyDescent="0.25">
      <c r="A26" s="87">
        <v>105</v>
      </c>
      <c r="B26" s="79">
        <v>1.04739E-3</v>
      </c>
      <c r="C26" s="74">
        <v>440.12</v>
      </c>
      <c r="D26" s="74">
        <v>440.35</v>
      </c>
      <c r="E26" s="82">
        <v>1.3633</v>
      </c>
      <c r="F26" s="82"/>
      <c r="G26" s="28"/>
    </row>
    <row r="27" spans="1:7" ht="18.75" customHeight="1" x14ac:dyDescent="0.25">
      <c r="A27" s="87">
        <v>110</v>
      </c>
      <c r="B27" s="79">
        <v>1.0515399999999999E-3</v>
      </c>
      <c r="C27" s="74">
        <v>461.24</v>
      </c>
      <c r="D27" s="74">
        <v>461.47</v>
      </c>
      <c r="E27" s="82">
        <v>1.4188000000000001</v>
      </c>
      <c r="F27" s="82"/>
      <c r="G27" s="28"/>
    </row>
    <row r="28" spans="1:7" ht="18.75" customHeight="1" x14ac:dyDescent="0.25">
      <c r="A28" s="87">
        <v>115</v>
      </c>
      <c r="B28" s="79">
        <v>1.0558500000000001E-3</v>
      </c>
      <c r="C28" s="74">
        <v>482.4</v>
      </c>
      <c r="D28" s="74">
        <v>482.63</v>
      </c>
      <c r="E28" s="82">
        <v>1.4736</v>
      </c>
      <c r="F28" s="82"/>
      <c r="G28" s="28"/>
    </row>
    <row r="29" spans="1:7" ht="18.75" customHeight="1" x14ac:dyDescent="0.25">
      <c r="A29" s="87">
        <v>120</v>
      </c>
      <c r="B29" s="79">
        <v>1.0603100000000001E-3</v>
      </c>
      <c r="C29" s="74">
        <v>503.6</v>
      </c>
      <c r="D29" s="74">
        <v>503.83</v>
      </c>
      <c r="E29" s="82">
        <v>1.5279</v>
      </c>
      <c r="F29" s="82"/>
      <c r="G29" s="28"/>
    </row>
    <row r="30" spans="1:7" ht="18.75" customHeight="1" x14ac:dyDescent="0.25">
      <c r="A30" s="87">
        <v>125</v>
      </c>
      <c r="B30" s="81">
        <v>0.81413999999999997</v>
      </c>
      <c r="C30" s="72">
        <v>2535.3000000000002</v>
      </c>
      <c r="D30" s="72">
        <v>2714.4</v>
      </c>
      <c r="E30" s="82">
        <v>7.1047000000000002</v>
      </c>
      <c r="F30" s="82"/>
      <c r="G30" s="28"/>
    </row>
    <row r="31" spans="1:7" ht="18.75" customHeight="1" x14ac:dyDescent="0.25">
      <c r="A31" s="87">
        <v>130</v>
      </c>
      <c r="B31" s="81">
        <v>0.82567000000000002</v>
      </c>
      <c r="C31" s="72">
        <v>2543.6999999999998</v>
      </c>
      <c r="D31" s="72">
        <v>2725.3</v>
      </c>
      <c r="E31" s="82">
        <v>7.1318000000000001</v>
      </c>
      <c r="F31" s="82"/>
      <c r="G31" s="28"/>
    </row>
    <row r="32" spans="1:7" ht="18.75" customHeight="1" x14ac:dyDescent="0.25">
      <c r="A32" s="87">
        <v>135</v>
      </c>
      <c r="B32" s="81">
        <v>0.83711999999999998</v>
      </c>
      <c r="C32" s="72">
        <v>2551.8000000000002</v>
      </c>
      <c r="D32" s="72">
        <v>2736</v>
      </c>
      <c r="E32" s="82">
        <v>7.1581999999999999</v>
      </c>
      <c r="F32" s="82"/>
      <c r="G32" s="28"/>
    </row>
    <row r="33" spans="1:7" ht="18.75" customHeight="1" x14ac:dyDescent="0.25">
      <c r="A33" s="87">
        <v>140</v>
      </c>
      <c r="B33" s="81">
        <v>0.84848000000000001</v>
      </c>
      <c r="C33" s="72">
        <v>2559.9</v>
      </c>
      <c r="D33" s="72">
        <v>2746.6</v>
      </c>
      <c r="E33" s="82">
        <v>7.1840000000000002</v>
      </c>
      <c r="F33" s="82"/>
      <c r="G33" s="28"/>
    </row>
    <row r="34" spans="1:7" ht="18.75" customHeight="1" x14ac:dyDescent="0.25">
      <c r="A34" s="87">
        <v>145</v>
      </c>
      <c r="B34" s="81">
        <v>0.85977999999999999</v>
      </c>
      <c r="C34" s="72">
        <v>2567.9</v>
      </c>
      <c r="D34" s="72">
        <v>2757.1</v>
      </c>
      <c r="E34" s="82">
        <v>7.2092999999999998</v>
      </c>
      <c r="F34" s="82"/>
      <c r="G34" s="28"/>
    </row>
    <row r="35" spans="1:7" ht="18.75" customHeight="1" x14ac:dyDescent="0.25">
      <c r="A35" s="87">
        <v>150</v>
      </c>
      <c r="B35" s="81">
        <v>0.87102000000000002</v>
      </c>
      <c r="C35" s="72">
        <v>2576</v>
      </c>
      <c r="D35" s="72">
        <v>2767.6</v>
      </c>
      <c r="E35" s="82">
        <v>7.2340999999999998</v>
      </c>
      <c r="F35" s="82"/>
      <c r="G35" s="28"/>
    </row>
    <row r="36" spans="1:7" ht="18.75" customHeight="1" x14ac:dyDescent="0.25">
      <c r="A36" s="87">
        <v>155</v>
      </c>
      <c r="B36" s="81">
        <v>0.88219999999999998</v>
      </c>
      <c r="C36" s="72">
        <v>2583.8000000000002</v>
      </c>
      <c r="D36" s="72">
        <v>2777.9</v>
      </c>
      <c r="E36" s="82">
        <v>7.2584999999999997</v>
      </c>
      <c r="F36" s="82"/>
      <c r="G36" s="28"/>
    </row>
    <row r="37" spans="1:7" ht="18.75" customHeight="1" x14ac:dyDescent="0.25">
      <c r="A37" s="87">
        <v>160</v>
      </c>
      <c r="B37" s="81">
        <v>0.89334000000000002</v>
      </c>
      <c r="C37" s="72">
        <v>2591.8000000000002</v>
      </c>
      <c r="D37" s="72">
        <v>2788.3</v>
      </c>
      <c r="E37" s="82">
        <v>7.2824999999999998</v>
      </c>
      <c r="F37" s="82"/>
      <c r="G37" s="28"/>
    </row>
    <row r="38" spans="1:7" ht="18.75" customHeight="1" x14ac:dyDescent="0.25">
      <c r="A38" s="87">
        <v>165</v>
      </c>
      <c r="B38" s="81">
        <v>0.90444000000000002</v>
      </c>
      <c r="C38" s="72">
        <v>2599.6</v>
      </c>
      <c r="D38" s="72">
        <v>2798.6</v>
      </c>
      <c r="E38" s="82">
        <v>7.3061999999999996</v>
      </c>
      <c r="F38" s="82"/>
      <c r="G38" s="28"/>
    </row>
    <row r="39" spans="1:7" ht="18.75" customHeight="1" x14ac:dyDescent="0.25">
      <c r="A39" s="87">
        <v>170</v>
      </c>
      <c r="B39" s="81">
        <v>0.91549999999999998</v>
      </c>
      <c r="C39" s="72">
        <v>2607.4</v>
      </c>
      <c r="D39" s="72">
        <v>2808.8</v>
      </c>
      <c r="E39" s="82">
        <v>7.3293999999999997</v>
      </c>
      <c r="F39" s="82"/>
      <c r="G39" s="28"/>
    </row>
    <row r="40" spans="1:7" ht="18.75" customHeight="1" x14ac:dyDescent="0.25">
      <c r="A40" s="87">
        <v>175</v>
      </c>
      <c r="B40" s="81">
        <v>0.92652000000000001</v>
      </c>
      <c r="C40" s="72">
        <v>2615.1999999999998</v>
      </c>
      <c r="D40" s="72">
        <v>2819</v>
      </c>
      <c r="E40" s="82">
        <v>7.3524000000000003</v>
      </c>
      <c r="F40" s="82"/>
      <c r="G40" s="28"/>
    </row>
    <row r="41" spans="1:7" ht="18.75" customHeight="1" x14ac:dyDescent="0.25">
      <c r="A41" s="87">
        <v>180</v>
      </c>
      <c r="B41" s="81">
        <v>0.93750999999999995</v>
      </c>
      <c r="C41" s="72">
        <v>2622.9</v>
      </c>
      <c r="D41" s="72">
        <v>2829.2</v>
      </c>
      <c r="E41" s="82">
        <v>7.375</v>
      </c>
      <c r="F41" s="82"/>
      <c r="G41" s="28"/>
    </row>
    <row r="42" spans="1:7" ht="18.75" customHeight="1" x14ac:dyDescent="0.25">
      <c r="A42" s="87">
        <v>185</v>
      </c>
      <c r="B42" s="81">
        <v>0.94847000000000004</v>
      </c>
      <c r="C42" s="72">
        <v>2630.7</v>
      </c>
      <c r="D42" s="72">
        <v>2839.4</v>
      </c>
      <c r="E42" s="82">
        <v>7.3973000000000004</v>
      </c>
      <c r="F42" s="82"/>
      <c r="G42" s="28"/>
    </row>
    <row r="43" spans="1:7" ht="18.75" customHeight="1" x14ac:dyDescent="0.25">
      <c r="A43" s="87">
        <v>190</v>
      </c>
      <c r="B43" s="81">
        <v>0.95940999999999999</v>
      </c>
      <c r="C43" s="72">
        <v>2638.4</v>
      </c>
      <c r="D43" s="72">
        <v>2849.5</v>
      </c>
      <c r="E43" s="82">
        <v>7.4192999999999998</v>
      </c>
      <c r="F43" s="82"/>
      <c r="G43" s="28"/>
    </row>
    <row r="44" spans="1:7" ht="18.75" customHeight="1" x14ac:dyDescent="0.25">
      <c r="A44" s="87">
        <v>195</v>
      </c>
      <c r="B44" s="81">
        <v>0.97031999999999996</v>
      </c>
      <c r="C44" s="72">
        <v>2646.2</v>
      </c>
      <c r="D44" s="72">
        <v>2859.7</v>
      </c>
      <c r="E44" s="82">
        <v>7.4410999999999996</v>
      </c>
      <c r="F44" s="82"/>
      <c r="G44" s="28"/>
    </row>
    <row r="45" spans="1:7" ht="18.75" customHeight="1" x14ac:dyDescent="0.25">
      <c r="A45" s="87">
        <v>200</v>
      </c>
      <c r="B45" s="81">
        <v>0.98119999999999996</v>
      </c>
      <c r="C45" s="72">
        <v>2653.9</v>
      </c>
      <c r="D45" s="72">
        <v>2869.8</v>
      </c>
      <c r="E45" s="82">
        <v>7.4625000000000004</v>
      </c>
      <c r="F45" s="82"/>
      <c r="G45" s="28"/>
    </row>
    <row r="46" spans="1:7" ht="18.75" customHeight="1" x14ac:dyDescent="0.25">
      <c r="A46" s="87">
        <v>210</v>
      </c>
      <c r="B46" s="82">
        <v>1.0028999999999999</v>
      </c>
      <c r="C46" s="72">
        <v>2669.4</v>
      </c>
      <c r="D46" s="72">
        <v>2890</v>
      </c>
      <c r="E46" s="82">
        <v>7.5048000000000004</v>
      </c>
      <c r="F46" s="82"/>
      <c r="G46" s="28"/>
    </row>
    <row r="47" spans="1:7" ht="18.75" customHeight="1" x14ac:dyDescent="0.25">
      <c r="A47" s="87">
        <v>220</v>
      </c>
      <c r="B47" s="82">
        <v>1.0246</v>
      </c>
      <c r="C47" s="72">
        <v>2684.7</v>
      </c>
      <c r="D47" s="72">
        <v>2910.1</v>
      </c>
      <c r="E47" s="82">
        <v>7.5461</v>
      </c>
      <c r="F47" s="82"/>
      <c r="G47" s="28"/>
    </row>
    <row r="48" spans="1:7" ht="18.75" customHeight="1" x14ac:dyDescent="0.25">
      <c r="A48" s="87">
        <v>230</v>
      </c>
      <c r="B48" s="82">
        <v>1.0461</v>
      </c>
      <c r="C48" s="72">
        <v>2700.2</v>
      </c>
      <c r="D48" s="72">
        <v>2930.3</v>
      </c>
      <c r="E48" s="82">
        <v>7.5865</v>
      </c>
      <c r="F48" s="82"/>
      <c r="G48" s="28"/>
    </row>
    <row r="49" spans="1:7" ht="18.75" customHeight="1" x14ac:dyDescent="0.25">
      <c r="A49" s="87">
        <v>240</v>
      </c>
      <c r="B49" s="82">
        <v>1.0677000000000001</v>
      </c>
      <c r="C49" s="72">
        <v>2715.5</v>
      </c>
      <c r="D49" s="72">
        <v>2950.4</v>
      </c>
      <c r="E49" s="82">
        <v>7.6261000000000001</v>
      </c>
      <c r="F49" s="82"/>
      <c r="G49" s="28"/>
    </row>
    <row r="50" spans="1:7" ht="18.75" customHeight="1" x14ac:dyDescent="0.25">
      <c r="A50" s="87">
        <v>250</v>
      </c>
      <c r="B50" s="82">
        <v>1.0891</v>
      </c>
      <c r="C50" s="72">
        <v>2730.9</v>
      </c>
      <c r="D50" s="72">
        <v>2970.5</v>
      </c>
      <c r="E50" s="82">
        <v>7.665</v>
      </c>
      <c r="F50" s="82"/>
      <c r="G50" s="28"/>
    </row>
    <row r="51" spans="1:7" ht="18.75" customHeight="1" x14ac:dyDescent="0.25">
      <c r="A51" s="87">
        <v>260</v>
      </c>
      <c r="B51" s="82">
        <v>1.1106</v>
      </c>
      <c r="C51" s="72">
        <v>2746.4</v>
      </c>
      <c r="D51" s="72">
        <v>2990.7</v>
      </c>
      <c r="E51" s="82">
        <v>7.7031999999999998</v>
      </c>
      <c r="F51" s="82"/>
      <c r="G51" s="28"/>
    </row>
    <row r="52" spans="1:7" ht="18.75" customHeight="1" x14ac:dyDescent="0.25">
      <c r="A52" s="87">
        <v>270</v>
      </c>
      <c r="B52" s="82">
        <v>1.1319999999999999</v>
      </c>
      <c r="C52" s="72">
        <v>2761.9</v>
      </c>
      <c r="D52" s="72">
        <v>3010.9</v>
      </c>
      <c r="E52" s="82">
        <v>7.7407000000000004</v>
      </c>
      <c r="F52" s="82"/>
      <c r="G52" s="28"/>
    </row>
    <row r="53" spans="1:7" ht="18.75" customHeight="1" x14ac:dyDescent="0.25">
      <c r="A53" s="87">
        <v>280</v>
      </c>
      <c r="B53" s="82">
        <v>1.1533</v>
      </c>
      <c r="C53" s="72">
        <v>2777.4</v>
      </c>
      <c r="D53" s="72">
        <v>3031.1</v>
      </c>
      <c r="E53" s="82">
        <v>7.7774999999999999</v>
      </c>
      <c r="F53" s="82"/>
      <c r="G53" s="28"/>
    </row>
    <row r="54" spans="1:7" ht="18.75" customHeight="1" x14ac:dyDescent="0.25">
      <c r="A54" s="87">
        <v>290</v>
      </c>
      <c r="B54" s="82">
        <v>1.1747000000000001</v>
      </c>
      <c r="C54" s="72">
        <v>2792.9</v>
      </c>
      <c r="D54" s="72">
        <v>3051.3</v>
      </c>
      <c r="E54" s="82">
        <v>7.8137999999999996</v>
      </c>
      <c r="F54" s="82"/>
      <c r="G54" s="28"/>
    </row>
    <row r="55" spans="1:7" ht="18.75" customHeight="1" x14ac:dyDescent="0.25">
      <c r="A55" s="87">
        <v>300</v>
      </c>
      <c r="B55" s="82">
        <v>1.196</v>
      </c>
      <c r="C55" s="72">
        <v>2808.5</v>
      </c>
      <c r="D55" s="72">
        <v>3071.6</v>
      </c>
      <c r="E55" s="82">
        <v>7.8494000000000002</v>
      </c>
      <c r="F55" s="82"/>
      <c r="G55" s="28"/>
    </row>
    <row r="56" spans="1:7" ht="18.75" customHeight="1" x14ac:dyDescent="0.25">
      <c r="A56" s="87">
        <v>310</v>
      </c>
      <c r="B56" s="82">
        <v>1.2173</v>
      </c>
      <c r="C56" s="72">
        <v>2824.1</v>
      </c>
      <c r="D56" s="72">
        <v>3091.9</v>
      </c>
      <c r="E56" s="82">
        <v>7.8845000000000001</v>
      </c>
      <c r="F56" s="82"/>
      <c r="G56" s="28"/>
    </row>
    <row r="57" spans="1:7" ht="18.75" customHeight="1" x14ac:dyDescent="0.25">
      <c r="A57" s="87">
        <v>320</v>
      </c>
      <c r="B57" s="82">
        <v>1.2384999999999999</v>
      </c>
      <c r="C57" s="72">
        <v>2839.7</v>
      </c>
      <c r="D57" s="72">
        <v>3112.2</v>
      </c>
      <c r="E57" s="82">
        <v>7.9191000000000003</v>
      </c>
      <c r="F57" s="82"/>
      <c r="G57" s="28"/>
    </row>
    <row r="58" spans="1:7" ht="18.75" customHeight="1" x14ac:dyDescent="0.25">
      <c r="A58" s="87">
        <v>330</v>
      </c>
      <c r="B58" s="82">
        <v>1.2598</v>
      </c>
      <c r="C58" s="72">
        <v>2855.4</v>
      </c>
      <c r="D58" s="72">
        <v>3132.6</v>
      </c>
      <c r="E58" s="82">
        <v>7.9531999999999998</v>
      </c>
      <c r="F58" s="82"/>
      <c r="G58" s="28"/>
    </row>
    <row r="59" spans="1:7" ht="18.75" customHeight="1" x14ac:dyDescent="0.25">
      <c r="A59" s="87">
        <v>340</v>
      </c>
      <c r="B59" s="82">
        <v>1.2809999999999999</v>
      </c>
      <c r="C59" s="72">
        <v>2871.2</v>
      </c>
      <c r="D59" s="72">
        <v>3153</v>
      </c>
      <c r="E59" s="82">
        <v>7.9867999999999997</v>
      </c>
      <c r="F59" s="82"/>
      <c r="G59" s="28"/>
    </row>
    <row r="60" spans="1:7" ht="18.75" customHeight="1" x14ac:dyDescent="0.25">
      <c r="A60" s="87">
        <v>350</v>
      </c>
      <c r="B60" s="82">
        <v>1.3022</v>
      </c>
      <c r="C60" s="72">
        <v>2887</v>
      </c>
      <c r="D60" s="72">
        <v>3173.5</v>
      </c>
      <c r="E60" s="82">
        <v>8.02</v>
      </c>
      <c r="F60" s="82"/>
      <c r="G60" s="28"/>
    </row>
    <row r="61" spans="1:7" ht="18.75" customHeight="1" x14ac:dyDescent="0.25">
      <c r="A61" s="87">
        <v>360</v>
      </c>
      <c r="B61" s="82">
        <v>1.3233999999999999</v>
      </c>
      <c r="C61" s="72">
        <v>2902.9</v>
      </c>
      <c r="D61" s="72">
        <v>3194</v>
      </c>
      <c r="E61" s="82">
        <v>8.0526</v>
      </c>
      <c r="F61" s="82"/>
      <c r="G61" s="28"/>
    </row>
    <row r="62" spans="1:7" ht="18.75" customHeight="1" x14ac:dyDescent="0.25">
      <c r="A62" s="87">
        <v>370</v>
      </c>
      <c r="B62" s="82">
        <v>1.3446</v>
      </c>
      <c r="C62" s="72">
        <v>2918.8</v>
      </c>
      <c r="D62" s="72">
        <v>3214.6</v>
      </c>
      <c r="E62" s="82">
        <v>8.0848999999999993</v>
      </c>
      <c r="F62" s="82"/>
      <c r="G62" s="28"/>
    </row>
    <row r="63" spans="1:7" ht="18.75" customHeight="1" x14ac:dyDescent="0.25">
      <c r="A63" s="87">
        <v>380</v>
      </c>
      <c r="B63" s="82">
        <v>1.3657999999999999</v>
      </c>
      <c r="C63" s="72">
        <v>2934.8</v>
      </c>
      <c r="D63" s="72">
        <v>3235.3</v>
      </c>
      <c r="E63" s="82">
        <v>8.1166999999999998</v>
      </c>
      <c r="F63" s="82"/>
      <c r="G63" s="28"/>
    </row>
    <row r="64" spans="1:7" ht="18.75" customHeight="1" x14ac:dyDescent="0.25">
      <c r="A64" s="87">
        <v>390</v>
      </c>
      <c r="B64" s="82">
        <v>1.387</v>
      </c>
      <c r="C64" s="72">
        <v>2950.9</v>
      </c>
      <c r="D64" s="72">
        <v>3256</v>
      </c>
      <c r="E64" s="82">
        <v>8.1481999999999992</v>
      </c>
      <c r="F64" s="82"/>
      <c r="G64" s="28"/>
    </row>
    <row r="65" spans="1:7" ht="18.75" customHeight="1" x14ac:dyDescent="0.25">
      <c r="A65" s="87">
        <v>400</v>
      </c>
      <c r="B65" s="82">
        <v>1.4080999999999999</v>
      </c>
      <c r="C65" s="72">
        <v>2966.9</v>
      </c>
      <c r="D65" s="72">
        <v>3276.7</v>
      </c>
      <c r="E65" s="82">
        <v>8.1791999999999998</v>
      </c>
      <c r="F65" s="82"/>
      <c r="G65" s="28"/>
    </row>
    <row r="66" spans="1:7" ht="18.75" customHeight="1" x14ac:dyDescent="0.25">
      <c r="A66" s="87">
        <v>410</v>
      </c>
      <c r="B66" s="82">
        <v>1.4293</v>
      </c>
      <c r="C66" s="72">
        <v>2983.1</v>
      </c>
      <c r="D66" s="72">
        <v>3297.5</v>
      </c>
      <c r="E66" s="82">
        <v>8.2098999999999993</v>
      </c>
      <c r="F66" s="82"/>
      <c r="G66" s="28"/>
    </row>
    <row r="67" spans="1:7" ht="18.75" customHeight="1" x14ac:dyDescent="0.25">
      <c r="A67" s="87">
        <v>420</v>
      </c>
      <c r="B67" s="82">
        <v>1.4503999999999999</v>
      </c>
      <c r="C67" s="72">
        <v>2999.3</v>
      </c>
      <c r="D67" s="72">
        <v>3318.4</v>
      </c>
      <c r="E67" s="82">
        <v>8.2401999999999997</v>
      </c>
      <c r="F67" s="82"/>
      <c r="G67" s="28"/>
    </row>
    <row r="68" spans="1:7" ht="18.75" customHeight="1" x14ac:dyDescent="0.25">
      <c r="A68" s="87">
        <v>430</v>
      </c>
      <c r="B68" s="82">
        <v>1.4715</v>
      </c>
      <c r="C68" s="72">
        <v>3015.6</v>
      </c>
      <c r="D68" s="72">
        <v>3339.3</v>
      </c>
      <c r="E68" s="82">
        <v>8.2702000000000009</v>
      </c>
      <c r="F68" s="82"/>
      <c r="G68" s="28"/>
    </row>
    <row r="69" spans="1:7" ht="18.75" customHeight="1" x14ac:dyDescent="0.25">
      <c r="A69" s="87">
        <v>440</v>
      </c>
      <c r="B69" s="82">
        <v>1.4925999999999999</v>
      </c>
      <c r="C69" s="72">
        <v>3031.9</v>
      </c>
      <c r="D69" s="72">
        <v>3360.3</v>
      </c>
      <c r="E69" s="82">
        <v>8.2997999999999994</v>
      </c>
      <c r="F69" s="82"/>
      <c r="G69" s="28"/>
    </row>
    <row r="70" spans="1:7" ht="18.75" customHeight="1" x14ac:dyDescent="0.25">
      <c r="A70" s="87">
        <v>450</v>
      </c>
      <c r="B70" s="82">
        <v>1.5138</v>
      </c>
      <c r="C70" s="72">
        <v>3048.3</v>
      </c>
      <c r="D70" s="72">
        <v>3381.3</v>
      </c>
      <c r="E70" s="82">
        <v>8.3291000000000004</v>
      </c>
      <c r="F70" s="82"/>
      <c r="G70" s="28"/>
    </row>
    <row r="71" spans="1:7" ht="18.75" customHeight="1" x14ac:dyDescent="0.25">
      <c r="A71" s="87">
        <v>460</v>
      </c>
      <c r="B71" s="82">
        <v>1.5348999999999999</v>
      </c>
      <c r="C71" s="72">
        <v>3064.7</v>
      </c>
      <c r="D71" s="72">
        <v>3402.4</v>
      </c>
      <c r="E71" s="82">
        <v>8.3581000000000003</v>
      </c>
      <c r="F71" s="82"/>
      <c r="G71" s="28"/>
    </row>
    <row r="72" spans="1:7" ht="18.75" customHeight="1" x14ac:dyDescent="0.25">
      <c r="A72" s="87">
        <v>470</v>
      </c>
      <c r="B72" s="82">
        <v>1.556</v>
      </c>
      <c r="C72" s="72">
        <v>3081.3</v>
      </c>
      <c r="D72" s="72">
        <v>3423.6</v>
      </c>
      <c r="E72" s="82">
        <v>8.3867999999999991</v>
      </c>
      <c r="F72" s="82"/>
      <c r="G72" s="28"/>
    </row>
    <row r="73" spans="1:7" ht="18.75" customHeight="1" x14ac:dyDescent="0.25">
      <c r="A73" s="87">
        <v>480</v>
      </c>
      <c r="B73" s="82">
        <v>1.5770999999999999</v>
      </c>
      <c r="C73" s="72">
        <v>3097.8</v>
      </c>
      <c r="D73" s="72">
        <v>3444.8</v>
      </c>
      <c r="E73" s="82">
        <v>8.4151000000000007</v>
      </c>
      <c r="F73" s="82"/>
      <c r="G73" s="28"/>
    </row>
    <row r="74" spans="1:7" ht="18.75" customHeight="1" x14ac:dyDescent="0.25">
      <c r="A74" s="87">
        <v>490</v>
      </c>
      <c r="B74" s="82">
        <v>1.5981000000000001</v>
      </c>
      <c r="C74" s="72">
        <v>3114.5</v>
      </c>
      <c r="D74" s="72">
        <v>3466.1</v>
      </c>
      <c r="E74" s="82">
        <v>8.4431999999999992</v>
      </c>
      <c r="F74" s="82"/>
      <c r="G74" s="28"/>
    </row>
    <row r="75" spans="1:7" ht="18.75" customHeight="1" x14ac:dyDescent="0.25">
      <c r="A75" s="87">
        <v>500</v>
      </c>
      <c r="B75" s="82">
        <v>1.6192</v>
      </c>
      <c r="C75" s="72">
        <v>3131.3</v>
      </c>
      <c r="D75" s="72">
        <v>3487.5</v>
      </c>
      <c r="E75" s="82">
        <v>8.4710000000000001</v>
      </c>
      <c r="F75" s="82"/>
      <c r="G75" s="28"/>
    </row>
    <row r="76" spans="1:7" ht="18.75" customHeight="1" x14ac:dyDescent="0.25">
      <c r="A76" s="87">
        <v>520</v>
      </c>
      <c r="B76" s="82">
        <v>1.6614</v>
      </c>
      <c r="C76" s="72">
        <v>3164.9</v>
      </c>
      <c r="D76" s="72">
        <v>3530.4</v>
      </c>
      <c r="E76" s="82">
        <v>8.5258000000000003</v>
      </c>
      <c r="F76" s="82"/>
      <c r="G76" s="28"/>
    </row>
    <row r="77" spans="1:7" ht="18.75" customHeight="1" x14ac:dyDescent="0.25">
      <c r="A77" s="87">
        <v>540</v>
      </c>
      <c r="B77" s="82">
        <v>1.7035</v>
      </c>
      <c r="C77" s="72">
        <v>3198.7</v>
      </c>
      <c r="D77" s="72">
        <v>3573.5</v>
      </c>
      <c r="E77" s="82">
        <v>8.5795999999999992</v>
      </c>
      <c r="F77" s="82"/>
      <c r="G77" s="28"/>
    </row>
    <row r="78" spans="1:7" ht="18.75" customHeight="1" x14ac:dyDescent="0.25">
      <c r="A78" s="87">
        <v>560</v>
      </c>
      <c r="B78" s="82">
        <v>1.7456</v>
      </c>
      <c r="C78" s="72">
        <v>3233</v>
      </c>
      <c r="D78" s="72">
        <v>3617</v>
      </c>
      <c r="E78" s="82">
        <v>8.6323000000000008</v>
      </c>
      <c r="F78" s="82"/>
      <c r="G78" s="28"/>
    </row>
    <row r="79" spans="1:7" ht="18.75" customHeight="1" x14ac:dyDescent="0.25">
      <c r="A79" s="87">
        <v>580</v>
      </c>
      <c r="B79" s="82">
        <v>1.7877000000000001</v>
      </c>
      <c r="C79" s="72">
        <v>3267.4</v>
      </c>
      <c r="D79" s="72">
        <v>3660.7</v>
      </c>
      <c r="E79" s="82">
        <v>8.6842000000000006</v>
      </c>
      <c r="F79" s="82"/>
      <c r="G79" s="28"/>
    </row>
    <row r="80" spans="1:7" ht="18.75" customHeight="1" x14ac:dyDescent="0.25">
      <c r="A80" s="87">
        <v>600</v>
      </c>
      <c r="B80" s="82">
        <v>1.8298000000000001</v>
      </c>
      <c r="C80" s="72">
        <v>3302</v>
      </c>
      <c r="D80" s="72">
        <v>3704.6</v>
      </c>
      <c r="E80" s="82">
        <v>8.7350999999999992</v>
      </c>
      <c r="F80" s="82"/>
      <c r="G80" s="28"/>
    </row>
    <row r="81" spans="1:7" ht="18.75" customHeight="1" x14ac:dyDescent="0.25">
      <c r="A81" s="87">
        <v>620</v>
      </c>
      <c r="B81" s="82">
        <v>1.8718999999999999</v>
      </c>
      <c r="C81" s="72">
        <v>3337.1</v>
      </c>
      <c r="D81" s="72">
        <v>3748.9</v>
      </c>
      <c r="E81" s="82">
        <v>8.7851999999999997</v>
      </c>
      <c r="F81" s="82"/>
      <c r="G81" s="28"/>
    </row>
    <row r="82" spans="1:7" ht="18.75" customHeight="1" x14ac:dyDescent="0.25">
      <c r="A82" s="87">
        <v>640</v>
      </c>
      <c r="B82" s="82">
        <v>1.9139999999999999</v>
      </c>
      <c r="C82" s="72">
        <v>3372.3</v>
      </c>
      <c r="D82" s="72">
        <v>3793.4</v>
      </c>
      <c r="E82" s="82">
        <v>8.8345000000000002</v>
      </c>
      <c r="F82" s="82"/>
      <c r="G82" s="28"/>
    </row>
    <row r="83" spans="1:7" ht="18.75" customHeight="1" x14ac:dyDescent="0.25">
      <c r="A83" s="87">
        <v>660</v>
      </c>
      <c r="B83" s="82">
        <v>1.9560999999999999</v>
      </c>
      <c r="C83" s="72">
        <v>3407.9</v>
      </c>
      <c r="D83" s="72">
        <v>3838.2</v>
      </c>
      <c r="E83" s="82">
        <v>8.8831000000000007</v>
      </c>
      <c r="F83" s="82"/>
      <c r="G83" s="28"/>
    </row>
    <row r="84" spans="1:7" ht="18.75" customHeight="1" x14ac:dyDescent="0.25">
      <c r="A84" s="87">
        <v>680</v>
      </c>
      <c r="B84" s="82">
        <v>1.9981</v>
      </c>
      <c r="C84" s="72">
        <v>3443.7</v>
      </c>
      <c r="D84" s="72">
        <v>3883.3</v>
      </c>
      <c r="E84" s="82">
        <v>8.9308999999999994</v>
      </c>
      <c r="F84" s="82"/>
      <c r="G84" s="28"/>
    </row>
    <row r="85" spans="1:7" ht="18.75" customHeight="1" x14ac:dyDescent="0.25">
      <c r="A85" s="87">
        <v>700</v>
      </c>
      <c r="B85" s="82">
        <v>2.0402</v>
      </c>
      <c r="C85" s="72">
        <v>3479.9</v>
      </c>
      <c r="D85" s="72">
        <v>3928.7</v>
      </c>
      <c r="E85" s="82">
        <v>8.9779999999999998</v>
      </c>
      <c r="F85" s="82"/>
      <c r="G85" s="28"/>
    </row>
    <row r="86" spans="1:7" ht="18.75" customHeight="1" x14ac:dyDescent="0.25">
      <c r="A86" s="87">
        <v>720</v>
      </c>
      <c r="B86" s="82">
        <v>2.0821999999999998</v>
      </c>
      <c r="C86" s="72">
        <v>3516.2</v>
      </c>
      <c r="D86" s="72">
        <v>3974.3</v>
      </c>
      <c r="E86" s="82">
        <v>9.0244</v>
      </c>
      <c r="F86" s="82"/>
      <c r="G86" s="28"/>
    </row>
    <row r="87" spans="1:7" ht="18.75" customHeight="1" x14ac:dyDescent="0.25">
      <c r="A87" s="87">
        <v>740</v>
      </c>
      <c r="B87" s="82">
        <v>2.1242999999999999</v>
      </c>
      <c r="C87" s="72">
        <v>3552.9</v>
      </c>
      <c r="D87" s="72">
        <v>4020.2</v>
      </c>
      <c r="E87" s="82">
        <v>9.0701999999999998</v>
      </c>
      <c r="F87" s="82"/>
      <c r="G87" s="28"/>
    </row>
    <row r="88" spans="1:7" ht="18.75" customHeight="1" x14ac:dyDescent="0.25">
      <c r="A88" s="87">
        <v>760</v>
      </c>
      <c r="B88" s="82">
        <v>2.1663000000000001</v>
      </c>
      <c r="C88" s="72">
        <v>3589.8</v>
      </c>
      <c r="D88" s="72">
        <v>4066.4</v>
      </c>
      <c r="E88" s="82">
        <v>9.1152999999999995</v>
      </c>
      <c r="F88" s="82"/>
      <c r="G88" s="28"/>
    </row>
    <row r="89" spans="1:7" ht="18.75" customHeight="1" x14ac:dyDescent="0.25">
      <c r="A89" s="87">
        <v>780</v>
      </c>
      <c r="B89" s="82">
        <v>2.2082999999999999</v>
      </c>
      <c r="C89" s="72">
        <v>3627.1</v>
      </c>
      <c r="D89" s="72">
        <v>4112.8999999999996</v>
      </c>
      <c r="E89" s="82">
        <v>9.1599000000000004</v>
      </c>
      <c r="F89" s="82"/>
      <c r="G89" s="28"/>
    </row>
    <row r="90" spans="1:7" ht="18.75" customHeight="1" x14ac:dyDescent="0.25">
      <c r="A90" s="87">
        <v>800</v>
      </c>
      <c r="B90" s="82">
        <v>2.2504</v>
      </c>
      <c r="C90" s="72">
        <v>3664.6</v>
      </c>
      <c r="D90" s="72">
        <v>4159.7</v>
      </c>
      <c r="E90" s="82">
        <v>9.2039000000000009</v>
      </c>
      <c r="F90" s="82"/>
      <c r="G90" s="28"/>
    </row>
    <row r="91" spans="1:7" ht="18.75" customHeight="1" x14ac:dyDescent="0.25">
      <c r="A91" s="87">
        <v>820</v>
      </c>
      <c r="B91" s="82">
        <v>2.2924000000000002</v>
      </c>
      <c r="C91" s="72">
        <v>3702.4</v>
      </c>
      <c r="D91" s="72">
        <v>4206.7</v>
      </c>
      <c r="E91" s="82">
        <v>9.2472999999999992</v>
      </c>
      <c r="F91" s="82"/>
      <c r="G91" s="28"/>
    </row>
    <row r="92" spans="1:7" ht="18.75" customHeight="1" x14ac:dyDescent="0.25">
      <c r="A92" s="87">
        <v>840</v>
      </c>
      <c r="B92" s="82">
        <v>2.3344</v>
      </c>
      <c r="C92" s="72">
        <v>3740.4</v>
      </c>
      <c r="D92" s="72">
        <v>4254</v>
      </c>
      <c r="E92" s="82">
        <v>9.2902000000000005</v>
      </c>
      <c r="F92" s="82"/>
      <c r="G92" s="28"/>
    </row>
    <row r="93" spans="1:7" ht="18.75" customHeight="1" x14ac:dyDescent="0.25">
      <c r="A93" s="87">
        <v>860</v>
      </c>
      <c r="B93" s="82">
        <v>2.3763999999999998</v>
      </c>
      <c r="C93" s="72">
        <v>3778.8</v>
      </c>
      <c r="D93" s="72">
        <v>4301.6000000000004</v>
      </c>
      <c r="E93" s="82">
        <v>9.3324999999999996</v>
      </c>
      <c r="F93" s="82"/>
      <c r="G93" s="28"/>
    </row>
    <row r="94" spans="1:7" ht="18.75" customHeight="1" x14ac:dyDescent="0.25">
      <c r="A94" s="87">
        <v>880</v>
      </c>
      <c r="B94" s="82">
        <v>2.4184000000000001</v>
      </c>
      <c r="C94" s="72">
        <v>3817.4</v>
      </c>
      <c r="D94" s="72">
        <v>4349.3999999999996</v>
      </c>
      <c r="E94" s="82">
        <v>9.3743999999999996</v>
      </c>
      <c r="F94" s="82"/>
      <c r="G94" s="28"/>
    </row>
    <row r="95" spans="1:7" ht="18.75" customHeight="1" x14ac:dyDescent="0.25">
      <c r="A95" s="87">
        <v>900</v>
      </c>
      <c r="B95" s="82">
        <v>2.4603999999999999</v>
      </c>
      <c r="C95" s="72">
        <v>3856.3</v>
      </c>
      <c r="D95" s="72">
        <v>4397.6000000000004</v>
      </c>
      <c r="E95" s="82">
        <v>9.4158000000000008</v>
      </c>
      <c r="F95" s="82"/>
      <c r="G95" s="28"/>
    </row>
    <row r="96" spans="1:7" ht="18.75" customHeight="1" x14ac:dyDescent="0.25">
      <c r="A96" s="87">
        <v>920</v>
      </c>
      <c r="B96" s="82">
        <v>2.5024999999999999</v>
      </c>
      <c r="C96" s="72">
        <v>3895.4</v>
      </c>
      <c r="D96" s="72">
        <v>4446</v>
      </c>
      <c r="E96" s="82">
        <v>9.4566999999999997</v>
      </c>
      <c r="F96" s="82"/>
      <c r="G96" s="28"/>
    </row>
    <row r="97" spans="1:7" ht="18.75" customHeight="1" x14ac:dyDescent="0.25">
      <c r="A97" s="87">
        <v>940</v>
      </c>
      <c r="B97" s="82">
        <v>2.5445000000000002</v>
      </c>
      <c r="C97" s="72">
        <v>3934.8</v>
      </c>
      <c r="D97" s="72">
        <v>4494.6000000000004</v>
      </c>
      <c r="E97" s="82">
        <v>9.4970999999999997</v>
      </c>
      <c r="F97" s="82"/>
      <c r="G97" s="28"/>
    </row>
    <row r="98" spans="1:7" ht="18.75" customHeight="1" x14ac:dyDescent="0.25">
      <c r="A98" s="87">
        <v>960</v>
      </c>
      <c r="B98" s="82">
        <v>2.5865</v>
      </c>
      <c r="C98" s="72">
        <v>3974.6</v>
      </c>
      <c r="D98" s="72">
        <v>4543.6000000000004</v>
      </c>
      <c r="E98" s="82">
        <v>9.5371000000000006</v>
      </c>
      <c r="F98" s="82"/>
      <c r="G98" s="28"/>
    </row>
    <row r="99" spans="1:7" ht="18.75" customHeight="1" x14ac:dyDescent="0.25">
      <c r="A99" s="87">
        <v>980</v>
      </c>
      <c r="B99" s="82">
        <v>2.6284999999999998</v>
      </c>
      <c r="C99" s="72">
        <v>4014.5</v>
      </c>
      <c r="D99" s="72">
        <v>4592.8</v>
      </c>
      <c r="E99" s="82">
        <v>9.5767000000000007</v>
      </c>
      <c r="F99" s="82"/>
      <c r="G99" s="28"/>
    </row>
    <row r="100" spans="1:7" ht="13.8" x14ac:dyDescent="0.25">
      <c r="A100" s="87">
        <v>1000</v>
      </c>
      <c r="B100" s="82">
        <v>2.6705000000000001</v>
      </c>
      <c r="C100" s="72">
        <v>4054.7</v>
      </c>
      <c r="D100" s="72">
        <v>4642.2</v>
      </c>
      <c r="E100" s="82">
        <v>9.6158999999999999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100"/>
  <sheetViews>
    <sheetView topLeftCell="A11" workbookViewId="0">
      <selection activeCell="A31" sqref="A31:XFD31"/>
    </sheetView>
  </sheetViews>
  <sheetFormatPr defaultRowHeight="13.2" x14ac:dyDescent="0.25"/>
  <cols>
    <col min="1" max="1" width="9.21875" customWidth="1"/>
    <col min="2" max="2" width="11.6640625" customWidth="1"/>
    <col min="3" max="5" width="8.21875" customWidth="1"/>
    <col min="6" max="6" width="2.44140625" customWidth="1"/>
    <col min="7" max="7" width="8" customWidth="1"/>
    <col min="8" max="8" width="75.77734375" customWidth="1"/>
  </cols>
  <sheetData>
    <row r="1" spans="1:8" ht="18.75" customHeight="1" x14ac:dyDescent="0.25">
      <c r="A1" s="193" t="s">
        <v>51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240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5" t="s">
        <v>28</v>
      </c>
      <c r="D3" s="75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3" t="s">
        <v>19</v>
      </c>
      <c r="D4" s="73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1.0000899999999999E-3</v>
      </c>
      <c r="C5" s="74">
        <v>-0.04</v>
      </c>
      <c r="D5" s="74">
        <v>0.2</v>
      </c>
      <c r="E5" s="81">
        <v>-1.3999999999999999E-4</v>
      </c>
      <c r="F5" s="81"/>
      <c r="G5" s="28"/>
      <c r="H5" s="28"/>
    </row>
    <row r="6" spans="1:8" ht="18.75" customHeight="1" x14ac:dyDescent="0.25">
      <c r="A6" s="87">
        <v>5</v>
      </c>
      <c r="B6" s="79">
        <v>9.9996999999999998E-4</v>
      </c>
      <c r="C6" s="74">
        <v>21.02</v>
      </c>
      <c r="D6" s="74">
        <v>21.26</v>
      </c>
      <c r="E6" s="81">
        <v>7.6249999999999998E-2</v>
      </c>
      <c r="F6" s="81"/>
      <c r="G6" s="28"/>
      <c r="H6" s="28"/>
    </row>
    <row r="7" spans="1:8" ht="18.75" customHeight="1" x14ac:dyDescent="0.25">
      <c r="A7" s="87">
        <v>10</v>
      </c>
      <c r="B7" s="79">
        <v>1.00023E-3</v>
      </c>
      <c r="C7" s="74">
        <v>42.01</v>
      </c>
      <c r="D7" s="74">
        <v>42.25</v>
      </c>
      <c r="E7" s="81">
        <v>0.15106</v>
      </c>
      <c r="F7" s="81"/>
      <c r="G7" s="28"/>
      <c r="H7" s="28"/>
    </row>
    <row r="8" spans="1:8" ht="18.75" customHeight="1" x14ac:dyDescent="0.25">
      <c r="A8" s="87">
        <v>15</v>
      </c>
      <c r="B8" s="79">
        <v>1.0008300000000001E-3</v>
      </c>
      <c r="C8" s="74">
        <v>62.97</v>
      </c>
      <c r="D8" s="74">
        <v>63.21</v>
      </c>
      <c r="E8" s="81">
        <v>0.22442999999999999</v>
      </c>
      <c r="F8" s="81"/>
      <c r="G8" s="28"/>
      <c r="H8" s="28"/>
    </row>
    <row r="9" spans="1:8" ht="18.75" customHeight="1" x14ac:dyDescent="0.25">
      <c r="A9" s="87">
        <v>20</v>
      </c>
      <c r="B9" s="79">
        <v>1.0017299999999999E-3</v>
      </c>
      <c r="C9" s="74">
        <v>83.9</v>
      </c>
      <c r="D9" s="74">
        <v>84.14</v>
      </c>
      <c r="E9" s="81">
        <v>0.29643000000000003</v>
      </c>
      <c r="F9" s="81"/>
      <c r="G9" s="28"/>
      <c r="H9" s="28"/>
    </row>
    <row r="10" spans="1:8" ht="18.75" customHeight="1" x14ac:dyDescent="0.25">
      <c r="A10" s="87">
        <v>25</v>
      </c>
      <c r="B10" s="79">
        <v>1.0028999999999999E-3</v>
      </c>
      <c r="C10" s="74">
        <v>104.81</v>
      </c>
      <c r="D10" s="74">
        <v>105.05</v>
      </c>
      <c r="E10" s="81">
        <v>0.36715999999999999</v>
      </c>
      <c r="F10" s="81"/>
      <c r="G10" s="28"/>
      <c r="H10" s="28"/>
    </row>
    <row r="11" spans="1:8" ht="18.75" customHeight="1" x14ac:dyDescent="0.25">
      <c r="A11" s="87">
        <v>30</v>
      </c>
      <c r="B11" s="79">
        <v>1.00431E-3</v>
      </c>
      <c r="C11" s="74">
        <v>125.71</v>
      </c>
      <c r="D11" s="74">
        <v>125.95</v>
      </c>
      <c r="E11" s="81">
        <v>0.43668000000000001</v>
      </c>
      <c r="F11" s="81"/>
      <c r="G11" s="28"/>
    </row>
    <row r="12" spans="1:8" ht="18.75" customHeight="1" x14ac:dyDescent="0.25">
      <c r="A12" s="87">
        <v>35</v>
      </c>
      <c r="B12" s="79">
        <v>1.0059400000000001E-3</v>
      </c>
      <c r="C12" s="74">
        <v>146.6</v>
      </c>
      <c r="D12" s="74">
        <v>146.84</v>
      </c>
      <c r="E12" s="81">
        <v>0.50505</v>
      </c>
      <c r="F12" s="81"/>
      <c r="G12" s="28"/>
    </row>
    <row r="13" spans="1:8" ht="18.75" customHeight="1" x14ac:dyDescent="0.25">
      <c r="A13" s="87">
        <v>40</v>
      </c>
      <c r="B13" s="79">
        <v>1.00778E-3</v>
      </c>
      <c r="C13" s="74">
        <v>167.5</v>
      </c>
      <c r="D13" s="74">
        <v>167.74</v>
      </c>
      <c r="E13" s="81">
        <v>0.57230999999999999</v>
      </c>
      <c r="F13" s="81"/>
      <c r="G13" s="28"/>
    </row>
    <row r="14" spans="1:8" ht="18.75" customHeight="1" x14ac:dyDescent="0.25">
      <c r="A14" s="87">
        <v>45</v>
      </c>
      <c r="B14" s="79">
        <v>1.00982E-3</v>
      </c>
      <c r="C14" s="74">
        <v>188.4</v>
      </c>
      <c r="D14" s="74">
        <v>188.64</v>
      </c>
      <c r="E14" s="81">
        <v>0.63851999999999998</v>
      </c>
      <c r="F14" s="81"/>
      <c r="G14" s="28"/>
    </row>
    <row r="15" spans="1:8" ht="18.75" customHeight="1" x14ac:dyDescent="0.25">
      <c r="A15" s="87">
        <v>50</v>
      </c>
      <c r="B15" s="79">
        <v>1.01205E-3</v>
      </c>
      <c r="C15" s="74">
        <v>209.3</v>
      </c>
      <c r="D15" s="74">
        <v>209.54</v>
      </c>
      <c r="E15" s="81">
        <v>0.70369999999999999</v>
      </c>
      <c r="F15" s="81"/>
      <c r="G15" s="28"/>
    </row>
    <row r="16" spans="1:8" ht="18.75" customHeight="1" x14ac:dyDescent="0.25">
      <c r="A16" s="87">
        <v>55</v>
      </c>
      <c r="B16" s="79">
        <v>1.0144500000000001E-3</v>
      </c>
      <c r="C16" s="74">
        <v>230.21</v>
      </c>
      <c r="D16" s="74">
        <v>230.45</v>
      </c>
      <c r="E16" s="81">
        <v>0.76790999999999998</v>
      </c>
      <c r="F16" s="81"/>
      <c r="G16" s="28"/>
    </row>
    <row r="17" spans="1:7" ht="18.75" customHeight="1" x14ac:dyDescent="0.25">
      <c r="A17" s="87">
        <v>60</v>
      </c>
      <c r="B17" s="79">
        <v>1.0170299999999999E-3</v>
      </c>
      <c r="C17" s="74">
        <v>251.13</v>
      </c>
      <c r="D17" s="74">
        <v>251.37</v>
      </c>
      <c r="E17" s="81">
        <v>0.83118000000000003</v>
      </c>
      <c r="F17" s="81"/>
      <c r="G17" s="28"/>
    </row>
    <row r="18" spans="1:7" ht="18.75" customHeight="1" x14ac:dyDescent="0.25">
      <c r="A18" s="87">
        <v>65</v>
      </c>
      <c r="B18" s="79">
        <v>1.0197699999999999E-3</v>
      </c>
      <c r="C18" s="74">
        <v>272.05</v>
      </c>
      <c r="D18" s="74">
        <v>272.29000000000002</v>
      </c>
      <c r="E18" s="81">
        <v>0.89353000000000005</v>
      </c>
      <c r="F18" s="81"/>
      <c r="G18" s="28"/>
    </row>
    <row r="19" spans="1:7" ht="18.75" customHeight="1" x14ac:dyDescent="0.25">
      <c r="A19" s="87">
        <v>70</v>
      </c>
      <c r="B19" s="79">
        <v>1.02268E-3</v>
      </c>
      <c r="C19" s="74">
        <v>292.99</v>
      </c>
      <c r="D19" s="74">
        <v>293.24</v>
      </c>
      <c r="E19" s="81">
        <v>0.95501000000000003</v>
      </c>
      <c r="F19" s="81"/>
      <c r="G19" s="28"/>
    </row>
    <row r="20" spans="1:7" ht="18.75" customHeight="1" x14ac:dyDescent="0.25">
      <c r="A20" s="87">
        <v>75</v>
      </c>
      <c r="B20" s="79">
        <v>1.02574E-3</v>
      </c>
      <c r="C20" s="74">
        <v>313.94</v>
      </c>
      <c r="D20" s="74">
        <v>314.19</v>
      </c>
      <c r="E20" s="82">
        <v>1.0156000000000001</v>
      </c>
      <c r="F20" s="82"/>
      <c r="G20" s="28"/>
    </row>
    <row r="21" spans="1:7" ht="18.75" customHeight="1" x14ac:dyDescent="0.25">
      <c r="A21" s="87">
        <v>80</v>
      </c>
      <c r="B21" s="79">
        <v>1.02896E-3</v>
      </c>
      <c r="C21" s="74">
        <v>334.92</v>
      </c>
      <c r="D21" s="74">
        <v>335.17</v>
      </c>
      <c r="E21" s="82">
        <v>1.0754999999999999</v>
      </c>
      <c r="F21" s="82"/>
      <c r="G21" s="28"/>
    </row>
    <row r="22" spans="1:7" ht="18.75" customHeight="1" x14ac:dyDescent="0.25">
      <c r="A22" s="87">
        <v>85</v>
      </c>
      <c r="B22" s="79">
        <v>1.0323400000000001E-3</v>
      </c>
      <c r="C22" s="74">
        <v>355.91</v>
      </c>
      <c r="D22" s="74">
        <v>356.16</v>
      </c>
      <c r="E22" s="82">
        <v>1.1345000000000001</v>
      </c>
      <c r="F22" s="82"/>
      <c r="G22" s="28"/>
    </row>
    <row r="23" spans="1:7" ht="18.75" customHeight="1" x14ac:dyDescent="0.25">
      <c r="A23" s="87">
        <v>90</v>
      </c>
      <c r="B23" s="79">
        <v>1.0358699999999999E-3</v>
      </c>
      <c r="C23" s="74">
        <v>376.92</v>
      </c>
      <c r="D23" s="74">
        <v>377.17</v>
      </c>
      <c r="E23" s="82">
        <v>1.1927000000000001</v>
      </c>
      <c r="F23" s="82"/>
      <c r="G23" s="28"/>
    </row>
    <row r="24" spans="1:7" ht="18.75" customHeight="1" x14ac:dyDescent="0.25">
      <c r="A24" s="87">
        <v>95</v>
      </c>
      <c r="B24" s="79">
        <v>1.03955E-3</v>
      </c>
      <c r="C24" s="74">
        <v>397.96</v>
      </c>
      <c r="D24" s="74">
        <v>398.21</v>
      </c>
      <c r="E24" s="82">
        <v>1.2503</v>
      </c>
      <c r="F24" s="82"/>
      <c r="G24" s="28"/>
    </row>
    <row r="25" spans="1:7" ht="18.75" customHeight="1" x14ac:dyDescent="0.25">
      <c r="A25" s="87">
        <v>100</v>
      </c>
      <c r="B25" s="79">
        <v>1.0433899999999999E-3</v>
      </c>
      <c r="C25" s="74">
        <v>419.02</v>
      </c>
      <c r="D25" s="74">
        <v>419.27</v>
      </c>
      <c r="E25" s="82">
        <v>1.3070999999999999</v>
      </c>
      <c r="F25" s="82"/>
      <c r="G25" s="28"/>
    </row>
    <row r="26" spans="1:7" ht="18.75" customHeight="1" x14ac:dyDescent="0.25">
      <c r="A26" s="87">
        <v>105</v>
      </c>
      <c r="B26" s="79">
        <v>1.0473800000000001E-3</v>
      </c>
      <c r="C26" s="74">
        <v>440.11</v>
      </c>
      <c r="D26" s="74">
        <v>440.36</v>
      </c>
      <c r="E26" s="82">
        <v>1.3633</v>
      </c>
      <c r="F26" s="82"/>
      <c r="G26" s="28"/>
    </row>
    <row r="27" spans="1:7" ht="18.75" customHeight="1" x14ac:dyDescent="0.25">
      <c r="A27" s="87">
        <v>110</v>
      </c>
      <c r="B27" s="79">
        <v>1.05153E-3</v>
      </c>
      <c r="C27" s="74">
        <v>461.24</v>
      </c>
      <c r="D27" s="74">
        <v>461.49</v>
      </c>
      <c r="E27" s="82">
        <v>1.4187000000000001</v>
      </c>
      <c r="F27" s="82"/>
      <c r="G27" s="28"/>
    </row>
    <row r="28" spans="1:7" ht="18.75" customHeight="1" x14ac:dyDescent="0.25">
      <c r="A28" s="87">
        <v>115</v>
      </c>
      <c r="B28" s="79">
        <v>1.0558399999999999E-3</v>
      </c>
      <c r="C28" s="74">
        <v>482.39</v>
      </c>
      <c r="D28" s="74">
        <v>482.64</v>
      </c>
      <c r="E28" s="82">
        <v>1.4736</v>
      </c>
      <c r="F28" s="82"/>
      <c r="G28" s="28"/>
    </row>
    <row r="29" spans="1:7" ht="18.75" customHeight="1" x14ac:dyDescent="0.25">
      <c r="A29" s="87">
        <v>120</v>
      </c>
      <c r="B29" s="79">
        <v>1.0602999999999999E-3</v>
      </c>
      <c r="C29" s="74">
        <v>503.59</v>
      </c>
      <c r="D29" s="74">
        <v>503.84</v>
      </c>
      <c r="E29" s="82">
        <v>1.5279</v>
      </c>
      <c r="F29" s="82"/>
      <c r="G29" s="28"/>
    </row>
    <row r="30" spans="1:7" ht="18.75" customHeight="1" x14ac:dyDescent="0.25">
      <c r="A30" s="87">
        <v>125</v>
      </c>
      <c r="B30" s="79">
        <v>1.06493E-3</v>
      </c>
      <c r="C30" s="74">
        <v>524.82000000000005</v>
      </c>
      <c r="D30" s="74">
        <v>525.08000000000004</v>
      </c>
      <c r="E30" s="82">
        <v>1.5815999999999999</v>
      </c>
      <c r="F30" s="82"/>
      <c r="G30" s="28"/>
    </row>
    <row r="31" spans="1:7" ht="18.75" customHeight="1" x14ac:dyDescent="0.25">
      <c r="A31" s="87">
        <v>130</v>
      </c>
      <c r="B31" s="81">
        <v>0.75507000000000002</v>
      </c>
      <c r="C31" s="72">
        <v>2542</v>
      </c>
      <c r="D31" s="72">
        <v>2723.2</v>
      </c>
      <c r="E31" s="82">
        <v>7.0876000000000001</v>
      </c>
      <c r="F31" s="82"/>
      <c r="G31" s="28"/>
    </row>
    <row r="32" spans="1:7" ht="18.75" customHeight="1" x14ac:dyDescent="0.25">
      <c r="A32" s="87">
        <v>135</v>
      </c>
      <c r="B32" s="81">
        <v>0.76566000000000001</v>
      </c>
      <c r="C32" s="72">
        <v>2550.3000000000002</v>
      </c>
      <c r="D32" s="72">
        <v>2734.1</v>
      </c>
      <c r="E32" s="82">
        <v>7.1143000000000001</v>
      </c>
      <c r="F32" s="82"/>
      <c r="G32" s="28"/>
    </row>
    <row r="33" spans="1:7" ht="18.75" customHeight="1" x14ac:dyDescent="0.25">
      <c r="A33" s="87">
        <v>140</v>
      </c>
      <c r="B33" s="81">
        <v>0.77615999999999996</v>
      </c>
      <c r="C33" s="72">
        <v>2558.5</v>
      </c>
      <c r="D33" s="72">
        <v>2744.8</v>
      </c>
      <c r="E33" s="82">
        <v>7.1405000000000003</v>
      </c>
      <c r="F33" s="82"/>
      <c r="G33" s="28"/>
    </row>
    <row r="34" spans="1:7" ht="18.75" customHeight="1" x14ac:dyDescent="0.25">
      <c r="A34" s="87">
        <v>145</v>
      </c>
      <c r="B34" s="81">
        <v>0.78659999999999997</v>
      </c>
      <c r="C34" s="72">
        <v>2566.6</v>
      </c>
      <c r="D34" s="72">
        <v>2755.4</v>
      </c>
      <c r="E34" s="82">
        <v>7.1660000000000004</v>
      </c>
      <c r="F34" s="82"/>
      <c r="G34" s="28"/>
    </row>
    <row r="35" spans="1:7" ht="18.75" customHeight="1" x14ac:dyDescent="0.25">
      <c r="A35" s="87">
        <v>150</v>
      </c>
      <c r="B35" s="81">
        <v>0.79696999999999996</v>
      </c>
      <c r="C35" s="72">
        <v>2574.6999999999998</v>
      </c>
      <c r="D35" s="72">
        <v>2766</v>
      </c>
      <c r="E35" s="82">
        <v>7.1910999999999996</v>
      </c>
      <c r="F35" s="82"/>
      <c r="G35" s="28"/>
    </row>
    <row r="36" spans="1:7" ht="18.75" customHeight="1" x14ac:dyDescent="0.25">
      <c r="A36" s="87">
        <v>155</v>
      </c>
      <c r="B36" s="81">
        <v>0.80728999999999995</v>
      </c>
      <c r="C36" s="72">
        <v>2582.8000000000002</v>
      </c>
      <c r="D36" s="72">
        <v>2776.5</v>
      </c>
      <c r="E36" s="82">
        <v>7.2157</v>
      </c>
      <c r="F36" s="82"/>
      <c r="G36" s="28"/>
    </row>
    <row r="37" spans="1:7" ht="18.75" customHeight="1" x14ac:dyDescent="0.25">
      <c r="A37" s="87">
        <v>160</v>
      </c>
      <c r="B37" s="81">
        <v>0.81757000000000002</v>
      </c>
      <c r="C37" s="72">
        <v>2590.6999999999998</v>
      </c>
      <c r="D37" s="72">
        <v>2786.9</v>
      </c>
      <c r="E37" s="82">
        <v>7.2398999999999996</v>
      </c>
      <c r="F37" s="82"/>
      <c r="G37" s="28"/>
    </row>
    <row r="38" spans="1:7" ht="18.75" customHeight="1" x14ac:dyDescent="0.25">
      <c r="A38" s="87">
        <v>165</v>
      </c>
      <c r="B38" s="81">
        <v>0.82779000000000003</v>
      </c>
      <c r="C38" s="72">
        <v>2598.5</v>
      </c>
      <c r="D38" s="72">
        <v>2797.2</v>
      </c>
      <c r="E38" s="82">
        <v>7.2636000000000003</v>
      </c>
      <c r="F38" s="82"/>
      <c r="G38" s="28"/>
    </row>
    <row r="39" spans="1:7" ht="18.75" customHeight="1" x14ac:dyDescent="0.25">
      <c r="A39" s="87">
        <v>170</v>
      </c>
      <c r="B39" s="81">
        <v>0.83797999999999995</v>
      </c>
      <c r="C39" s="72">
        <v>2606.5</v>
      </c>
      <c r="D39" s="72">
        <v>2807.6</v>
      </c>
      <c r="E39" s="82">
        <v>7.2870999999999997</v>
      </c>
      <c r="F39" s="82"/>
      <c r="G39" s="28"/>
    </row>
    <row r="40" spans="1:7" ht="18.75" customHeight="1" x14ac:dyDescent="0.25">
      <c r="A40" s="87">
        <v>175</v>
      </c>
      <c r="B40" s="81">
        <v>0.84814000000000001</v>
      </c>
      <c r="C40" s="72">
        <v>2614.1999999999998</v>
      </c>
      <c r="D40" s="72">
        <v>2817.8</v>
      </c>
      <c r="E40" s="82">
        <v>7.3101000000000003</v>
      </c>
      <c r="F40" s="82"/>
      <c r="G40" s="28"/>
    </row>
    <row r="41" spans="1:7" ht="18.75" customHeight="1" x14ac:dyDescent="0.25">
      <c r="A41" s="87">
        <v>180</v>
      </c>
      <c r="B41" s="81">
        <v>0.85826000000000002</v>
      </c>
      <c r="C41" s="72">
        <v>2622.1</v>
      </c>
      <c r="D41" s="72">
        <v>2828.1</v>
      </c>
      <c r="E41" s="82">
        <v>7.3329000000000004</v>
      </c>
      <c r="F41" s="82"/>
      <c r="G41" s="28"/>
    </row>
    <row r="42" spans="1:7" ht="18.75" customHeight="1" x14ac:dyDescent="0.25">
      <c r="A42" s="87">
        <v>185</v>
      </c>
      <c r="B42" s="81">
        <v>0.86834999999999996</v>
      </c>
      <c r="C42" s="72">
        <v>2629.9</v>
      </c>
      <c r="D42" s="72">
        <v>2838.3</v>
      </c>
      <c r="E42" s="82">
        <v>7.3552999999999997</v>
      </c>
      <c r="F42" s="82"/>
      <c r="G42" s="28"/>
    </row>
    <row r="43" spans="1:7" ht="18.75" customHeight="1" x14ac:dyDescent="0.25">
      <c r="A43" s="87">
        <v>190</v>
      </c>
      <c r="B43" s="81">
        <v>0.87841000000000002</v>
      </c>
      <c r="C43" s="72">
        <v>2637.7</v>
      </c>
      <c r="D43" s="72">
        <v>2848.5</v>
      </c>
      <c r="E43" s="82">
        <v>7.3773999999999997</v>
      </c>
      <c r="F43" s="82"/>
      <c r="G43" s="28"/>
    </row>
    <row r="44" spans="1:7" ht="18.75" customHeight="1" x14ac:dyDescent="0.25">
      <c r="A44" s="87">
        <v>195</v>
      </c>
      <c r="B44" s="81">
        <v>0.88844999999999996</v>
      </c>
      <c r="C44" s="72">
        <v>2645.5</v>
      </c>
      <c r="D44" s="72">
        <v>2858.7</v>
      </c>
      <c r="E44" s="82">
        <v>7.3993000000000002</v>
      </c>
      <c r="F44" s="82"/>
      <c r="G44" s="28"/>
    </row>
    <row r="45" spans="1:7" ht="18.75" customHeight="1" x14ac:dyDescent="0.25">
      <c r="A45" s="87">
        <v>200</v>
      </c>
      <c r="B45" s="81">
        <v>0.89846999999999999</v>
      </c>
      <c r="C45" s="72">
        <v>2653.2</v>
      </c>
      <c r="D45" s="72">
        <v>2868.8</v>
      </c>
      <c r="E45" s="82">
        <v>7.4207999999999998</v>
      </c>
      <c r="F45" s="82"/>
      <c r="G45" s="28"/>
    </row>
    <row r="46" spans="1:7" ht="18.75" customHeight="1" x14ac:dyDescent="0.25">
      <c r="A46" s="87">
        <v>210</v>
      </c>
      <c r="B46" s="81">
        <v>0.91842999999999997</v>
      </c>
      <c r="C46" s="72">
        <v>2668.7</v>
      </c>
      <c r="D46" s="72">
        <v>2889.1</v>
      </c>
      <c r="E46" s="82">
        <v>7.4631999999999996</v>
      </c>
      <c r="F46" s="82"/>
      <c r="G46" s="28"/>
    </row>
    <row r="47" spans="1:7" ht="18.75" customHeight="1" x14ac:dyDescent="0.25">
      <c r="A47" s="87">
        <v>220</v>
      </c>
      <c r="B47" s="81">
        <v>0.93833</v>
      </c>
      <c r="C47" s="72">
        <v>2684.1</v>
      </c>
      <c r="D47" s="72">
        <v>2909.3</v>
      </c>
      <c r="E47" s="82">
        <v>7.5045999999999999</v>
      </c>
      <c r="F47" s="82"/>
      <c r="G47" s="28"/>
    </row>
    <row r="48" spans="1:7" ht="18.75" customHeight="1" x14ac:dyDescent="0.25">
      <c r="A48" s="87">
        <v>230</v>
      </c>
      <c r="B48" s="81">
        <v>0.95816000000000001</v>
      </c>
      <c r="C48" s="72">
        <v>2699.5</v>
      </c>
      <c r="D48" s="72">
        <v>2929.5</v>
      </c>
      <c r="E48" s="82">
        <v>7.5452000000000004</v>
      </c>
      <c r="F48" s="82"/>
      <c r="G48" s="28"/>
    </row>
    <row r="49" spans="1:7" ht="18.75" customHeight="1" x14ac:dyDescent="0.25">
      <c r="A49" s="87">
        <v>240</v>
      </c>
      <c r="B49" s="81">
        <v>0.97794000000000003</v>
      </c>
      <c r="C49" s="72">
        <v>2715</v>
      </c>
      <c r="D49" s="72">
        <v>2949.7</v>
      </c>
      <c r="E49" s="82">
        <v>7.5849000000000002</v>
      </c>
      <c r="F49" s="82"/>
      <c r="G49" s="28"/>
    </row>
    <row r="50" spans="1:7" ht="18.75" customHeight="1" x14ac:dyDescent="0.25">
      <c r="A50" s="87">
        <v>250</v>
      </c>
      <c r="B50" s="81">
        <v>0.99766999999999995</v>
      </c>
      <c r="C50" s="72">
        <v>2730.5</v>
      </c>
      <c r="D50" s="72">
        <v>2969.9</v>
      </c>
      <c r="E50" s="82">
        <v>7.6238999999999999</v>
      </c>
      <c r="F50" s="82"/>
      <c r="G50" s="28"/>
    </row>
    <row r="51" spans="1:7" ht="18.75" customHeight="1" x14ac:dyDescent="0.25">
      <c r="A51" s="87">
        <v>260</v>
      </c>
      <c r="B51" s="82">
        <v>1.0174000000000001</v>
      </c>
      <c r="C51" s="72">
        <v>2745.9</v>
      </c>
      <c r="D51" s="72">
        <v>2990.1</v>
      </c>
      <c r="E51" s="82">
        <v>7.6620999999999997</v>
      </c>
      <c r="F51" s="82"/>
      <c r="G51" s="28"/>
    </row>
    <row r="52" spans="1:7" ht="18.75" customHeight="1" x14ac:dyDescent="0.25">
      <c r="A52" s="87">
        <v>270</v>
      </c>
      <c r="B52" s="82">
        <v>1.0369999999999999</v>
      </c>
      <c r="C52" s="72">
        <v>2761.4</v>
      </c>
      <c r="D52" s="72">
        <v>3010.3</v>
      </c>
      <c r="E52" s="82">
        <v>7.6997</v>
      </c>
      <c r="F52" s="82"/>
      <c r="G52" s="28"/>
    </row>
    <row r="53" spans="1:7" ht="18.75" customHeight="1" x14ac:dyDescent="0.25">
      <c r="A53" s="87">
        <v>280</v>
      </c>
      <c r="B53" s="82">
        <v>1.0566</v>
      </c>
      <c r="C53" s="72">
        <v>2776.9</v>
      </c>
      <c r="D53" s="72">
        <v>3030.5</v>
      </c>
      <c r="E53" s="82">
        <v>7.7366000000000001</v>
      </c>
      <c r="F53" s="82"/>
      <c r="G53" s="28"/>
    </row>
    <row r="54" spans="1:7" ht="18.75" customHeight="1" x14ac:dyDescent="0.25">
      <c r="A54" s="87">
        <v>290</v>
      </c>
      <c r="B54" s="82">
        <v>1.0762</v>
      </c>
      <c r="C54" s="72">
        <v>2792.5</v>
      </c>
      <c r="D54" s="72">
        <v>3050.8</v>
      </c>
      <c r="E54" s="82">
        <v>7.7728999999999999</v>
      </c>
      <c r="F54" s="82"/>
      <c r="G54" s="28"/>
    </row>
    <row r="55" spans="1:7" ht="18.75" customHeight="1" x14ac:dyDescent="0.25">
      <c r="A55" s="87">
        <v>300</v>
      </c>
      <c r="B55" s="82">
        <v>1.0958000000000001</v>
      </c>
      <c r="C55" s="72">
        <v>2808.1</v>
      </c>
      <c r="D55" s="72">
        <v>3071.1</v>
      </c>
      <c r="E55" s="82">
        <v>7.8086000000000002</v>
      </c>
      <c r="F55" s="82"/>
      <c r="G55" s="28"/>
    </row>
    <row r="56" spans="1:7" ht="18.75" customHeight="1" x14ac:dyDescent="0.25">
      <c r="A56" s="87">
        <v>310</v>
      </c>
      <c r="B56" s="82">
        <v>1.1153</v>
      </c>
      <c r="C56" s="72">
        <v>2823.7</v>
      </c>
      <c r="D56" s="72">
        <v>3091.4</v>
      </c>
      <c r="E56" s="82">
        <v>7.8437999999999999</v>
      </c>
      <c r="F56" s="82"/>
      <c r="G56" s="28"/>
    </row>
    <row r="57" spans="1:7" ht="18.75" customHeight="1" x14ac:dyDescent="0.25">
      <c r="A57" s="87">
        <v>320</v>
      </c>
      <c r="B57" s="82">
        <v>1.1348</v>
      </c>
      <c r="C57" s="72">
        <v>2839.4</v>
      </c>
      <c r="D57" s="72">
        <v>3111.8</v>
      </c>
      <c r="E57" s="82">
        <v>7.8784000000000001</v>
      </c>
      <c r="F57" s="82"/>
      <c r="G57" s="28"/>
    </row>
    <row r="58" spans="1:7" ht="18.75" customHeight="1" x14ac:dyDescent="0.25">
      <c r="A58" s="87">
        <v>330</v>
      </c>
      <c r="B58" s="82">
        <v>1.1543000000000001</v>
      </c>
      <c r="C58" s="72">
        <v>2855.2</v>
      </c>
      <c r="D58" s="72">
        <v>3132.2</v>
      </c>
      <c r="E58" s="82">
        <v>7.9124999999999996</v>
      </c>
      <c r="F58" s="82"/>
      <c r="G58" s="28"/>
    </row>
    <row r="59" spans="1:7" ht="18.75" customHeight="1" x14ac:dyDescent="0.25">
      <c r="A59" s="87">
        <v>340</v>
      </c>
      <c r="B59" s="82">
        <v>1.1738</v>
      </c>
      <c r="C59" s="72">
        <v>2870.9</v>
      </c>
      <c r="D59" s="72">
        <v>3152.6</v>
      </c>
      <c r="E59" s="82">
        <v>7.9462000000000002</v>
      </c>
      <c r="F59" s="82"/>
      <c r="G59" s="28"/>
    </row>
    <row r="60" spans="1:7" ht="18.75" customHeight="1" x14ac:dyDescent="0.25">
      <c r="A60" s="87">
        <v>350</v>
      </c>
      <c r="B60" s="82">
        <v>1.1933</v>
      </c>
      <c r="C60" s="72">
        <v>2886.7</v>
      </c>
      <c r="D60" s="72">
        <v>3173.1</v>
      </c>
      <c r="E60" s="82">
        <v>7.9793000000000003</v>
      </c>
      <c r="F60" s="82"/>
      <c r="G60" s="28"/>
    </row>
    <row r="61" spans="1:7" ht="18.75" customHeight="1" x14ac:dyDescent="0.25">
      <c r="A61" s="87">
        <v>360</v>
      </c>
      <c r="B61" s="82">
        <v>1.2128000000000001</v>
      </c>
      <c r="C61" s="72">
        <v>2902.6</v>
      </c>
      <c r="D61" s="72">
        <v>3193.7</v>
      </c>
      <c r="E61" s="82">
        <v>8.0121000000000002</v>
      </c>
      <c r="F61" s="82"/>
      <c r="G61" s="28"/>
    </row>
    <row r="62" spans="1:7" ht="18.75" customHeight="1" x14ac:dyDescent="0.25">
      <c r="A62" s="87">
        <v>370</v>
      </c>
      <c r="B62" s="82">
        <v>1.2322</v>
      </c>
      <c r="C62" s="72">
        <v>2918.6</v>
      </c>
      <c r="D62" s="72">
        <v>3214.3</v>
      </c>
      <c r="E62" s="82">
        <v>8.0442999999999998</v>
      </c>
      <c r="F62" s="82"/>
      <c r="G62" s="28"/>
    </row>
    <row r="63" spans="1:7" ht="18.75" customHeight="1" x14ac:dyDescent="0.25">
      <c r="A63" s="87">
        <v>380</v>
      </c>
      <c r="B63" s="82">
        <v>1.2516</v>
      </c>
      <c r="C63" s="72">
        <v>2934.5</v>
      </c>
      <c r="D63" s="72">
        <v>3234.9</v>
      </c>
      <c r="E63" s="82">
        <v>8.0762</v>
      </c>
      <c r="F63" s="82"/>
      <c r="G63" s="28"/>
    </row>
    <row r="64" spans="1:7" ht="18.75" customHeight="1" x14ac:dyDescent="0.25">
      <c r="A64" s="87">
        <v>390</v>
      </c>
      <c r="B64" s="82">
        <v>1.2709999999999999</v>
      </c>
      <c r="C64" s="72">
        <v>2950.6</v>
      </c>
      <c r="D64" s="72">
        <v>3255.6</v>
      </c>
      <c r="E64" s="82">
        <v>8.1076999999999995</v>
      </c>
      <c r="F64" s="82"/>
      <c r="G64" s="28"/>
    </row>
    <row r="65" spans="1:7" ht="18.75" customHeight="1" x14ac:dyDescent="0.25">
      <c r="A65" s="87">
        <v>400</v>
      </c>
      <c r="B65" s="82">
        <v>1.2904</v>
      </c>
      <c r="C65" s="72">
        <v>2966.7</v>
      </c>
      <c r="D65" s="72">
        <v>3276.4</v>
      </c>
      <c r="E65" s="82">
        <v>8.1387</v>
      </c>
      <c r="F65" s="82"/>
      <c r="G65" s="28"/>
    </row>
    <row r="66" spans="1:7" ht="18.75" customHeight="1" x14ac:dyDescent="0.25">
      <c r="A66" s="87">
        <v>410</v>
      </c>
      <c r="B66" s="82">
        <v>1.3098000000000001</v>
      </c>
      <c r="C66" s="72">
        <v>2982.8</v>
      </c>
      <c r="D66" s="72">
        <v>3297.2</v>
      </c>
      <c r="E66" s="82">
        <v>8.1693999999999996</v>
      </c>
      <c r="F66" s="82"/>
      <c r="G66" s="28"/>
    </row>
    <row r="67" spans="1:7" ht="18.75" customHeight="1" x14ac:dyDescent="0.25">
      <c r="A67" s="87">
        <v>420</v>
      </c>
      <c r="B67" s="82">
        <v>1.3291999999999999</v>
      </c>
      <c r="C67" s="72">
        <v>2999.1</v>
      </c>
      <c r="D67" s="72">
        <v>3318.1</v>
      </c>
      <c r="E67" s="82">
        <v>8.1997999999999998</v>
      </c>
      <c r="F67" s="82"/>
      <c r="G67" s="28"/>
    </row>
    <row r="68" spans="1:7" ht="18.75" customHeight="1" x14ac:dyDescent="0.25">
      <c r="A68" s="87">
        <v>430</v>
      </c>
      <c r="B68" s="82">
        <v>1.3486</v>
      </c>
      <c r="C68" s="72">
        <v>3015.3</v>
      </c>
      <c r="D68" s="72">
        <v>3339</v>
      </c>
      <c r="E68" s="82">
        <v>8.2296999999999993</v>
      </c>
      <c r="F68" s="82"/>
      <c r="G68" s="28"/>
    </row>
    <row r="69" spans="1:7" ht="18.75" customHeight="1" x14ac:dyDescent="0.25">
      <c r="A69" s="87">
        <v>440</v>
      </c>
      <c r="B69" s="82">
        <v>1.3680000000000001</v>
      </c>
      <c r="C69" s="72">
        <v>3031.7</v>
      </c>
      <c r="D69" s="72">
        <v>3360</v>
      </c>
      <c r="E69" s="82">
        <v>8.2593999999999994</v>
      </c>
      <c r="F69" s="82"/>
      <c r="G69" s="28"/>
    </row>
    <row r="70" spans="1:7" ht="18.75" customHeight="1" x14ac:dyDescent="0.25">
      <c r="A70" s="87">
        <v>450</v>
      </c>
      <c r="B70" s="82">
        <v>1.3873</v>
      </c>
      <c r="C70" s="72">
        <v>3048.1</v>
      </c>
      <c r="D70" s="72">
        <v>3381.1</v>
      </c>
      <c r="E70" s="82">
        <v>8.2887000000000004</v>
      </c>
      <c r="F70" s="82"/>
      <c r="G70" s="28"/>
    </row>
    <row r="71" spans="1:7" ht="18.75" customHeight="1" x14ac:dyDescent="0.25">
      <c r="A71" s="87">
        <v>460</v>
      </c>
      <c r="B71" s="82">
        <v>1.4067000000000001</v>
      </c>
      <c r="C71" s="72">
        <v>3064.6</v>
      </c>
      <c r="D71" s="72">
        <v>3402.2</v>
      </c>
      <c r="E71" s="82">
        <v>8.3177000000000003</v>
      </c>
      <c r="F71" s="82"/>
      <c r="G71" s="28"/>
    </row>
    <row r="72" spans="1:7" ht="18.75" customHeight="1" x14ac:dyDescent="0.25">
      <c r="A72" s="87">
        <v>470</v>
      </c>
      <c r="B72" s="82">
        <v>1.4259999999999999</v>
      </c>
      <c r="C72" s="72">
        <v>3081.1</v>
      </c>
      <c r="D72" s="72">
        <v>3423.3</v>
      </c>
      <c r="E72" s="82">
        <v>8.3463999999999992</v>
      </c>
      <c r="F72" s="82"/>
      <c r="G72" s="28"/>
    </row>
    <row r="73" spans="1:7" ht="18.75" customHeight="1" x14ac:dyDescent="0.25">
      <c r="A73" s="87">
        <v>480</v>
      </c>
      <c r="B73" s="82">
        <v>1.4454</v>
      </c>
      <c r="C73" s="72">
        <v>3097.7</v>
      </c>
      <c r="D73" s="72">
        <v>3444.6</v>
      </c>
      <c r="E73" s="82">
        <v>8.3748000000000005</v>
      </c>
      <c r="F73" s="82"/>
      <c r="G73" s="28"/>
    </row>
    <row r="74" spans="1:7" ht="18.75" customHeight="1" x14ac:dyDescent="0.25">
      <c r="A74" s="87">
        <v>490</v>
      </c>
      <c r="B74" s="82">
        <v>1.4646999999999999</v>
      </c>
      <c r="C74" s="72">
        <v>3114.4</v>
      </c>
      <c r="D74" s="72">
        <v>3465.9</v>
      </c>
      <c r="E74" s="82">
        <v>8.4029000000000007</v>
      </c>
      <c r="F74" s="82"/>
      <c r="G74" s="28"/>
    </row>
    <row r="75" spans="1:7" ht="18.75" customHeight="1" x14ac:dyDescent="0.25">
      <c r="A75" s="87">
        <v>500</v>
      </c>
      <c r="B75" s="82">
        <v>1.4841</v>
      </c>
      <c r="C75" s="72">
        <v>3131</v>
      </c>
      <c r="D75" s="72">
        <v>3487.2</v>
      </c>
      <c r="E75" s="82">
        <v>8.4306999999999999</v>
      </c>
      <c r="F75" s="82"/>
      <c r="G75" s="28"/>
    </row>
    <row r="76" spans="1:7" ht="18.75" customHeight="1" x14ac:dyDescent="0.25">
      <c r="A76" s="87">
        <v>520</v>
      </c>
      <c r="B76" s="82">
        <v>1.5226999999999999</v>
      </c>
      <c r="C76" s="72">
        <v>3164.8</v>
      </c>
      <c r="D76" s="72">
        <v>3530.2</v>
      </c>
      <c r="E76" s="82">
        <v>8.4855</v>
      </c>
      <c r="F76" s="82"/>
      <c r="G76" s="28"/>
    </row>
    <row r="77" spans="1:7" ht="18.75" customHeight="1" x14ac:dyDescent="0.25">
      <c r="A77" s="87">
        <v>540</v>
      </c>
      <c r="B77" s="82">
        <v>1.5613999999999999</v>
      </c>
      <c r="C77" s="72">
        <v>3198.6</v>
      </c>
      <c r="D77" s="72">
        <v>3573.3</v>
      </c>
      <c r="E77" s="82">
        <v>8.5391999999999992</v>
      </c>
      <c r="F77" s="82"/>
      <c r="G77" s="28"/>
    </row>
    <row r="78" spans="1:7" ht="18.75" customHeight="1" x14ac:dyDescent="0.25">
      <c r="A78" s="87">
        <v>560</v>
      </c>
      <c r="B78" s="82">
        <v>1.6</v>
      </c>
      <c r="C78" s="72">
        <v>3232.8</v>
      </c>
      <c r="D78" s="72">
        <v>3616.8</v>
      </c>
      <c r="E78" s="82">
        <v>8.5920000000000005</v>
      </c>
      <c r="F78" s="82"/>
      <c r="G78" s="28"/>
    </row>
    <row r="79" spans="1:7" ht="18.75" customHeight="1" x14ac:dyDescent="0.25">
      <c r="A79" s="87">
        <v>580</v>
      </c>
      <c r="B79" s="82">
        <v>1.6386000000000001</v>
      </c>
      <c r="C79" s="72">
        <v>3267.2</v>
      </c>
      <c r="D79" s="72">
        <v>3660.5</v>
      </c>
      <c r="E79" s="82">
        <v>8.6439000000000004</v>
      </c>
      <c r="F79" s="82"/>
      <c r="G79" s="28"/>
    </row>
    <row r="80" spans="1:7" ht="18.75" customHeight="1" x14ac:dyDescent="0.25">
      <c r="A80" s="87">
        <v>600</v>
      </c>
      <c r="B80" s="82">
        <v>1.6772</v>
      </c>
      <c r="C80" s="72">
        <v>3302</v>
      </c>
      <c r="D80" s="72">
        <v>3704.5</v>
      </c>
      <c r="E80" s="82">
        <v>8.6948000000000008</v>
      </c>
      <c r="F80" s="82"/>
      <c r="G80" s="28"/>
    </row>
    <row r="81" spans="1:7" ht="18.75" customHeight="1" x14ac:dyDescent="0.25">
      <c r="A81" s="87">
        <v>620</v>
      </c>
      <c r="B81" s="82">
        <v>1.7158</v>
      </c>
      <c r="C81" s="72">
        <v>3336.9</v>
      </c>
      <c r="D81" s="72">
        <v>3748.7</v>
      </c>
      <c r="E81" s="82">
        <v>8.7448999999999995</v>
      </c>
      <c r="F81" s="82"/>
      <c r="G81" s="28"/>
    </row>
    <row r="82" spans="1:7" ht="18.75" customHeight="1" x14ac:dyDescent="0.25">
      <c r="A82" s="87">
        <v>640</v>
      </c>
      <c r="B82" s="82">
        <v>1.7544</v>
      </c>
      <c r="C82" s="72">
        <v>3372.2</v>
      </c>
      <c r="D82" s="72">
        <v>3793.3</v>
      </c>
      <c r="E82" s="82">
        <v>8.7942999999999998</v>
      </c>
      <c r="F82" s="82"/>
      <c r="G82" s="28"/>
    </row>
    <row r="83" spans="1:7" ht="18.75" customHeight="1" x14ac:dyDescent="0.25">
      <c r="A83" s="87">
        <v>660</v>
      </c>
      <c r="B83" s="82">
        <v>1.7928999999999999</v>
      </c>
      <c r="C83" s="72">
        <v>3407.8</v>
      </c>
      <c r="D83" s="72">
        <v>3838.1</v>
      </c>
      <c r="E83" s="82">
        <v>8.8428000000000004</v>
      </c>
      <c r="F83" s="82"/>
      <c r="G83" s="28"/>
    </row>
    <row r="84" spans="1:7" ht="18.75" customHeight="1" x14ac:dyDescent="0.25">
      <c r="A84" s="87">
        <v>680</v>
      </c>
      <c r="B84" s="82">
        <v>1.8314999999999999</v>
      </c>
      <c r="C84" s="72">
        <v>3443.6</v>
      </c>
      <c r="D84" s="72">
        <v>3883.2</v>
      </c>
      <c r="E84" s="82">
        <v>8.8905999999999992</v>
      </c>
      <c r="F84" s="82"/>
      <c r="G84" s="28"/>
    </row>
    <row r="85" spans="1:7" ht="18.75" customHeight="1" x14ac:dyDescent="0.25">
      <c r="A85" s="87">
        <v>700</v>
      </c>
      <c r="B85" s="82">
        <v>1.8701000000000001</v>
      </c>
      <c r="C85" s="72">
        <v>3479.7</v>
      </c>
      <c r="D85" s="72">
        <v>3928.5</v>
      </c>
      <c r="E85" s="82">
        <v>8.9376999999999995</v>
      </c>
      <c r="F85" s="82"/>
      <c r="G85" s="28"/>
    </row>
    <row r="86" spans="1:7" ht="18.75" customHeight="1" x14ac:dyDescent="0.25">
      <c r="A86" s="87">
        <v>720</v>
      </c>
      <c r="B86" s="82">
        <v>1.9086000000000001</v>
      </c>
      <c r="C86" s="72">
        <v>3516.1</v>
      </c>
      <c r="D86" s="72">
        <v>3974.2</v>
      </c>
      <c r="E86" s="82">
        <v>8.9840999999999998</v>
      </c>
      <c r="F86" s="82"/>
      <c r="G86" s="28"/>
    </row>
    <row r="87" spans="1:7" ht="18.75" customHeight="1" x14ac:dyDescent="0.25">
      <c r="A87" s="87">
        <v>740</v>
      </c>
      <c r="B87" s="82">
        <v>1.9472</v>
      </c>
      <c r="C87" s="72">
        <v>3552.8</v>
      </c>
      <c r="D87" s="72">
        <v>4020.1</v>
      </c>
      <c r="E87" s="82">
        <v>9.0298999999999996</v>
      </c>
      <c r="F87" s="82"/>
      <c r="G87" s="28"/>
    </row>
    <row r="88" spans="1:7" ht="18.75" customHeight="1" x14ac:dyDescent="0.25">
      <c r="A88" s="87">
        <v>760</v>
      </c>
      <c r="B88" s="82">
        <v>1.9857</v>
      </c>
      <c r="C88" s="72">
        <v>3589.7</v>
      </c>
      <c r="D88" s="72">
        <v>4066.3</v>
      </c>
      <c r="E88" s="82">
        <v>9.0751000000000008</v>
      </c>
      <c r="F88" s="82"/>
      <c r="G88" s="28"/>
    </row>
    <row r="89" spans="1:7" ht="18.75" customHeight="1" x14ac:dyDescent="0.25">
      <c r="A89" s="87">
        <v>780</v>
      </c>
      <c r="B89" s="82">
        <v>2.0242</v>
      </c>
      <c r="C89" s="72">
        <v>3627</v>
      </c>
      <c r="D89" s="72">
        <v>4112.8</v>
      </c>
      <c r="E89" s="82">
        <v>9.1196000000000002</v>
      </c>
      <c r="F89" s="82"/>
      <c r="G89" s="28"/>
    </row>
    <row r="90" spans="1:7" ht="18.75" customHeight="1" x14ac:dyDescent="0.25">
      <c r="A90" s="87">
        <v>800</v>
      </c>
      <c r="B90" s="82">
        <v>2.0628000000000002</v>
      </c>
      <c r="C90" s="72">
        <v>3664.5</v>
      </c>
      <c r="D90" s="72">
        <v>4159.6000000000004</v>
      </c>
      <c r="E90" s="82">
        <v>9.1636000000000006</v>
      </c>
      <c r="F90" s="82"/>
      <c r="G90" s="28"/>
    </row>
    <row r="91" spans="1:7" ht="18.75" customHeight="1" x14ac:dyDescent="0.25">
      <c r="A91" s="87">
        <v>820</v>
      </c>
      <c r="B91" s="82">
        <v>2.1013000000000002</v>
      </c>
      <c r="C91" s="72">
        <v>3702.3</v>
      </c>
      <c r="D91" s="72">
        <v>4206.6000000000004</v>
      </c>
      <c r="E91" s="82">
        <v>9.2071000000000005</v>
      </c>
      <c r="F91" s="82"/>
      <c r="G91" s="28"/>
    </row>
    <row r="92" spans="1:7" ht="18.75" customHeight="1" x14ac:dyDescent="0.25">
      <c r="A92" s="87">
        <v>840</v>
      </c>
      <c r="B92" s="82">
        <v>2.1398000000000001</v>
      </c>
      <c r="C92" s="72">
        <v>3740.3</v>
      </c>
      <c r="D92" s="72">
        <v>4253.8999999999996</v>
      </c>
      <c r="E92" s="82">
        <v>9.2499000000000002</v>
      </c>
      <c r="F92" s="82"/>
      <c r="G92" s="28"/>
    </row>
    <row r="93" spans="1:7" ht="18.75" customHeight="1" x14ac:dyDescent="0.25">
      <c r="A93" s="87">
        <v>860</v>
      </c>
      <c r="B93" s="82">
        <v>2.1783000000000001</v>
      </c>
      <c r="C93" s="72">
        <v>3778.7</v>
      </c>
      <c r="D93" s="72">
        <v>4301.5</v>
      </c>
      <c r="E93" s="82">
        <v>9.2922999999999991</v>
      </c>
      <c r="F93" s="82"/>
      <c r="G93" s="28"/>
    </row>
    <row r="94" spans="1:7" ht="18.75" customHeight="1" x14ac:dyDescent="0.25">
      <c r="A94" s="87">
        <v>880</v>
      </c>
      <c r="B94" s="82">
        <v>2.2168000000000001</v>
      </c>
      <c r="C94" s="72">
        <v>3817.4</v>
      </c>
      <c r="D94" s="72">
        <v>4349.3999999999996</v>
      </c>
      <c r="E94" s="82">
        <v>9.3341999999999992</v>
      </c>
      <c r="F94" s="82"/>
      <c r="G94" s="28"/>
    </row>
    <row r="95" spans="1:7" ht="18.75" customHeight="1" x14ac:dyDescent="0.25">
      <c r="A95" s="87">
        <v>900</v>
      </c>
      <c r="B95" s="82">
        <v>2.2553999999999998</v>
      </c>
      <c r="C95" s="72">
        <v>3856.2</v>
      </c>
      <c r="D95" s="72">
        <v>4397.5</v>
      </c>
      <c r="E95" s="82">
        <v>9.3756000000000004</v>
      </c>
      <c r="F95" s="82"/>
      <c r="G95" s="28"/>
    </row>
    <row r="96" spans="1:7" ht="18.75" customHeight="1" x14ac:dyDescent="0.25">
      <c r="A96" s="87">
        <v>920</v>
      </c>
      <c r="B96" s="82">
        <v>2.2938999999999998</v>
      </c>
      <c r="C96" s="72">
        <v>3895.4</v>
      </c>
      <c r="D96" s="72">
        <v>4445.8999999999996</v>
      </c>
      <c r="E96" s="82">
        <v>9.4164999999999992</v>
      </c>
      <c r="F96" s="82"/>
      <c r="G96" s="28"/>
    </row>
    <row r="97" spans="1:7" ht="18.75" customHeight="1" x14ac:dyDescent="0.25">
      <c r="A97" s="87">
        <v>940</v>
      </c>
      <c r="B97" s="82">
        <v>2.3323999999999998</v>
      </c>
      <c r="C97" s="72">
        <v>3934.8</v>
      </c>
      <c r="D97" s="72">
        <v>4494.6000000000004</v>
      </c>
      <c r="E97" s="82">
        <v>9.4568999999999992</v>
      </c>
      <c r="F97" s="82"/>
      <c r="G97" s="28"/>
    </row>
    <row r="98" spans="1:7" ht="18.75" customHeight="1" x14ac:dyDescent="0.25">
      <c r="A98" s="87">
        <v>960</v>
      </c>
      <c r="B98" s="82">
        <v>2.3708999999999998</v>
      </c>
      <c r="C98" s="72">
        <v>3974.5</v>
      </c>
      <c r="D98" s="72">
        <v>4543.5</v>
      </c>
      <c r="E98" s="82">
        <v>9.4969000000000001</v>
      </c>
      <c r="F98" s="82"/>
      <c r="G98" s="28"/>
    </row>
    <row r="99" spans="1:7" ht="18.75" customHeight="1" x14ac:dyDescent="0.25">
      <c r="A99" s="87">
        <v>980</v>
      </c>
      <c r="B99" s="82">
        <v>2.4094000000000002</v>
      </c>
      <c r="C99" s="72">
        <v>4014.4</v>
      </c>
      <c r="D99" s="72">
        <v>4592.7</v>
      </c>
      <c r="E99" s="82">
        <v>9.5365000000000002</v>
      </c>
      <c r="F99" s="82"/>
      <c r="G99" s="28"/>
    </row>
    <row r="100" spans="1:7" ht="13.8" x14ac:dyDescent="0.25">
      <c r="A100" s="87">
        <v>1000</v>
      </c>
      <c r="B100" s="82">
        <v>2.4479000000000002</v>
      </c>
      <c r="C100" s="72">
        <v>4054.7</v>
      </c>
      <c r="D100" s="72">
        <v>4642.2</v>
      </c>
      <c r="E100" s="82">
        <v>9.5756999999999994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H100"/>
  <sheetViews>
    <sheetView topLeftCell="A14" workbookViewId="0">
      <selection activeCell="A31" sqref="A31:XFD31"/>
    </sheetView>
  </sheetViews>
  <sheetFormatPr defaultRowHeight="13.2" x14ac:dyDescent="0.25"/>
  <cols>
    <col min="1" max="1" width="6.21875" customWidth="1"/>
    <col min="2" max="2" width="10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206" t="s">
        <v>52</v>
      </c>
      <c r="B1" s="206"/>
      <c r="C1" s="206"/>
      <c r="D1" s="206"/>
      <c r="E1" s="206"/>
      <c r="F1" s="206"/>
      <c r="G1" s="206"/>
      <c r="H1" s="206"/>
    </row>
    <row r="2" spans="1:8" ht="15.75" customHeight="1" x14ac:dyDescent="0.25">
      <c r="A2" s="89" t="s">
        <v>126</v>
      </c>
      <c r="B2" s="90">
        <v>260</v>
      </c>
      <c r="G2" s="47"/>
      <c r="H2" s="47"/>
    </row>
    <row r="3" spans="1:8" ht="18.75" customHeight="1" x14ac:dyDescent="0.25">
      <c r="A3" s="77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7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86">
        <v>0</v>
      </c>
      <c r="B5" s="79">
        <v>1.00008E-3</v>
      </c>
      <c r="C5" s="80">
        <v>-0.04</v>
      </c>
      <c r="D5" s="80">
        <v>0.22</v>
      </c>
      <c r="E5" s="81">
        <v>-1.3999999999999999E-4</v>
      </c>
      <c r="F5" s="81"/>
      <c r="G5" s="47"/>
      <c r="H5" s="47"/>
    </row>
    <row r="6" spans="1:8" ht="18.75" customHeight="1" x14ac:dyDescent="0.25">
      <c r="A6" s="86">
        <v>5</v>
      </c>
      <c r="B6" s="79">
        <v>9.9996000000000004E-4</v>
      </c>
      <c r="C6" s="80">
        <v>21.02</v>
      </c>
      <c r="D6" s="80">
        <v>21.28</v>
      </c>
      <c r="E6" s="81">
        <v>7.6249999999999998E-2</v>
      </c>
      <c r="F6" s="81"/>
      <c r="G6" s="47"/>
      <c r="H6" s="47"/>
    </row>
    <row r="7" spans="1:8" ht="18.75" customHeight="1" x14ac:dyDescent="0.25">
      <c r="A7" s="86">
        <v>10</v>
      </c>
      <c r="B7" s="79">
        <v>1.00022E-3</v>
      </c>
      <c r="C7" s="80">
        <v>42.01</v>
      </c>
      <c r="D7" s="80">
        <v>42.27</v>
      </c>
      <c r="E7" s="81">
        <v>0.15106</v>
      </c>
      <c r="F7" s="81"/>
      <c r="G7" s="47"/>
      <c r="H7" s="47"/>
    </row>
    <row r="8" spans="1:8" ht="18.75" customHeight="1" x14ac:dyDescent="0.25">
      <c r="A8" s="86">
        <v>15</v>
      </c>
      <c r="B8" s="79">
        <v>1.0008199999999999E-3</v>
      </c>
      <c r="C8" s="80">
        <v>62.97</v>
      </c>
      <c r="D8" s="80">
        <v>63.23</v>
      </c>
      <c r="E8" s="81">
        <v>0.22442000000000001</v>
      </c>
      <c r="F8" s="81"/>
      <c r="G8" s="47"/>
      <c r="H8" s="47"/>
    </row>
    <row r="9" spans="1:8" ht="18.75" customHeight="1" x14ac:dyDescent="0.25">
      <c r="A9" s="86">
        <v>20</v>
      </c>
      <c r="B9" s="79">
        <v>1.00172E-3</v>
      </c>
      <c r="C9" s="80">
        <v>83.9</v>
      </c>
      <c r="D9" s="80">
        <v>84.16</v>
      </c>
      <c r="E9" s="81">
        <v>0.29643000000000003</v>
      </c>
      <c r="F9" s="81"/>
      <c r="G9" s="47"/>
      <c r="H9" s="47"/>
    </row>
    <row r="10" spans="1:8" ht="18.75" customHeight="1" x14ac:dyDescent="0.25">
      <c r="A10" s="86">
        <v>25</v>
      </c>
      <c r="B10" s="79">
        <v>1.00289E-3</v>
      </c>
      <c r="C10" s="80">
        <v>104.81</v>
      </c>
      <c r="D10" s="80">
        <v>105.07</v>
      </c>
      <c r="E10" s="81">
        <v>0.36715999999999999</v>
      </c>
      <c r="F10" s="81"/>
      <c r="G10" s="47"/>
      <c r="H10" s="47"/>
    </row>
    <row r="11" spans="1:8" ht="18.75" customHeight="1" x14ac:dyDescent="0.25">
      <c r="A11" s="86">
        <v>30</v>
      </c>
      <c r="B11" s="79">
        <v>1.0043000000000001E-3</v>
      </c>
      <c r="C11" s="80">
        <v>125.71</v>
      </c>
      <c r="D11" s="80">
        <v>125.97</v>
      </c>
      <c r="E11" s="81">
        <v>0.43668000000000001</v>
      </c>
      <c r="F11" s="81"/>
      <c r="G11" s="47"/>
      <c r="H11" s="47"/>
    </row>
    <row r="12" spans="1:8" ht="18.75" customHeight="1" x14ac:dyDescent="0.25">
      <c r="A12" s="86">
        <v>35</v>
      </c>
      <c r="B12" s="79">
        <v>1.0059299999999999E-3</v>
      </c>
      <c r="C12" s="80">
        <v>146.6</v>
      </c>
      <c r="D12" s="80">
        <v>146.86000000000001</v>
      </c>
      <c r="E12" s="81">
        <v>0.50504000000000004</v>
      </c>
      <c r="F12" s="81"/>
      <c r="G12" s="47"/>
      <c r="H12" s="47"/>
    </row>
    <row r="13" spans="1:8" ht="18.75" customHeight="1" x14ac:dyDescent="0.25">
      <c r="A13" s="86">
        <v>40</v>
      </c>
      <c r="B13" s="79">
        <v>1.0077700000000001E-3</v>
      </c>
      <c r="C13" s="80">
        <v>167.5</v>
      </c>
      <c r="D13" s="80">
        <v>167.76</v>
      </c>
      <c r="E13" s="81">
        <v>0.57230000000000003</v>
      </c>
      <c r="F13" s="81"/>
      <c r="G13" s="47"/>
      <c r="H13" s="47"/>
    </row>
    <row r="14" spans="1:8" ht="18.75" customHeight="1" x14ac:dyDescent="0.25">
      <c r="A14" s="86">
        <v>45</v>
      </c>
      <c r="B14" s="79">
        <v>1.0098100000000001E-3</v>
      </c>
      <c r="C14" s="80">
        <v>188.39</v>
      </c>
      <c r="D14" s="80">
        <v>188.65</v>
      </c>
      <c r="E14" s="81">
        <v>0.63851000000000002</v>
      </c>
      <c r="F14" s="81"/>
      <c r="G14" s="47"/>
    </row>
    <row r="15" spans="1:8" ht="18.75" customHeight="1" x14ac:dyDescent="0.25">
      <c r="A15" s="86">
        <v>50</v>
      </c>
      <c r="B15" s="79">
        <v>1.0120400000000001E-3</v>
      </c>
      <c r="C15" s="80">
        <v>209.3</v>
      </c>
      <c r="D15" s="80">
        <v>209.56</v>
      </c>
      <c r="E15" s="81">
        <v>0.70369000000000004</v>
      </c>
      <c r="F15" s="81"/>
      <c r="G15" s="47"/>
    </row>
    <row r="16" spans="1:8" ht="18.75" customHeight="1" x14ac:dyDescent="0.25">
      <c r="A16" s="86">
        <v>55</v>
      </c>
      <c r="B16" s="79">
        <v>1.0144399999999999E-3</v>
      </c>
      <c r="C16" s="80">
        <v>230.2</v>
      </c>
      <c r="D16" s="80">
        <v>230.46</v>
      </c>
      <c r="E16" s="81">
        <v>0.76790000000000003</v>
      </c>
      <c r="F16" s="81"/>
      <c r="G16" s="47"/>
    </row>
    <row r="17" spans="1:7" ht="18.75" customHeight="1" x14ac:dyDescent="0.25">
      <c r="A17" s="86">
        <v>60</v>
      </c>
      <c r="B17" s="79">
        <v>1.01702E-3</v>
      </c>
      <c r="C17" s="80">
        <v>251.12</v>
      </c>
      <c r="D17" s="80">
        <v>251.38</v>
      </c>
      <c r="E17" s="81">
        <v>0.83116999999999996</v>
      </c>
      <c r="F17" s="81"/>
      <c r="G17" s="47"/>
    </row>
    <row r="18" spans="1:7" ht="18.75" customHeight="1" x14ac:dyDescent="0.25">
      <c r="A18" s="86">
        <v>65</v>
      </c>
      <c r="B18" s="79">
        <v>1.01976E-3</v>
      </c>
      <c r="C18" s="80">
        <v>272.04000000000002</v>
      </c>
      <c r="D18" s="80">
        <v>272.31</v>
      </c>
      <c r="E18" s="81">
        <v>0.89351999999999998</v>
      </c>
      <c r="F18" s="81"/>
      <c r="G18" s="47"/>
    </row>
    <row r="19" spans="1:7" ht="18.75" customHeight="1" x14ac:dyDescent="0.25">
      <c r="A19" s="86">
        <v>70</v>
      </c>
      <c r="B19" s="79">
        <v>1.02267E-3</v>
      </c>
      <c r="C19" s="80">
        <v>292.98</v>
      </c>
      <c r="D19" s="80">
        <v>293.25</v>
      </c>
      <c r="E19" s="81">
        <v>0.95499999999999996</v>
      </c>
      <c r="F19" s="81"/>
      <c r="G19" s="47"/>
    </row>
    <row r="20" spans="1:7" ht="18.75" customHeight="1" x14ac:dyDescent="0.25">
      <c r="A20" s="86">
        <v>75</v>
      </c>
      <c r="B20" s="79">
        <v>1.0257300000000001E-3</v>
      </c>
      <c r="C20" s="80">
        <v>313.94</v>
      </c>
      <c r="D20" s="80">
        <v>314.20999999999998</v>
      </c>
      <c r="E20" s="82">
        <v>1.0156000000000001</v>
      </c>
      <c r="F20" s="82"/>
      <c r="G20" s="47"/>
    </row>
    <row r="21" spans="1:7" ht="18.75" customHeight="1" x14ac:dyDescent="0.25">
      <c r="A21" s="86">
        <v>80</v>
      </c>
      <c r="B21" s="79">
        <v>1.02895E-3</v>
      </c>
      <c r="C21" s="80">
        <v>334.91</v>
      </c>
      <c r="D21" s="80">
        <v>335.18</v>
      </c>
      <c r="E21" s="82">
        <v>1.0753999999999999</v>
      </c>
      <c r="F21" s="82"/>
      <c r="G21" s="47"/>
    </row>
    <row r="22" spans="1:7" ht="18.75" customHeight="1" x14ac:dyDescent="0.25">
      <c r="A22" s="86">
        <v>85</v>
      </c>
      <c r="B22" s="79">
        <v>1.0323299999999999E-3</v>
      </c>
      <c r="C22" s="80">
        <v>355.9</v>
      </c>
      <c r="D22" s="80">
        <v>356.17</v>
      </c>
      <c r="E22" s="82">
        <v>1.1345000000000001</v>
      </c>
      <c r="F22" s="82"/>
      <c r="G22" s="47"/>
    </row>
    <row r="23" spans="1:7" ht="18.75" customHeight="1" x14ac:dyDescent="0.25">
      <c r="A23" s="86">
        <v>90</v>
      </c>
      <c r="B23" s="79">
        <v>1.03586E-3</v>
      </c>
      <c r="C23" s="80">
        <v>376.92</v>
      </c>
      <c r="D23" s="80">
        <v>377.19</v>
      </c>
      <c r="E23" s="82">
        <v>1.1927000000000001</v>
      </c>
      <c r="F23" s="82"/>
      <c r="G23" s="47"/>
    </row>
    <row r="24" spans="1:7" ht="18.75" customHeight="1" x14ac:dyDescent="0.25">
      <c r="A24" s="86">
        <v>95</v>
      </c>
      <c r="B24" s="79">
        <v>1.03954E-3</v>
      </c>
      <c r="C24" s="80">
        <v>397.95</v>
      </c>
      <c r="D24" s="80">
        <v>398.22</v>
      </c>
      <c r="E24" s="82">
        <v>1.2503</v>
      </c>
      <c r="F24" s="82"/>
      <c r="G24" s="47"/>
    </row>
    <row r="25" spans="1:7" ht="18.75" customHeight="1" x14ac:dyDescent="0.25">
      <c r="A25" s="86">
        <v>100</v>
      </c>
      <c r="B25" s="79">
        <v>1.04338E-3</v>
      </c>
      <c r="C25" s="80">
        <v>419.02</v>
      </c>
      <c r="D25" s="80">
        <v>419.29</v>
      </c>
      <c r="E25" s="82">
        <v>1.3070999999999999</v>
      </c>
      <c r="F25" s="82"/>
      <c r="G25" s="47"/>
    </row>
    <row r="26" spans="1:7" ht="18.75" customHeight="1" x14ac:dyDescent="0.25">
      <c r="A26" s="86">
        <v>105</v>
      </c>
      <c r="B26" s="79">
        <v>1.0473699999999999E-3</v>
      </c>
      <c r="C26" s="80">
        <v>440.11</v>
      </c>
      <c r="D26" s="80">
        <v>440.38</v>
      </c>
      <c r="E26" s="82">
        <v>1.3632</v>
      </c>
      <c r="F26" s="82"/>
      <c r="G26" s="47"/>
    </row>
    <row r="27" spans="1:7" ht="18.75" customHeight="1" x14ac:dyDescent="0.25">
      <c r="A27" s="86">
        <v>110</v>
      </c>
      <c r="B27" s="79">
        <v>1.05152E-3</v>
      </c>
      <c r="C27" s="80">
        <v>461.23</v>
      </c>
      <c r="D27" s="80">
        <v>461.5</v>
      </c>
      <c r="E27" s="82">
        <v>1.4187000000000001</v>
      </c>
      <c r="F27" s="82"/>
      <c r="G27" s="47"/>
    </row>
    <row r="28" spans="1:7" ht="18.75" customHeight="1" x14ac:dyDescent="0.25">
      <c r="A28" s="86">
        <v>115</v>
      </c>
      <c r="B28" s="79">
        <v>1.05583E-3</v>
      </c>
      <c r="C28" s="80">
        <v>482.39</v>
      </c>
      <c r="D28" s="80">
        <v>482.66</v>
      </c>
      <c r="E28" s="82">
        <v>1.4736</v>
      </c>
      <c r="F28" s="82"/>
      <c r="G28" s="47"/>
    </row>
    <row r="29" spans="1:7" ht="18.75" customHeight="1" x14ac:dyDescent="0.25">
      <c r="A29" s="86">
        <v>120</v>
      </c>
      <c r="B29" s="79">
        <v>1.06029E-3</v>
      </c>
      <c r="C29" s="80">
        <v>503.57</v>
      </c>
      <c r="D29" s="80">
        <v>503.85</v>
      </c>
      <c r="E29" s="82">
        <v>1.5279</v>
      </c>
      <c r="F29" s="82"/>
      <c r="G29" s="47"/>
    </row>
    <row r="30" spans="1:7" ht="18.75" customHeight="1" x14ac:dyDescent="0.25">
      <c r="A30" s="86">
        <v>125</v>
      </c>
      <c r="B30" s="79">
        <v>1.06492E-3</v>
      </c>
      <c r="C30" s="80">
        <v>524.80999999999995</v>
      </c>
      <c r="D30" s="80">
        <v>525.09</v>
      </c>
      <c r="E30" s="82">
        <v>1.5814999999999999</v>
      </c>
      <c r="F30" s="82"/>
      <c r="G30" s="47"/>
    </row>
    <row r="31" spans="1:7" ht="18.75" customHeight="1" x14ac:dyDescent="0.25">
      <c r="A31" s="86">
        <v>130</v>
      </c>
      <c r="B31" s="81">
        <v>0.69530000000000003</v>
      </c>
      <c r="C31" s="83">
        <v>2540.4</v>
      </c>
      <c r="D31" s="83">
        <v>2721.2</v>
      </c>
      <c r="E31" s="82">
        <v>7.0465</v>
      </c>
      <c r="F31" s="82"/>
      <c r="G31" s="47"/>
    </row>
    <row r="32" spans="1:7" ht="18.75" customHeight="1" x14ac:dyDescent="0.25">
      <c r="A32" s="86">
        <v>135</v>
      </c>
      <c r="B32" s="81">
        <v>0.70516999999999996</v>
      </c>
      <c r="C32" s="83">
        <v>2548.9</v>
      </c>
      <c r="D32" s="83">
        <v>2732.2</v>
      </c>
      <c r="E32" s="82">
        <v>7.0735999999999999</v>
      </c>
      <c r="F32" s="82"/>
      <c r="G32" s="47"/>
    </row>
    <row r="33" spans="1:7" ht="18.75" customHeight="1" x14ac:dyDescent="0.25">
      <c r="A33" s="86">
        <v>140</v>
      </c>
      <c r="B33" s="81">
        <v>0.71494999999999997</v>
      </c>
      <c r="C33" s="83">
        <v>2557.1</v>
      </c>
      <c r="D33" s="83">
        <v>2743</v>
      </c>
      <c r="E33" s="82">
        <v>7.1001000000000003</v>
      </c>
      <c r="F33" s="82"/>
      <c r="G33" s="47"/>
    </row>
    <row r="34" spans="1:7" ht="18.75" customHeight="1" x14ac:dyDescent="0.25">
      <c r="A34" s="86">
        <v>145</v>
      </c>
      <c r="B34" s="81">
        <v>0.72465999999999997</v>
      </c>
      <c r="C34" s="83">
        <v>2565.4</v>
      </c>
      <c r="D34" s="83">
        <v>2753.8</v>
      </c>
      <c r="E34" s="82">
        <v>7.1258999999999997</v>
      </c>
      <c r="F34" s="82"/>
      <c r="G34" s="47"/>
    </row>
    <row r="35" spans="1:7" ht="18.75" customHeight="1" x14ac:dyDescent="0.25">
      <c r="A35" s="86">
        <v>150</v>
      </c>
      <c r="B35" s="81">
        <v>0.73431000000000002</v>
      </c>
      <c r="C35" s="83">
        <v>2573.5</v>
      </c>
      <c r="D35" s="83">
        <v>2764.4</v>
      </c>
      <c r="E35" s="82">
        <v>7.1512000000000002</v>
      </c>
      <c r="F35" s="82"/>
      <c r="G35" s="47"/>
    </row>
    <row r="36" spans="1:7" ht="18.75" customHeight="1" x14ac:dyDescent="0.25">
      <c r="A36" s="86">
        <v>155</v>
      </c>
      <c r="B36" s="81">
        <v>0.74390000000000001</v>
      </c>
      <c r="C36" s="83">
        <v>2581.6</v>
      </c>
      <c r="D36" s="83">
        <v>2775</v>
      </c>
      <c r="E36" s="82">
        <v>7.1760000000000002</v>
      </c>
      <c r="F36" s="82"/>
      <c r="G36" s="47"/>
    </row>
    <row r="37" spans="1:7" ht="18.75" customHeight="1" x14ac:dyDescent="0.25">
      <c r="A37" s="86">
        <v>160</v>
      </c>
      <c r="B37" s="81">
        <v>0.75344</v>
      </c>
      <c r="C37" s="83">
        <v>2589.6</v>
      </c>
      <c r="D37" s="83">
        <v>2785.5</v>
      </c>
      <c r="E37" s="82">
        <v>7.2004000000000001</v>
      </c>
      <c r="F37" s="82"/>
      <c r="G37" s="47"/>
    </row>
    <row r="38" spans="1:7" ht="18.75" customHeight="1" x14ac:dyDescent="0.25">
      <c r="A38" s="86">
        <v>165</v>
      </c>
      <c r="B38" s="81">
        <v>0.76293</v>
      </c>
      <c r="C38" s="83">
        <v>2597.5</v>
      </c>
      <c r="D38" s="83">
        <v>2795.9</v>
      </c>
      <c r="E38" s="82">
        <v>7.2243000000000004</v>
      </c>
      <c r="F38" s="82"/>
      <c r="G38" s="47"/>
    </row>
    <row r="39" spans="1:7" ht="18.75" customHeight="1" x14ac:dyDescent="0.25">
      <c r="A39" s="86">
        <v>170</v>
      </c>
      <c r="B39" s="81">
        <v>0.77239000000000002</v>
      </c>
      <c r="C39" s="83">
        <v>2605.5</v>
      </c>
      <c r="D39" s="83">
        <v>2806.3</v>
      </c>
      <c r="E39" s="82">
        <v>7.2478999999999996</v>
      </c>
      <c r="F39" s="82"/>
      <c r="G39" s="47"/>
    </row>
    <row r="40" spans="1:7" ht="18.75" customHeight="1" x14ac:dyDescent="0.25">
      <c r="A40" s="86">
        <v>175</v>
      </c>
      <c r="B40" s="81">
        <v>0.78181</v>
      </c>
      <c r="C40" s="83">
        <v>2613.3000000000002</v>
      </c>
      <c r="D40" s="83">
        <v>2816.6</v>
      </c>
      <c r="E40" s="82">
        <v>7.2710999999999997</v>
      </c>
      <c r="F40" s="82"/>
      <c r="G40" s="47"/>
    </row>
    <row r="41" spans="1:7" ht="18.75" customHeight="1" x14ac:dyDescent="0.25">
      <c r="A41" s="86">
        <v>180</v>
      </c>
      <c r="B41" s="81">
        <v>0.79118999999999995</v>
      </c>
      <c r="C41" s="83">
        <v>2621.1999999999998</v>
      </c>
      <c r="D41" s="83">
        <v>2826.9</v>
      </c>
      <c r="E41" s="82">
        <v>7.2939999999999996</v>
      </c>
      <c r="F41" s="82"/>
      <c r="G41" s="47"/>
    </row>
    <row r="42" spans="1:7" ht="18.75" customHeight="1" x14ac:dyDescent="0.25">
      <c r="A42" s="86">
        <v>185</v>
      </c>
      <c r="B42" s="81">
        <v>0.80054999999999998</v>
      </c>
      <c r="C42" s="83">
        <v>2629.1</v>
      </c>
      <c r="D42" s="83">
        <v>2837.2</v>
      </c>
      <c r="E42" s="82">
        <v>7.3164999999999996</v>
      </c>
      <c r="F42" s="82"/>
      <c r="G42" s="47"/>
    </row>
    <row r="43" spans="1:7" ht="18.75" customHeight="1" x14ac:dyDescent="0.25">
      <c r="A43" s="86">
        <v>190</v>
      </c>
      <c r="B43" s="81">
        <v>0.80986999999999998</v>
      </c>
      <c r="C43" s="83">
        <v>2636.8</v>
      </c>
      <c r="D43" s="83">
        <v>2847.4</v>
      </c>
      <c r="E43" s="82">
        <v>7.3387000000000002</v>
      </c>
      <c r="F43" s="82"/>
      <c r="G43" s="47"/>
    </row>
    <row r="44" spans="1:7" ht="18.75" customHeight="1" x14ac:dyDescent="0.25">
      <c r="A44" s="86">
        <v>195</v>
      </c>
      <c r="B44" s="81">
        <v>0.81916999999999995</v>
      </c>
      <c r="C44" s="83">
        <v>2644.6</v>
      </c>
      <c r="D44" s="83">
        <v>2857.6</v>
      </c>
      <c r="E44" s="82">
        <v>7.3606999999999996</v>
      </c>
      <c r="F44" s="82"/>
      <c r="G44" s="47"/>
    </row>
    <row r="45" spans="1:7" ht="18.75" customHeight="1" x14ac:dyDescent="0.25">
      <c r="A45" s="86">
        <v>200</v>
      </c>
      <c r="B45" s="81">
        <v>0.82845000000000002</v>
      </c>
      <c r="C45" s="83">
        <v>2652.4</v>
      </c>
      <c r="D45" s="83">
        <v>2867.8</v>
      </c>
      <c r="E45" s="82">
        <v>7.3822999999999999</v>
      </c>
      <c r="F45" s="82"/>
      <c r="G45" s="47"/>
    </row>
    <row r="46" spans="1:7" ht="18.75" customHeight="1" x14ac:dyDescent="0.25">
      <c r="A46" s="86">
        <v>210</v>
      </c>
      <c r="B46" s="81">
        <v>0.84694999999999998</v>
      </c>
      <c r="C46" s="83">
        <v>2668</v>
      </c>
      <c r="D46" s="83">
        <v>2888.2</v>
      </c>
      <c r="E46" s="82">
        <v>7.4249000000000001</v>
      </c>
      <c r="F46" s="82"/>
      <c r="G46" s="47"/>
    </row>
    <row r="47" spans="1:7" ht="18.75" customHeight="1" x14ac:dyDescent="0.25">
      <c r="A47" s="86">
        <v>220</v>
      </c>
      <c r="B47" s="81">
        <v>0.86536999999999997</v>
      </c>
      <c r="C47" s="83">
        <v>2683.5</v>
      </c>
      <c r="D47" s="83">
        <v>2908.5</v>
      </c>
      <c r="E47" s="82">
        <v>7.4664000000000001</v>
      </c>
      <c r="F47" s="82"/>
      <c r="G47" s="47"/>
    </row>
    <row r="48" spans="1:7" ht="18.75" customHeight="1" x14ac:dyDescent="0.25">
      <c r="A48" s="86">
        <v>230</v>
      </c>
      <c r="B48" s="81">
        <v>0.88371999999999995</v>
      </c>
      <c r="C48" s="83">
        <v>2698.9</v>
      </c>
      <c r="D48" s="83">
        <v>2928.7</v>
      </c>
      <c r="E48" s="82">
        <v>7.5071000000000003</v>
      </c>
      <c r="F48" s="82"/>
      <c r="G48" s="47"/>
    </row>
    <row r="49" spans="1:7" ht="18.75" customHeight="1" x14ac:dyDescent="0.25">
      <c r="A49" s="86">
        <v>240</v>
      </c>
      <c r="B49" s="81">
        <v>0.90203</v>
      </c>
      <c r="C49" s="83">
        <v>2714.5</v>
      </c>
      <c r="D49" s="83">
        <v>2949</v>
      </c>
      <c r="E49" s="82">
        <v>7.5468999999999999</v>
      </c>
      <c r="F49" s="82"/>
      <c r="G49" s="47"/>
    </row>
    <row r="50" spans="1:7" ht="18.75" customHeight="1" x14ac:dyDescent="0.25">
      <c r="A50" s="86">
        <v>250</v>
      </c>
      <c r="B50" s="81">
        <v>0.92027999999999999</v>
      </c>
      <c r="C50" s="83">
        <v>2729.9</v>
      </c>
      <c r="D50" s="83">
        <v>2969.2</v>
      </c>
      <c r="E50" s="82">
        <v>7.5860000000000003</v>
      </c>
      <c r="F50" s="82"/>
      <c r="G50" s="47"/>
    </row>
    <row r="51" spans="1:7" ht="18.75" customHeight="1" x14ac:dyDescent="0.25">
      <c r="A51" s="86">
        <v>260</v>
      </c>
      <c r="B51" s="81">
        <v>0.93849000000000005</v>
      </c>
      <c r="C51" s="83">
        <v>2745.4</v>
      </c>
      <c r="D51" s="83">
        <v>2989.4</v>
      </c>
      <c r="E51" s="82">
        <v>7.6242999999999999</v>
      </c>
      <c r="F51" s="82"/>
      <c r="G51" s="47"/>
    </row>
    <row r="52" spans="1:7" ht="18.75" customHeight="1" x14ac:dyDescent="0.25">
      <c r="A52" s="86">
        <v>270</v>
      </c>
      <c r="B52" s="81">
        <v>0.95665999999999995</v>
      </c>
      <c r="C52" s="83">
        <v>2761</v>
      </c>
      <c r="D52" s="83">
        <v>3009.7</v>
      </c>
      <c r="E52" s="82">
        <v>7.6619000000000002</v>
      </c>
      <c r="F52" s="82"/>
      <c r="G52" s="47"/>
    </row>
    <row r="53" spans="1:7" ht="18.75" customHeight="1" x14ac:dyDescent="0.25">
      <c r="A53" s="86">
        <v>280</v>
      </c>
      <c r="B53" s="81">
        <v>0.97480999999999995</v>
      </c>
      <c r="C53" s="83">
        <v>2776.5</v>
      </c>
      <c r="D53" s="83">
        <v>3030</v>
      </c>
      <c r="E53" s="82">
        <v>7.6989000000000001</v>
      </c>
      <c r="F53" s="82"/>
      <c r="G53" s="47"/>
    </row>
    <row r="54" spans="1:7" ht="18.75" customHeight="1" x14ac:dyDescent="0.25">
      <c r="A54" s="86">
        <v>290</v>
      </c>
      <c r="B54" s="81">
        <v>0.99292000000000002</v>
      </c>
      <c r="C54" s="83">
        <v>2792.1</v>
      </c>
      <c r="D54" s="83">
        <v>3050.3</v>
      </c>
      <c r="E54" s="82">
        <v>7.7352999999999996</v>
      </c>
      <c r="F54" s="82"/>
      <c r="G54" s="47"/>
    </row>
    <row r="55" spans="1:7" ht="18.75" customHeight="1" x14ac:dyDescent="0.25">
      <c r="A55" s="86">
        <v>300</v>
      </c>
      <c r="B55" s="82">
        <v>1.0109999999999999</v>
      </c>
      <c r="C55" s="83">
        <v>2807.7</v>
      </c>
      <c r="D55" s="83">
        <v>3070.6</v>
      </c>
      <c r="E55" s="82">
        <v>7.7709999999999999</v>
      </c>
      <c r="F55" s="82"/>
      <c r="G55" s="47"/>
    </row>
    <row r="56" spans="1:7" ht="18.75" customHeight="1" x14ac:dyDescent="0.25">
      <c r="A56" s="86">
        <v>310</v>
      </c>
      <c r="B56" s="82">
        <v>1.0290999999999999</v>
      </c>
      <c r="C56" s="83">
        <v>2823.3</v>
      </c>
      <c r="D56" s="83">
        <v>3090.9</v>
      </c>
      <c r="E56" s="82">
        <v>7.8063000000000002</v>
      </c>
      <c r="F56" s="82"/>
      <c r="G56" s="47"/>
    </row>
    <row r="57" spans="1:7" ht="18.75" customHeight="1" x14ac:dyDescent="0.25">
      <c r="A57" s="86">
        <v>320</v>
      </c>
      <c r="B57" s="82">
        <v>1.0470999999999999</v>
      </c>
      <c r="C57" s="83">
        <v>2839.1</v>
      </c>
      <c r="D57" s="83">
        <v>3111.3</v>
      </c>
      <c r="E57" s="82">
        <v>7.8409000000000004</v>
      </c>
      <c r="F57" s="82"/>
      <c r="G57" s="47"/>
    </row>
    <row r="58" spans="1:7" ht="18.75" customHeight="1" x14ac:dyDescent="0.25">
      <c r="A58" s="86">
        <v>330</v>
      </c>
      <c r="B58" s="82">
        <v>1.0650999999999999</v>
      </c>
      <c r="C58" s="83">
        <v>2854.9</v>
      </c>
      <c r="D58" s="83">
        <v>3131.8</v>
      </c>
      <c r="E58" s="82">
        <v>7.8750999999999998</v>
      </c>
      <c r="F58" s="82"/>
      <c r="G58" s="47"/>
    </row>
    <row r="59" spans="1:7" ht="18.75" customHeight="1" x14ac:dyDescent="0.25">
      <c r="A59" s="86">
        <v>340</v>
      </c>
      <c r="B59" s="82">
        <v>1.0831</v>
      </c>
      <c r="C59" s="83">
        <v>2870.6</v>
      </c>
      <c r="D59" s="83">
        <v>3152.2</v>
      </c>
      <c r="E59" s="82">
        <v>7.9086999999999996</v>
      </c>
      <c r="F59" s="82"/>
      <c r="G59" s="47"/>
    </row>
    <row r="60" spans="1:7" ht="18.75" customHeight="1" x14ac:dyDescent="0.25">
      <c r="A60" s="86">
        <v>350</v>
      </c>
      <c r="B60" s="82">
        <v>1.1011</v>
      </c>
      <c r="C60" s="83">
        <v>2886.4</v>
      </c>
      <c r="D60" s="83">
        <v>3172.7</v>
      </c>
      <c r="E60" s="82">
        <v>7.9419000000000004</v>
      </c>
      <c r="F60" s="82"/>
      <c r="G60" s="47"/>
    </row>
    <row r="61" spans="1:7" ht="18.75" customHeight="1" x14ac:dyDescent="0.25">
      <c r="A61" s="86">
        <v>360</v>
      </c>
      <c r="B61" s="82">
        <v>1.1191</v>
      </c>
      <c r="C61" s="83">
        <v>2902.3</v>
      </c>
      <c r="D61" s="83">
        <v>3193.3</v>
      </c>
      <c r="E61" s="82">
        <v>7.9747000000000003</v>
      </c>
      <c r="F61" s="82"/>
      <c r="G61" s="47"/>
    </row>
    <row r="62" spans="1:7" ht="18.75" customHeight="1" x14ac:dyDescent="0.25">
      <c r="A62" s="86">
        <v>370</v>
      </c>
      <c r="B62" s="82">
        <v>1.1371</v>
      </c>
      <c r="C62" s="83">
        <v>2918.3</v>
      </c>
      <c r="D62" s="83">
        <v>3213.9</v>
      </c>
      <c r="E62" s="82">
        <v>8.0069999999999997</v>
      </c>
      <c r="F62" s="82"/>
      <c r="G62" s="47"/>
    </row>
    <row r="63" spans="1:7" ht="18.75" customHeight="1" x14ac:dyDescent="0.25">
      <c r="A63" s="86">
        <v>380</v>
      </c>
      <c r="B63" s="82">
        <v>1.155</v>
      </c>
      <c r="C63" s="83">
        <v>2934.3</v>
      </c>
      <c r="D63" s="83">
        <v>3234.6</v>
      </c>
      <c r="E63" s="82">
        <v>8.0388999999999999</v>
      </c>
      <c r="F63" s="82"/>
      <c r="G63" s="47"/>
    </row>
    <row r="64" spans="1:7" ht="18.75" customHeight="1" x14ac:dyDescent="0.25">
      <c r="A64" s="86">
        <v>390</v>
      </c>
      <c r="B64" s="82">
        <v>1.1729000000000001</v>
      </c>
      <c r="C64" s="83">
        <v>2950.3</v>
      </c>
      <c r="D64" s="83">
        <v>3255.3</v>
      </c>
      <c r="E64" s="82">
        <v>8.0703999999999994</v>
      </c>
      <c r="F64" s="82"/>
      <c r="G64" s="47"/>
    </row>
    <row r="65" spans="1:7" ht="18.75" customHeight="1" x14ac:dyDescent="0.25">
      <c r="A65" s="86">
        <v>400</v>
      </c>
      <c r="B65" s="82">
        <v>1.1909000000000001</v>
      </c>
      <c r="C65" s="83">
        <v>2966.5</v>
      </c>
      <c r="D65" s="83">
        <v>3276.1</v>
      </c>
      <c r="E65" s="82">
        <v>8.1013999999999999</v>
      </c>
      <c r="F65" s="82"/>
      <c r="G65" s="47"/>
    </row>
    <row r="66" spans="1:7" ht="18.75" customHeight="1" x14ac:dyDescent="0.25">
      <c r="A66" s="86">
        <v>410</v>
      </c>
      <c r="B66" s="82">
        <v>1.2088000000000001</v>
      </c>
      <c r="C66" s="83">
        <v>2982.6</v>
      </c>
      <c r="D66" s="83">
        <v>3296.9</v>
      </c>
      <c r="E66" s="82">
        <v>8.1321999999999992</v>
      </c>
      <c r="F66" s="82"/>
      <c r="G66" s="47"/>
    </row>
    <row r="67" spans="1:7" ht="18.75" customHeight="1" x14ac:dyDescent="0.25">
      <c r="A67" s="86">
        <v>420</v>
      </c>
      <c r="B67" s="82">
        <v>1.2266999999999999</v>
      </c>
      <c r="C67" s="83">
        <v>2998.9</v>
      </c>
      <c r="D67" s="83">
        <v>3317.8</v>
      </c>
      <c r="E67" s="82">
        <v>8.1624999999999996</v>
      </c>
      <c r="F67" s="82"/>
      <c r="G67" s="47"/>
    </row>
    <row r="68" spans="1:7" ht="18.75" customHeight="1" x14ac:dyDescent="0.25">
      <c r="A68" s="86">
        <v>430</v>
      </c>
      <c r="B68" s="82">
        <v>1.2445999999999999</v>
      </c>
      <c r="C68" s="83">
        <v>3015.1</v>
      </c>
      <c r="D68" s="83">
        <v>3338.7</v>
      </c>
      <c r="E68" s="82">
        <v>8.1925000000000008</v>
      </c>
      <c r="F68" s="82"/>
      <c r="G68" s="47"/>
    </row>
    <row r="69" spans="1:7" ht="18.75" customHeight="1" x14ac:dyDescent="0.25">
      <c r="A69" s="86">
        <v>440</v>
      </c>
      <c r="B69" s="82">
        <v>1.2625</v>
      </c>
      <c r="C69" s="83">
        <v>3031.4</v>
      </c>
      <c r="D69" s="83">
        <v>3359.7</v>
      </c>
      <c r="E69" s="82">
        <v>8.2222000000000008</v>
      </c>
      <c r="F69" s="82"/>
      <c r="G69" s="47"/>
    </row>
    <row r="70" spans="1:7" ht="18.75" customHeight="1" x14ac:dyDescent="0.25">
      <c r="A70" s="86">
        <v>450</v>
      </c>
      <c r="B70" s="82">
        <v>1.2804</v>
      </c>
      <c r="C70" s="83">
        <v>3047.9</v>
      </c>
      <c r="D70" s="83">
        <v>3380.8</v>
      </c>
      <c r="E70" s="82">
        <v>8.2515000000000001</v>
      </c>
      <c r="F70" s="82"/>
      <c r="G70" s="47"/>
    </row>
    <row r="71" spans="1:7" ht="18.75" customHeight="1" x14ac:dyDescent="0.25">
      <c r="A71" s="86">
        <v>460</v>
      </c>
      <c r="B71" s="82">
        <v>1.2982</v>
      </c>
      <c r="C71" s="83">
        <v>3064.4</v>
      </c>
      <c r="D71" s="83">
        <v>3401.9</v>
      </c>
      <c r="E71" s="82">
        <v>8.2805</v>
      </c>
      <c r="F71" s="82"/>
      <c r="G71" s="47"/>
    </row>
    <row r="72" spans="1:7" ht="18.75" customHeight="1" x14ac:dyDescent="0.25">
      <c r="A72" s="86">
        <v>470</v>
      </c>
      <c r="B72" s="82">
        <v>1.3161</v>
      </c>
      <c r="C72" s="83">
        <v>3080.9</v>
      </c>
      <c r="D72" s="83">
        <v>3423.1</v>
      </c>
      <c r="E72" s="82">
        <v>8.3092000000000006</v>
      </c>
      <c r="F72" s="82"/>
      <c r="G72" s="47"/>
    </row>
    <row r="73" spans="1:7" ht="18.75" customHeight="1" x14ac:dyDescent="0.25">
      <c r="A73" s="86">
        <v>480</v>
      </c>
      <c r="B73" s="82">
        <v>1.3340000000000001</v>
      </c>
      <c r="C73" s="83">
        <v>3097.6</v>
      </c>
      <c r="D73" s="83">
        <v>3444.4</v>
      </c>
      <c r="E73" s="82">
        <v>8.3376000000000001</v>
      </c>
      <c r="F73" s="82"/>
      <c r="G73" s="47"/>
    </row>
    <row r="74" spans="1:7" ht="18.75" customHeight="1" x14ac:dyDescent="0.25">
      <c r="A74" s="86">
        <v>490</v>
      </c>
      <c r="B74" s="82">
        <v>1.3517999999999999</v>
      </c>
      <c r="C74" s="83">
        <v>3114.2</v>
      </c>
      <c r="D74" s="83">
        <v>3465.7</v>
      </c>
      <c r="E74" s="82">
        <v>8.3657000000000004</v>
      </c>
      <c r="F74" s="82"/>
      <c r="G74" s="47"/>
    </row>
    <row r="75" spans="1:7" ht="18.75" customHeight="1" x14ac:dyDescent="0.25">
      <c r="A75" s="86">
        <v>500</v>
      </c>
      <c r="B75" s="82">
        <v>1.3696999999999999</v>
      </c>
      <c r="C75" s="83">
        <v>3130.9</v>
      </c>
      <c r="D75" s="83">
        <v>3487</v>
      </c>
      <c r="E75" s="82">
        <v>8.3934999999999995</v>
      </c>
      <c r="F75" s="82"/>
      <c r="G75" s="47"/>
    </row>
    <row r="76" spans="1:7" ht="18.75" customHeight="1" x14ac:dyDescent="0.25">
      <c r="A76" s="86">
        <v>520</v>
      </c>
      <c r="B76" s="82">
        <v>1.4054</v>
      </c>
      <c r="C76" s="83">
        <v>3164.6</v>
      </c>
      <c r="D76" s="83">
        <v>3530</v>
      </c>
      <c r="E76" s="82">
        <v>8.4482999999999997</v>
      </c>
      <c r="F76" s="82"/>
      <c r="G76" s="47"/>
    </row>
    <row r="77" spans="1:7" ht="18.75" customHeight="1" x14ac:dyDescent="0.25">
      <c r="A77" s="86">
        <v>540</v>
      </c>
      <c r="B77" s="82">
        <v>1.4411</v>
      </c>
      <c r="C77" s="83">
        <v>3198.5</v>
      </c>
      <c r="D77" s="83">
        <v>3573.2</v>
      </c>
      <c r="E77" s="82">
        <v>8.5021000000000004</v>
      </c>
      <c r="F77" s="82"/>
      <c r="G77" s="47"/>
    </row>
    <row r="78" spans="1:7" ht="18.75" customHeight="1" x14ac:dyDescent="0.25">
      <c r="A78" s="86">
        <v>560</v>
      </c>
      <c r="B78" s="82">
        <v>1.4766999999999999</v>
      </c>
      <c r="C78" s="83">
        <v>3232.7</v>
      </c>
      <c r="D78" s="83">
        <v>3616.6</v>
      </c>
      <c r="E78" s="82">
        <v>8.5548999999999999</v>
      </c>
      <c r="F78" s="82"/>
      <c r="G78" s="47"/>
    </row>
    <row r="79" spans="1:7" ht="18.75" customHeight="1" x14ac:dyDescent="0.25">
      <c r="A79" s="86">
        <v>580</v>
      </c>
      <c r="B79" s="82">
        <v>1.5124</v>
      </c>
      <c r="C79" s="83">
        <v>3267.1</v>
      </c>
      <c r="D79" s="83">
        <v>3660.3</v>
      </c>
      <c r="E79" s="82">
        <v>8.6067999999999998</v>
      </c>
      <c r="F79" s="82"/>
      <c r="G79" s="47"/>
    </row>
    <row r="80" spans="1:7" ht="18.75" customHeight="1" x14ac:dyDescent="0.25">
      <c r="A80" s="86">
        <v>600</v>
      </c>
      <c r="B80" s="82">
        <v>1.548</v>
      </c>
      <c r="C80" s="83">
        <v>3301.8</v>
      </c>
      <c r="D80" s="83">
        <v>3704.3</v>
      </c>
      <c r="E80" s="82">
        <v>8.6577999999999999</v>
      </c>
      <c r="F80" s="82"/>
      <c r="G80" s="47"/>
    </row>
    <row r="81" spans="1:7" ht="18.75" customHeight="1" x14ac:dyDescent="0.25">
      <c r="A81" s="86">
        <v>620</v>
      </c>
      <c r="B81" s="82">
        <v>1.5837000000000001</v>
      </c>
      <c r="C81" s="83">
        <v>3336.8</v>
      </c>
      <c r="D81" s="83">
        <v>3748.6</v>
      </c>
      <c r="E81" s="82">
        <v>8.7079000000000004</v>
      </c>
      <c r="F81" s="82"/>
      <c r="G81" s="47"/>
    </row>
    <row r="82" spans="1:7" ht="18.75" customHeight="1" x14ac:dyDescent="0.25">
      <c r="A82" s="86">
        <v>640</v>
      </c>
      <c r="B82" s="82">
        <v>1.6193</v>
      </c>
      <c r="C82" s="83">
        <v>3372.1</v>
      </c>
      <c r="D82" s="83">
        <v>3793.1</v>
      </c>
      <c r="E82" s="82">
        <v>8.7571999999999992</v>
      </c>
      <c r="F82" s="82"/>
      <c r="G82" s="47"/>
    </row>
    <row r="83" spans="1:7" ht="18.75" customHeight="1" x14ac:dyDescent="0.25">
      <c r="A83" s="86">
        <v>660</v>
      </c>
      <c r="B83" s="82">
        <v>1.6549</v>
      </c>
      <c r="C83" s="83">
        <v>3407.7</v>
      </c>
      <c r="D83" s="83">
        <v>3838</v>
      </c>
      <c r="E83" s="82">
        <v>8.8056999999999999</v>
      </c>
      <c r="F83" s="82"/>
      <c r="G83" s="47"/>
    </row>
    <row r="84" spans="1:7" ht="18.75" customHeight="1" x14ac:dyDescent="0.25">
      <c r="A84" s="86">
        <v>680</v>
      </c>
      <c r="B84" s="82">
        <v>1.6904999999999999</v>
      </c>
      <c r="C84" s="83">
        <v>3443.6</v>
      </c>
      <c r="D84" s="83">
        <v>3883.1</v>
      </c>
      <c r="E84" s="82">
        <v>8.8536000000000001</v>
      </c>
      <c r="F84" s="82"/>
      <c r="G84" s="47"/>
    </row>
    <row r="85" spans="1:7" ht="18.75" customHeight="1" x14ac:dyDescent="0.25">
      <c r="A85" s="86">
        <v>700</v>
      </c>
      <c r="B85" s="82">
        <v>1.7261</v>
      </c>
      <c r="C85" s="83">
        <v>3479.6</v>
      </c>
      <c r="D85" s="83">
        <v>3928.4</v>
      </c>
      <c r="E85" s="82">
        <v>8.9007000000000005</v>
      </c>
      <c r="F85" s="82"/>
      <c r="G85" s="47"/>
    </row>
    <row r="86" spans="1:7" ht="18.75" customHeight="1" x14ac:dyDescent="0.25">
      <c r="A86" s="86">
        <v>720</v>
      </c>
      <c r="B86" s="82">
        <v>1.7617</v>
      </c>
      <c r="C86" s="83">
        <v>3516.1</v>
      </c>
      <c r="D86" s="83">
        <v>3974.1</v>
      </c>
      <c r="E86" s="82">
        <v>8.9471000000000007</v>
      </c>
      <c r="F86" s="82"/>
      <c r="G86" s="47"/>
    </row>
    <row r="87" spans="1:7" ht="18.75" customHeight="1" x14ac:dyDescent="0.25">
      <c r="A87" s="86">
        <v>740</v>
      </c>
      <c r="B87" s="82">
        <v>1.7972999999999999</v>
      </c>
      <c r="C87" s="83">
        <v>3552.7</v>
      </c>
      <c r="D87" s="83">
        <v>4020</v>
      </c>
      <c r="E87" s="82">
        <v>8.9929000000000006</v>
      </c>
      <c r="F87" s="82"/>
      <c r="G87" s="47"/>
    </row>
    <row r="88" spans="1:7" ht="18.75" customHeight="1" x14ac:dyDescent="0.25">
      <c r="A88" s="86">
        <v>760</v>
      </c>
      <c r="B88" s="82">
        <v>1.8329</v>
      </c>
      <c r="C88" s="83">
        <v>3589.6</v>
      </c>
      <c r="D88" s="83">
        <v>4066.2</v>
      </c>
      <c r="E88" s="82">
        <v>9.0381</v>
      </c>
      <c r="F88" s="82"/>
      <c r="G88" s="47"/>
    </row>
    <row r="89" spans="1:7" ht="18.75" customHeight="1" x14ac:dyDescent="0.25">
      <c r="A89" s="86">
        <v>780</v>
      </c>
      <c r="B89" s="82">
        <v>1.8684000000000001</v>
      </c>
      <c r="C89" s="83">
        <v>3626.9</v>
      </c>
      <c r="D89" s="83">
        <v>4112.7</v>
      </c>
      <c r="E89" s="82">
        <v>9.0825999999999993</v>
      </c>
      <c r="F89" s="82"/>
      <c r="G89" s="47"/>
    </row>
    <row r="90" spans="1:7" ht="18.75" customHeight="1" x14ac:dyDescent="0.25">
      <c r="A90" s="86">
        <v>800</v>
      </c>
      <c r="B90" s="82">
        <v>1.9039999999999999</v>
      </c>
      <c r="C90" s="83">
        <v>3664.5</v>
      </c>
      <c r="D90" s="83">
        <v>4159.5</v>
      </c>
      <c r="E90" s="82">
        <v>9.1265999999999998</v>
      </c>
      <c r="F90" s="82"/>
      <c r="G90" s="47"/>
    </row>
    <row r="91" spans="1:7" ht="18.75" customHeight="1" x14ac:dyDescent="0.25">
      <c r="A91" s="86">
        <v>820</v>
      </c>
      <c r="B91" s="82">
        <v>1.9396</v>
      </c>
      <c r="C91" s="83">
        <v>3702.2</v>
      </c>
      <c r="D91" s="83">
        <v>4206.5</v>
      </c>
      <c r="E91" s="82">
        <v>9.17</v>
      </c>
      <c r="F91" s="82"/>
      <c r="G91" s="47"/>
    </row>
    <row r="92" spans="1:7" ht="18.75" customHeight="1" x14ac:dyDescent="0.25">
      <c r="A92" s="86">
        <v>840</v>
      </c>
      <c r="B92" s="82">
        <v>1.9752000000000001</v>
      </c>
      <c r="C92" s="83">
        <v>3740.2</v>
      </c>
      <c r="D92" s="83">
        <v>4253.8</v>
      </c>
      <c r="E92" s="82">
        <v>9.2128999999999994</v>
      </c>
      <c r="F92" s="82"/>
      <c r="G92" s="47"/>
    </row>
    <row r="93" spans="1:7" ht="18.75" customHeight="1" x14ac:dyDescent="0.25">
      <c r="A93" s="86">
        <v>860</v>
      </c>
      <c r="B93" s="82">
        <v>2.0106999999999999</v>
      </c>
      <c r="C93" s="83">
        <v>3778.6</v>
      </c>
      <c r="D93" s="83">
        <v>4301.3999999999996</v>
      </c>
      <c r="E93" s="82">
        <v>9.2553000000000001</v>
      </c>
      <c r="F93" s="82"/>
      <c r="G93" s="47"/>
    </row>
    <row r="94" spans="1:7" ht="18.75" customHeight="1" x14ac:dyDescent="0.25">
      <c r="A94" s="86">
        <v>880</v>
      </c>
      <c r="B94" s="82">
        <v>2.0463</v>
      </c>
      <c r="C94" s="83">
        <v>3817.3</v>
      </c>
      <c r="D94" s="83">
        <v>4349.3</v>
      </c>
      <c r="E94" s="82">
        <v>9.2972000000000001</v>
      </c>
      <c r="F94" s="82"/>
      <c r="G94" s="47"/>
    </row>
    <row r="95" spans="1:7" ht="18.75" customHeight="1" x14ac:dyDescent="0.25">
      <c r="A95" s="86">
        <v>900</v>
      </c>
      <c r="B95" s="82">
        <v>2.0817999999999999</v>
      </c>
      <c r="C95" s="83">
        <v>3856.1</v>
      </c>
      <c r="D95" s="83">
        <v>4397.3999999999996</v>
      </c>
      <c r="E95" s="82">
        <v>9.3385999999999996</v>
      </c>
      <c r="F95" s="82"/>
      <c r="G95" s="47"/>
    </row>
    <row r="96" spans="1:7" ht="18.75" customHeight="1" x14ac:dyDescent="0.25">
      <c r="A96" s="86">
        <v>920</v>
      </c>
      <c r="B96" s="82">
        <v>2.1173999999999999</v>
      </c>
      <c r="C96" s="83">
        <v>3895.3</v>
      </c>
      <c r="D96" s="83">
        <v>4445.8</v>
      </c>
      <c r="E96" s="82">
        <v>9.3795000000000002</v>
      </c>
      <c r="F96" s="82"/>
      <c r="G96" s="47"/>
    </row>
    <row r="97" spans="1:7" ht="18.75" customHeight="1" x14ac:dyDescent="0.25">
      <c r="A97" s="86">
        <v>940</v>
      </c>
      <c r="B97" s="82">
        <v>2.1528999999999998</v>
      </c>
      <c r="C97" s="83">
        <v>3934.7</v>
      </c>
      <c r="D97" s="83">
        <v>4494.5</v>
      </c>
      <c r="E97" s="82">
        <v>9.4199000000000002</v>
      </c>
      <c r="F97" s="82"/>
      <c r="G97" s="47"/>
    </row>
    <row r="98" spans="1:7" ht="18.75" customHeight="1" x14ac:dyDescent="0.25">
      <c r="A98" s="86">
        <v>960</v>
      </c>
      <c r="B98" s="82">
        <v>2.1884999999999999</v>
      </c>
      <c r="C98" s="83">
        <v>3974.4</v>
      </c>
      <c r="D98" s="83">
        <v>4543.3999999999996</v>
      </c>
      <c r="E98" s="82">
        <v>9.4598999999999993</v>
      </c>
      <c r="F98" s="82"/>
      <c r="G98" s="47"/>
    </row>
    <row r="99" spans="1:7" ht="18.75" customHeight="1" x14ac:dyDescent="0.25">
      <c r="A99" s="86">
        <v>980</v>
      </c>
      <c r="B99" s="82">
        <v>2.2240000000000002</v>
      </c>
      <c r="C99" s="83">
        <v>4014.4</v>
      </c>
      <c r="D99" s="83">
        <v>4592.6000000000004</v>
      </c>
      <c r="E99" s="82">
        <v>9.4994999999999994</v>
      </c>
      <c r="F99" s="82"/>
      <c r="G99" s="47"/>
    </row>
    <row r="100" spans="1:7" ht="13.8" x14ac:dyDescent="0.25">
      <c r="A100" s="86">
        <v>1000</v>
      </c>
      <c r="B100" s="82">
        <v>2.2595999999999998</v>
      </c>
      <c r="C100" s="83">
        <v>4054.6</v>
      </c>
      <c r="D100" s="83">
        <v>4642.1000000000004</v>
      </c>
      <c r="E100" s="82">
        <v>9.5387000000000004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H100"/>
  <sheetViews>
    <sheetView topLeftCell="A17" workbookViewId="0">
      <selection activeCell="A32" sqref="A32:XFD32"/>
    </sheetView>
  </sheetViews>
  <sheetFormatPr defaultRowHeight="13.2" x14ac:dyDescent="0.25"/>
  <cols>
    <col min="1" max="1" width="6.21875" customWidth="1"/>
    <col min="2" max="2" width="12.5546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53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280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1.00007E-3</v>
      </c>
      <c r="C5" s="80">
        <v>-0.04</v>
      </c>
      <c r="D5" s="80">
        <v>0.24</v>
      </c>
      <c r="E5" s="81">
        <v>-1.3999999999999999E-4</v>
      </c>
      <c r="F5" s="81"/>
      <c r="G5" s="28"/>
      <c r="H5" s="28"/>
    </row>
    <row r="6" spans="1:8" ht="18.75" customHeight="1" x14ac:dyDescent="0.25">
      <c r="A6" s="87">
        <v>5</v>
      </c>
      <c r="B6" s="79">
        <v>9.999500000000001E-4</v>
      </c>
      <c r="C6" s="80">
        <v>21.02</v>
      </c>
      <c r="D6" s="80">
        <v>21.3</v>
      </c>
      <c r="E6" s="81">
        <v>7.6249999999999998E-2</v>
      </c>
      <c r="F6" s="81"/>
      <c r="G6" s="28"/>
      <c r="H6" s="28"/>
    </row>
    <row r="7" spans="1:8" ht="18.75" customHeight="1" x14ac:dyDescent="0.25">
      <c r="A7" s="87">
        <v>10</v>
      </c>
      <c r="B7" s="79">
        <v>1.0002100000000001E-3</v>
      </c>
      <c r="C7" s="80">
        <v>42.01</v>
      </c>
      <c r="D7" s="80">
        <v>42.29</v>
      </c>
      <c r="E7" s="81">
        <v>0.15106</v>
      </c>
      <c r="F7" s="81"/>
      <c r="G7" s="28"/>
      <c r="H7" s="28"/>
    </row>
    <row r="8" spans="1:8" ht="18.75" customHeight="1" x14ac:dyDescent="0.25">
      <c r="A8" s="87">
        <v>15</v>
      </c>
      <c r="B8" s="79">
        <v>1.00081E-3</v>
      </c>
      <c r="C8" s="80">
        <v>62.97</v>
      </c>
      <c r="D8" s="80">
        <v>63.25</v>
      </c>
      <c r="E8" s="81">
        <v>0.22442000000000001</v>
      </c>
      <c r="F8" s="81"/>
      <c r="G8" s="28"/>
      <c r="H8" s="28"/>
    </row>
    <row r="9" spans="1:8" ht="18.75" customHeight="1" x14ac:dyDescent="0.25">
      <c r="A9" s="87">
        <v>20</v>
      </c>
      <c r="B9" s="79">
        <v>1.0017100000000001E-3</v>
      </c>
      <c r="C9" s="80">
        <v>83.9</v>
      </c>
      <c r="D9" s="80">
        <v>84.18</v>
      </c>
      <c r="E9" s="81">
        <v>0.29643000000000003</v>
      </c>
      <c r="F9" s="81"/>
      <c r="G9" s="28"/>
      <c r="H9" s="28"/>
    </row>
    <row r="10" spans="1:8" ht="18.75" customHeight="1" x14ac:dyDescent="0.25">
      <c r="A10" s="87">
        <v>25</v>
      </c>
      <c r="B10" s="79">
        <v>1.00288E-3</v>
      </c>
      <c r="C10" s="80">
        <v>104.81</v>
      </c>
      <c r="D10" s="80">
        <v>105.09</v>
      </c>
      <c r="E10" s="81">
        <v>0.36714999999999998</v>
      </c>
      <c r="F10" s="81"/>
      <c r="G10" s="28"/>
    </row>
    <row r="11" spans="1:8" ht="18.75" customHeight="1" x14ac:dyDescent="0.25">
      <c r="A11" s="87">
        <v>30</v>
      </c>
      <c r="B11" s="79">
        <v>1.0042899999999999E-3</v>
      </c>
      <c r="C11" s="80">
        <v>125.71</v>
      </c>
      <c r="D11" s="80">
        <v>125.99</v>
      </c>
      <c r="E11" s="81">
        <v>0.43667</v>
      </c>
      <c r="F11" s="81"/>
      <c r="G11" s="28"/>
    </row>
    <row r="12" spans="1:8" ht="18.75" customHeight="1" x14ac:dyDescent="0.25">
      <c r="A12" s="87">
        <v>35</v>
      </c>
      <c r="B12" s="79">
        <v>1.00592E-3</v>
      </c>
      <c r="C12" s="80">
        <v>146.6</v>
      </c>
      <c r="D12" s="80">
        <v>146.88</v>
      </c>
      <c r="E12" s="81">
        <v>0.50502999999999998</v>
      </c>
      <c r="F12" s="81"/>
      <c r="G12" s="28"/>
    </row>
    <row r="13" spans="1:8" ht="18.75" customHeight="1" x14ac:dyDescent="0.25">
      <c r="A13" s="87">
        <v>40</v>
      </c>
      <c r="B13" s="79">
        <v>1.0077700000000001E-3</v>
      </c>
      <c r="C13" s="80">
        <v>167.49</v>
      </c>
      <c r="D13" s="80">
        <v>167.77</v>
      </c>
      <c r="E13" s="81">
        <v>0.57230000000000003</v>
      </c>
      <c r="F13" s="81"/>
      <c r="G13" s="28"/>
    </row>
    <row r="14" spans="1:8" ht="18.75" customHeight="1" x14ac:dyDescent="0.25">
      <c r="A14" s="87">
        <v>45</v>
      </c>
      <c r="B14" s="79">
        <v>1.0097999999999999E-3</v>
      </c>
      <c r="C14" s="80">
        <v>188.39</v>
      </c>
      <c r="D14" s="80">
        <v>188.67</v>
      </c>
      <c r="E14" s="81">
        <v>0.63849999999999996</v>
      </c>
      <c r="F14" s="81"/>
      <c r="G14" s="28"/>
    </row>
    <row r="15" spans="1:8" ht="18.75" customHeight="1" x14ac:dyDescent="0.25">
      <c r="A15" s="87">
        <v>50</v>
      </c>
      <c r="B15" s="79">
        <v>1.0120299999999999E-3</v>
      </c>
      <c r="C15" s="80">
        <v>209.29</v>
      </c>
      <c r="D15" s="80">
        <v>209.57</v>
      </c>
      <c r="E15" s="81">
        <v>0.70367999999999997</v>
      </c>
      <c r="F15" s="81"/>
      <c r="G15" s="28"/>
    </row>
    <row r="16" spans="1:8" ht="18.75" customHeight="1" x14ac:dyDescent="0.25">
      <c r="A16" s="87">
        <v>55</v>
      </c>
      <c r="B16" s="79">
        <v>1.01443E-3</v>
      </c>
      <c r="C16" s="80">
        <v>230.2</v>
      </c>
      <c r="D16" s="80">
        <v>230.48</v>
      </c>
      <c r="E16" s="81">
        <v>0.76788999999999996</v>
      </c>
      <c r="F16" s="81"/>
      <c r="G16" s="28"/>
    </row>
    <row r="17" spans="1:7" ht="18.75" customHeight="1" x14ac:dyDescent="0.25">
      <c r="A17" s="87">
        <v>60</v>
      </c>
      <c r="B17" s="79">
        <v>1.01701E-3</v>
      </c>
      <c r="C17" s="80">
        <v>251.12</v>
      </c>
      <c r="D17" s="80">
        <v>251.4</v>
      </c>
      <c r="E17" s="81">
        <v>0.83115000000000006</v>
      </c>
      <c r="F17" s="81"/>
      <c r="G17" s="28"/>
    </row>
    <row r="18" spans="1:7" ht="18.75" customHeight="1" x14ac:dyDescent="0.25">
      <c r="A18" s="87">
        <v>65</v>
      </c>
      <c r="B18" s="79">
        <v>1.01975E-3</v>
      </c>
      <c r="C18" s="80">
        <v>272.04000000000002</v>
      </c>
      <c r="D18" s="80">
        <v>272.33</v>
      </c>
      <c r="E18" s="81">
        <v>0.89351000000000003</v>
      </c>
      <c r="F18" s="81"/>
      <c r="G18" s="28"/>
    </row>
    <row r="19" spans="1:7" ht="18.75" customHeight="1" x14ac:dyDescent="0.25">
      <c r="A19" s="87">
        <v>70</v>
      </c>
      <c r="B19" s="79">
        <v>1.0226600000000001E-3</v>
      </c>
      <c r="C19" s="80">
        <v>292.98</v>
      </c>
      <c r="D19" s="80">
        <v>293.27</v>
      </c>
      <c r="E19" s="81">
        <v>0.95498000000000005</v>
      </c>
      <c r="F19" s="81"/>
      <c r="G19" s="28"/>
    </row>
    <row r="20" spans="1:7" ht="18.75" customHeight="1" x14ac:dyDescent="0.25">
      <c r="A20" s="87">
        <v>75</v>
      </c>
      <c r="B20" s="79">
        <v>1.0257199999999999E-3</v>
      </c>
      <c r="C20" s="80">
        <v>313.93</v>
      </c>
      <c r="D20" s="80">
        <v>314.22000000000003</v>
      </c>
      <c r="E20" s="82">
        <v>1.0156000000000001</v>
      </c>
      <c r="F20" s="82"/>
      <c r="G20" s="28"/>
    </row>
    <row r="21" spans="1:7" ht="18.75" customHeight="1" x14ac:dyDescent="0.25">
      <c r="A21" s="87">
        <v>80</v>
      </c>
      <c r="B21" s="79">
        <v>1.0289400000000001E-3</v>
      </c>
      <c r="C21" s="80">
        <v>334.91</v>
      </c>
      <c r="D21" s="80">
        <v>335.2</v>
      </c>
      <c r="E21" s="82">
        <v>1.0753999999999999</v>
      </c>
      <c r="F21" s="82"/>
      <c r="G21" s="28"/>
    </row>
    <row r="22" spans="1:7" ht="18.75" customHeight="1" x14ac:dyDescent="0.25">
      <c r="A22" s="87">
        <v>85</v>
      </c>
      <c r="B22" s="79">
        <v>1.03232E-3</v>
      </c>
      <c r="C22" s="80">
        <v>355.9</v>
      </c>
      <c r="D22" s="80">
        <v>356.19</v>
      </c>
      <c r="E22" s="82">
        <v>1.1344000000000001</v>
      </c>
      <c r="F22" s="82"/>
      <c r="G22" s="28"/>
    </row>
    <row r="23" spans="1:7" ht="18.75" customHeight="1" x14ac:dyDescent="0.25">
      <c r="A23" s="87">
        <v>90</v>
      </c>
      <c r="B23" s="79">
        <v>1.0358500000000001E-3</v>
      </c>
      <c r="C23" s="80">
        <v>376.91</v>
      </c>
      <c r="D23" s="80">
        <v>377.2</v>
      </c>
      <c r="E23" s="82">
        <v>1.1927000000000001</v>
      </c>
      <c r="F23" s="82"/>
      <c r="G23" s="28"/>
    </row>
    <row r="24" spans="1:7" ht="18.75" customHeight="1" x14ac:dyDescent="0.25">
      <c r="A24" s="87">
        <v>95</v>
      </c>
      <c r="B24" s="79">
        <v>1.0395300000000001E-3</v>
      </c>
      <c r="C24" s="80">
        <v>397.95</v>
      </c>
      <c r="D24" s="80">
        <v>398.24</v>
      </c>
      <c r="E24" s="82">
        <v>1.2502</v>
      </c>
      <c r="F24" s="82"/>
      <c r="G24" s="28"/>
    </row>
    <row r="25" spans="1:7" ht="18.75" customHeight="1" x14ac:dyDescent="0.25">
      <c r="A25" s="87">
        <v>100</v>
      </c>
      <c r="B25" s="79">
        <v>1.0433700000000001E-3</v>
      </c>
      <c r="C25" s="80">
        <v>419.01</v>
      </c>
      <c r="D25" s="80">
        <v>419.3</v>
      </c>
      <c r="E25" s="82">
        <v>1.3070999999999999</v>
      </c>
      <c r="F25" s="82"/>
      <c r="G25" s="28"/>
    </row>
    <row r="26" spans="1:7" ht="18.75" customHeight="1" x14ac:dyDescent="0.25">
      <c r="A26" s="87">
        <v>105</v>
      </c>
      <c r="B26" s="79">
        <v>1.04736E-3</v>
      </c>
      <c r="C26" s="80">
        <v>440.1</v>
      </c>
      <c r="D26" s="80">
        <v>440.39</v>
      </c>
      <c r="E26" s="82">
        <v>1.3632</v>
      </c>
      <c r="F26" s="82"/>
      <c r="G26" s="28"/>
    </row>
    <row r="27" spans="1:7" ht="18.75" customHeight="1" x14ac:dyDescent="0.25">
      <c r="A27" s="87">
        <v>110</v>
      </c>
      <c r="B27" s="79">
        <v>1.0515100000000001E-3</v>
      </c>
      <c r="C27" s="80">
        <v>461.22</v>
      </c>
      <c r="D27" s="80">
        <v>461.51</v>
      </c>
      <c r="E27" s="82">
        <v>1.4187000000000001</v>
      </c>
      <c r="F27" s="82"/>
      <c r="G27" s="28"/>
    </row>
    <row r="28" spans="1:7" ht="18.75" customHeight="1" x14ac:dyDescent="0.25">
      <c r="A28" s="87">
        <v>115</v>
      </c>
      <c r="B28" s="79">
        <v>1.0558099999999999E-3</v>
      </c>
      <c r="C28" s="80">
        <v>482.37</v>
      </c>
      <c r="D28" s="80">
        <v>482.67</v>
      </c>
      <c r="E28" s="82">
        <v>1.4736</v>
      </c>
      <c r="F28" s="82"/>
      <c r="G28" s="28"/>
    </row>
    <row r="29" spans="1:7" ht="18.75" customHeight="1" x14ac:dyDescent="0.25">
      <c r="A29" s="87">
        <v>120</v>
      </c>
      <c r="B29" s="79">
        <v>1.06028E-3</v>
      </c>
      <c r="C29" s="80">
        <v>503.57</v>
      </c>
      <c r="D29" s="80">
        <v>503.87</v>
      </c>
      <c r="E29" s="82">
        <v>1.5278</v>
      </c>
      <c r="F29" s="82"/>
      <c r="G29" s="28"/>
    </row>
    <row r="30" spans="1:7" ht="18.75" customHeight="1" x14ac:dyDescent="0.25">
      <c r="A30" s="87">
        <v>125</v>
      </c>
      <c r="B30" s="79">
        <v>1.0649100000000001E-3</v>
      </c>
      <c r="C30" s="80">
        <v>524.80999999999995</v>
      </c>
      <c r="D30" s="80">
        <v>525.11</v>
      </c>
      <c r="E30" s="82">
        <v>1.5814999999999999</v>
      </c>
      <c r="F30" s="82"/>
      <c r="G30" s="28"/>
    </row>
    <row r="31" spans="1:7" ht="18.75" customHeight="1" x14ac:dyDescent="0.25">
      <c r="A31" s="87">
        <v>130</v>
      </c>
      <c r="B31" s="79">
        <v>1.0697E-3</v>
      </c>
      <c r="C31" s="80">
        <v>546.09</v>
      </c>
      <c r="D31" s="80">
        <v>546.39</v>
      </c>
      <c r="E31" s="82">
        <v>1.6346000000000001</v>
      </c>
      <c r="F31" s="82"/>
      <c r="G31" s="28"/>
    </row>
    <row r="32" spans="1:7" ht="18.75" customHeight="1" x14ac:dyDescent="0.25">
      <c r="A32" s="87">
        <v>135</v>
      </c>
      <c r="B32" s="81">
        <v>0.65329999999999999</v>
      </c>
      <c r="C32" s="83">
        <v>2547.3000000000002</v>
      </c>
      <c r="D32" s="83">
        <v>2730.2</v>
      </c>
      <c r="E32" s="82">
        <v>7.0355999999999996</v>
      </c>
      <c r="F32" s="82"/>
      <c r="G32" s="28"/>
    </row>
    <row r="33" spans="1:7" ht="18.75" customHeight="1" x14ac:dyDescent="0.25">
      <c r="A33" s="87">
        <v>140</v>
      </c>
      <c r="B33" s="81">
        <v>0.66247</v>
      </c>
      <c r="C33" s="83">
        <v>2555.6999999999998</v>
      </c>
      <c r="D33" s="83">
        <v>2741.2</v>
      </c>
      <c r="E33" s="82">
        <v>7.0624000000000002</v>
      </c>
      <c r="F33" s="82"/>
      <c r="G33" s="28"/>
    </row>
    <row r="34" spans="1:7" ht="18.75" customHeight="1" x14ac:dyDescent="0.25">
      <c r="A34" s="87">
        <v>145</v>
      </c>
      <c r="B34" s="81">
        <v>0.67156000000000005</v>
      </c>
      <c r="C34" s="83">
        <v>2564.1</v>
      </c>
      <c r="D34" s="83">
        <v>2752.1</v>
      </c>
      <c r="E34" s="82">
        <v>7.0884999999999998</v>
      </c>
      <c r="F34" s="82"/>
      <c r="G34" s="28"/>
    </row>
    <row r="35" spans="1:7" ht="18.75" customHeight="1" x14ac:dyDescent="0.25">
      <c r="A35" s="87">
        <v>150</v>
      </c>
      <c r="B35" s="81">
        <v>0.68059000000000003</v>
      </c>
      <c r="C35" s="83">
        <v>2572.1999999999998</v>
      </c>
      <c r="D35" s="83">
        <v>2762.8</v>
      </c>
      <c r="E35" s="82">
        <v>7.1139999999999999</v>
      </c>
      <c r="F35" s="82"/>
      <c r="G35" s="28"/>
    </row>
    <row r="36" spans="1:7" ht="18.75" customHeight="1" x14ac:dyDescent="0.25">
      <c r="A36" s="87">
        <v>155</v>
      </c>
      <c r="B36" s="81">
        <v>0.68955</v>
      </c>
      <c r="C36" s="83">
        <v>2580.4</v>
      </c>
      <c r="D36" s="83">
        <v>2773.5</v>
      </c>
      <c r="E36" s="82">
        <v>7.1390000000000002</v>
      </c>
      <c r="F36" s="82"/>
      <c r="G36" s="28"/>
    </row>
    <row r="37" spans="1:7" ht="18.75" customHeight="1" x14ac:dyDescent="0.25">
      <c r="A37" s="87">
        <v>160</v>
      </c>
      <c r="B37" s="81">
        <v>0.69845999999999997</v>
      </c>
      <c r="C37" s="83">
        <v>2588.4</v>
      </c>
      <c r="D37" s="83">
        <v>2784</v>
      </c>
      <c r="E37" s="82">
        <v>7.1635999999999997</v>
      </c>
      <c r="F37" s="82"/>
      <c r="G37" s="28"/>
    </row>
    <row r="38" spans="1:7" ht="18.75" customHeight="1" x14ac:dyDescent="0.25">
      <c r="A38" s="87">
        <v>165</v>
      </c>
      <c r="B38" s="81">
        <v>0.70733000000000001</v>
      </c>
      <c r="C38" s="83">
        <v>2596.4</v>
      </c>
      <c r="D38" s="83">
        <v>2794.5</v>
      </c>
      <c r="E38" s="82">
        <v>7.1877000000000004</v>
      </c>
      <c r="F38" s="82"/>
      <c r="G38" s="28"/>
    </row>
    <row r="39" spans="1:7" ht="18.75" customHeight="1" x14ac:dyDescent="0.25">
      <c r="A39" s="87">
        <v>170</v>
      </c>
      <c r="B39" s="81">
        <v>0.71616000000000002</v>
      </c>
      <c r="C39" s="83">
        <v>2604.5</v>
      </c>
      <c r="D39" s="83">
        <v>2805</v>
      </c>
      <c r="E39" s="82">
        <v>7.2114000000000003</v>
      </c>
      <c r="F39" s="82"/>
      <c r="G39" s="28"/>
    </row>
    <row r="40" spans="1:7" ht="18.75" customHeight="1" x14ac:dyDescent="0.25">
      <c r="A40" s="87">
        <v>175</v>
      </c>
      <c r="B40" s="81">
        <v>0.72494000000000003</v>
      </c>
      <c r="C40" s="83">
        <v>2612.4</v>
      </c>
      <c r="D40" s="83">
        <v>2815.4</v>
      </c>
      <c r="E40" s="82">
        <v>7.2347999999999999</v>
      </c>
      <c r="F40" s="82"/>
      <c r="G40" s="28"/>
    </row>
    <row r="41" spans="1:7" ht="18.75" customHeight="1" x14ac:dyDescent="0.25">
      <c r="A41" s="87">
        <v>180</v>
      </c>
      <c r="B41" s="81">
        <v>0.73370000000000002</v>
      </c>
      <c r="C41" s="83">
        <v>2620.4</v>
      </c>
      <c r="D41" s="83">
        <v>2825.8</v>
      </c>
      <c r="E41" s="82">
        <v>7.2577999999999996</v>
      </c>
      <c r="F41" s="82"/>
      <c r="G41" s="28"/>
    </row>
    <row r="42" spans="1:7" ht="18.75" customHeight="1" x14ac:dyDescent="0.25">
      <c r="A42" s="87">
        <v>185</v>
      </c>
      <c r="B42" s="81">
        <v>0.74241999999999997</v>
      </c>
      <c r="C42" s="83">
        <v>2628.2</v>
      </c>
      <c r="D42" s="83">
        <v>2836.1</v>
      </c>
      <c r="E42" s="82">
        <v>7.2804000000000002</v>
      </c>
      <c r="F42" s="82"/>
      <c r="G42" s="28"/>
    </row>
    <row r="43" spans="1:7" ht="18.75" customHeight="1" x14ac:dyDescent="0.25">
      <c r="A43" s="87">
        <v>190</v>
      </c>
      <c r="B43" s="81">
        <v>0.75112000000000001</v>
      </c>
      <c r="C43" s="83">
        <v>2636.1</v>
      </c>
      <c r="D43" s="83">
        <v>2846.4</v>
      </c>
      <c r="E43" s="82">
        <v>7.3028000000000004</v>
      </c>
      <c r="F43" s="82"/>
      <c r="G43" s="28"/>
    </row>
    <row r="44" spans="1:7" ht="18.75" customHeight="1" x14ac:dyDescent="0.25">
      <c r="A44" s="87">
        <v>195</v>
      </c>
      <c r="B44" s="81">
        <v>0.75978999999999997</v>
      </c>
      <c r="C44" s="83">
        <v>2643.9</v>
      </c>
      <c r="D44" s="83">
        <v>2856.6</v>
      </c>
      <c r="E44" s="82">
        <v>7.3247999999999998</v>
      </c>
      <c r="F44" s="82"/>
      <c r="G44" s="28"/>
    </row>
    <row r="45" spans="1:7" ht="18.75" customHeight="1" x14ac:dyDescent="0.25">
      <c r="A45" s="87">
        <v>200</v>
      </c>
      <c r="B45" s="81">
        <v>0.76844000000000001</v>
      </c>
      <c r="C45" s="83">
        <v>2651.7</v>
      </c>
      <c r="D45" s="83">
        <v>2866.9</v>
      </c>
      <c r="E45" s="82">
        <v>7.3464999999999998</v>
      </c>
      <c r="F45" s="82"/>
      <c r="G45" s="28"/>
    </row>
    <row r="46" spans="1:7" ht="18.75" customHeight="1" x14ac:dyDescent="0.25">
      <c r="A46" s="87">
        <v>210</v>
      </c>
      <c r="B46" s="81">
        <v>0.78566999999999998</v>
      </c>
      <c r="C46" s="83">
        <v>2667.3</v>
      </c>
      <c r="D46" s="83">
        <v>2887.3</v>
      </c>
      <c r="E46" s="82">
        <v>7.3893000000000004</v>
      </c>
      <c r="F46" s="82"/>
      <c r="G46" s="28"/>
    </row>
    <row r="47" spans="1:7" ht="18.75" customHeight="1" x14ac:dyDescent="0.25">
      <c r="A47" s="87">
        <v>220</v>
      </c>
      <c r="B47" s="81">
        <v>0.80281999999999998</v>
      </c>
      <c r="C47" s="83">
        <v>2682.8</v>
      </c>
      <c r="D47" s="83">
        <v>2907.6</v>
      </c>
      <c r="E47" s="82">
        <v>7.431</v>
      </c>
      <c r="F47" s="82"/>
      <c r="G47" s="28"/>
    </row>
    <row r="48" spans="1:7" ht="18.75" customHeight="1" x14ac:dyDescent="0.25">
      <c r="A48" s="87">
        <v>230</v>
      </c>
      <c r="B48" s="81">
        <v>0.81991999999999998</v>
      </c>
      <c r="C48" s="83">
        <v>2698.4</v>
      </c>
      <c r="D48" s="83">
        <v>2928</v>
      </c>
      <c r="E48" s="82">
        <v>7.4717000000000002</v>
      </c>
      <c r="F48" s="82"/>
      <c r="G48" s="28"/>
    </row>
    <row r="49" spans="1:7" ht="18.75" customHeight="1" x14ac:dyDescent="0.25">
      <c r="A49" s="87">
        <v>240</v>
      </c>
      <c r="B49" s="81">
        <v>0.83694999999999997</v>
      </c>
      <c r="C49" s="83">
        <v>2714</v>
      </c>
      <c r="D49" s="83">
        <v>2948.3</v>
      </c>
      <c r="E49" s="82">
        <v>7.5117000000000003</v>
      </c>
      <c r="F49" s="82"/>
      <c r="G49" s="28"/>
    </row>
    <row r="50" spans="1:7" ht="18.75" customHeight="1" x14ac:dyDescent="0.25">
      <c r="A50" s="87">
        <v>250</v>
      </c>
      <c r="B50" s="81">
        <v>0.85394000000000003</v>
      </c>
      <c r="C50" s="83">
        <v>2729.4</v>
      </c>
      <c r="D50" s="83">
        <v>2968.5</v>
      </c>
      <c r="E50" s="82">
        <v>7.5507999999999997</v>
      </c>
      <c r="F50" s="82"/>
      <c r="G50" s="28"/>
    </row>
    <row r="51" spans="1:7" ht="18.75" customHeight="1" x14ac:dyDescent="0.25">
      <c r="A51" s="87">
        <v>260</v>
      </c>
      <c r="B51" s="81">
        <v>0.87087999999999999</v>
      </c>
      <c r="C51" s="83">
        <v>2745</v>
      </c>
      <c r="D51" s="83">
        <v>2988.8</v>
      </c>
      <c r="E51" s="82">
        <v>7.5891999999999999</v>
      </c>
      <c r="F51" s="82"/>
      <c r="G51" s="28"/>
    </row>
    <row r="52" spans="1:7" ht="18.75" customHeight="1" x14ac:dyDescent="0.25">
      <c r="A52" s="87">
        <v>270</v>
      </c>
      <c r="B52" s="81">
        <v>0.88778999999999997</v>
      </c>
      <c r="C52" s="83">
        <v>2760.5</v>
      </c>
      <c r="D52" s="83">
        <v>3009.1</v>
      </c>
      <c r="E52" s="82">
        <v>7.6269</v>
      </c>
      <c r="F52" s="82"/>
      <c r="G52" s="28"/>
    </row>
    <row r="53" spans="1:7" ht="18.75" customHeight="1" x14ac:dyDescent="0.25">
      <c r="A53" s="87">
        <v>280</v>
      </c>
      <c r="B53" s="81">
        <v>0.90466999999999997</v>
      </c>
      <c r="C53" s="83">
        <v>2776.1</v>
      </c>
      <c r="D53" s="83">
        <v>3029.4</v>
      </c>
      <c r="E53" s="82">
        <v>7.6639999999999997</v>
      </c>
      <c r="F53" s="82"/>
      <c r="G53" s="28"/>
    </row>
    <row r="54" spans="1:7" ht="18.75" customHeight="1" x14ac:dyDescent="0.25">
      <c r="A54" s="87">
        <v>290</v>
      </c>
      <c r="B54" s="81">
        <v>0.92151000000000005</v>
      </c>
      <c r="C54" s="83">
        <v>2791.7</v>
      </c>
      <c r="D54" s="83">
        <v>3049.7</v>
      </c>
      <c r="E54" s="82">
        <v>7.7004000000000001</v>
      </c>
      <c r="F54" s="82"/>
      <c r="G54" s="28"/>
    </row>
    <row r="55" spans="1:7" ht="18.75" customHeight="1" x14ac:dyDescent="0.25">
      <c r="A55" s="87">
        <v>300</v>
      </c>
      <c r="B55" s="81">
        <v>0.93833</v>
      </c>
      <c r="C55" s="83">
        <v>2807.4</v>
      </c>
      <c r="D55" s="83">
        <v>3070.1</v>
      </c>
      <c r="E55" s="82">
        <v>7.7362000000000002</v>
      </c>
      <c r="F55" s="82"/>
      <c r="G55" s="28"/>
    </row>
    <row r="56" spans="1:7" ht="18.75" customHeight="1" x14ac:dyDescent="0.25">
      <c r="A56" s="87">
        <v>310</v>
      </c>
      <c r="B56" s="81">
        <v>0.95511999999999997</v>
      </c>
      <c r="C56" s="83">
        <v>2823.1</v>
      </c>
      <c r="D56" s="83">
        <v>3090.5</v>
      </c>
      <c r="E56" s="82">
        <v>7.7713999999999999</v>
      </c>
      <c r="F56" s="82"/>
      <c r="G56" s="28"/>
    </row>
    <row r="57" spans="1:7" ht="18.75" customHeight="1" x14ac:dyDescent="0.25">
      <c r="A57" s="87">
        <v>320</v>
      </c>
      <c r="B57" s="81">
        <v>0.97189999999999999</v>
      </c>
      <c r="C57" s="83">
        <v>2838.8</v>
      </c>
      <c r="D57" s="83">
        <v>3110.9</v>
      </c>
      <c r="E57" s="82">
        <v>7.8061999999999996</v>
      </c>
      <c r="F57" s="82"/>
      <c r="G57" s="28"/>
    </row>
    <row r="58" spans="1:7" ht="18.75" customHeight="1" x14ac:dyDescent="0.25">
      <c r="A58" s="87">
        <v>330</v>
      </c>
      <c r="B58" s="81">
        <v>0.98865000000000003</v>
      </c>
      <c r="C58" s="83">
        <v>2854.5</v>
      </c>
      <c r="D58" s="83">
        <v>3131.3</v>
      </c>
      <c r="E58" s="82">
        <v>7.8403999999999998</v>
      </c>
      <c r="F58" s="82"/>
      <c r="G58" s="28"/>
    </row>
    <row r="59" spans="1:7" ht="18.75" customHeight="1" x14ac:dyDescent="0.25">
      <c r="A59" s="87">
        <v>340</v>
      </c>
      <c r="B59" s="82">
        <v>1.0054000000000001</v>
      </c>
      <c r="C59" s="83">
        <v>2870.3</v>
      </c>
      <c r="D59" s="83">
        <v>3151.8</v>
      </c>
      <c r="E59" s="82">
        <v>7.8741000000000003</v>
      </c>
      <c r="F59" s="82"/>
      <c r="G59" s="28"/>
    </row>
    <row r="60" spans="1:7" ht="18.75" customHeight="1" x14ac:dyDescent="0.25">
      <c r="A60" s="87">
        <v>350</v>
      </c>
      <c r="B60" s="82">
        <v>1.0221</v>
      </c>
      <c r="C60" s="83">
        <v>2886.2</v>
      </c>
      <c r="D60" s="83">
        <v>3172.4</v>
      </c>
      <c r="E60" s="82">
        <v>7.9073000000000002</v>
      </c>
      <c r="F60" s="82"/>
      <c r="G60" s="28"/>
    </row>
    <row r="61" spans="1:7" ht="18.75" customHeight="1" x14ac:dyDescent="0.25">
      <c r="A61" s="87">
        <v>360</v>
      </c>
      <c r="B61" s="82">
        <v>1.0387999999999999</v>
      </c>
      <c r="C61" s="83">
        <v>2902</v>
      </c>
      <c r="D61" s="83">
        <v>3192.9</v>
      </c>
      <c r="E61" s="82">
        <v>7.94</v>
      </c>
      <c r="F61" s="82"/>
      <c r="G61" s="28"/>
    </row>
    <row r="62" spans="1:7" ht="18.75" customHeight="1" x14ac:dyDescent="0.25">
      <c r="A62" s="87">
        <v>370</v>
      </c>
      <c r="B62" s="82">
        <v>1.0555000000000001</v>
      </c>
      <c r="C62" s="83">
        <v>2918.1</v>
      </c>
      <c r="D62" s="83">
        <v>3213.6</v>
      </c>
      <c r="E62" s="82">
        <v>7.9724000000000004</v>
      </c>
      <c r="F62" s="82"/>
      <c r="G62" s="28"/>
    </row>
    <row r="63" spans="1:7" ht="18.75" customHeight="1" x14ac:dyDescent="0.25">
      <c r="A63" s="87">
        <v>380</v>
      </c>
      <c r="B63" s="82">
        <v>1.0722</v>
      </c>
      <c r="C63" s="83">
        <v>2934.1</v>
      </c>
      <c r="D63" s="83">
        <v>3234.3</v>
      </c>
      <c r="E63" s="82">
        <v>8.0043000000000006</v>
      </c>
      <c r="F63" s="82"/>
      <c r="G63" s="28"/>
    </row>
    <row r="64" spans="1:7" ht="18.75" customHeight="1" x14ac:dyDescent="0.25">
      <c r="A64" s="87">
        <v>390</v>
      </c>
      <c r="B64" s="82">
        <v>1.0889</v>
      </c>
      <c r="C64" s="83">
        <v>2950.1</v>
      </c>
      <c r="D64" s="83">
        <v>3255</v>
      </c>
      <c r="E64" s="82">
        <v>8.0358000000000001</v>
      </c>
      <c r="F64" s="82"/>
      <c r="G64" s="28"/>
    </row>
    <row r="65" spans="1:7" ht="18.75" customHeight="1" x14ac:dyDescent="0.25">
      <c r="A65" s="87">
        <v>400</v>
      </c>
      <c r="B65" s="82">
        <v>1.1054999999999999</v>
      </c>
      <c r="C65" s="83">
        <v>2966.3</v>
      </c>
      <c r="D65" s="83">
        <v>3275.8</v>
      </c>
      <c r="E65" s="82">
        <v>8.0669000000000004</v>
      </c>
      <c r="F65" s="82"/>
      <c r="G65" s="28"/>
    </row>
    <row r="66" spans="1:7" ht="18.75" customHeight="1" x14ac:dyDescent="0.25">
      <c r="A66" s="87">
        <v>410</v>
      </c>
      <c r="B66" s="82">
        <v>1.1222000000000001</v>
      </c>
      <c r="C66" s="83">
        <v>2982.4</v>
      </c>
      <c r="D66" s="83">
        <v>3296.6</v>
      </c>
      <c r="E66" s="82">
        <v>8.0975999999999999</v>
      </c>
      <c r="F66" s="82"/>
      <c r="G66" s="28"/>
    </row>
    <row r="67" spans="1:7" ht="18.75" customHeight="1" x14ac:dyDescent="0.25">
      <c r="A67" s="87">
        <v>420</v>
      </c>
      <c r="B67" s="82">
        <v>1.1388</v>
      </c>
      <c r="C67" s="83">
        <v>2998.6</v>
      </c>
      <c r="D67" s="83">
        <v>3317.5</v>
      </c>
      <c r="E67" s="82">
        <v>8.1280000000000001</v>
      </c>
      <c r="F67" s="82"/>
      <c r="G67" s="28"/>
    </row>
    <row r="68" spans="1:7" ht="18.75" customHeight="1" x14ac:dyDescent="0.25">
      <c r="A68" s="87">
        <v>430</v>
      </c>
      <c r="B68" s="82">
        <v>1.1554</v>
      </c>
      <c r="C68" s="83">
        <v>3015</v>
      </c>
      <c r="D68" s="83">
        <v>3338.5</v>
      </c>
      <c r="E68" s="82">
        <v>8.1579999999999995</v>
      </c>
      <c r="F68" s="82"/>
      <c r="G68" s="28"/>
    </row>
    <row r="69" spans="1:7" ht="18.75" customHeight="1" x14ac:dyDescent="0.25">
      <c r="A69" s="87">
        <v>440</v>
      </c>
      <c r="B69" s="82">
        <v>1.1720999999999999</v>
      </c>
      <c r="C69" s="83">
        <v>3031.3</v>
      </c>
      <c r="D69" s="83">
        <v>3359.5</v>
      </c>
      <c r="E69" s="82">
        <v>8.1876999999999995</v>
      </c>
      <c r="F69" s="82"/>
      <c r="G69" s="28"/>
    </row>
    <row r="70" spans="1:7" ht="18.75" customHeight="1" x14ac:dyDescent="0.25">
      <c r="A70" s="87">
        <v>450</v>
      </c>
      <c r="B70" s="82">
        <v>1.1887000000000001</v>
      </c>
      <c r="C70" s="83">
        <v>3047.7</v>
      </c>
      <c r="D70" s="83">
        <v>3380.5</v>
      </c>
      <c r="E70" s="82">
        <v>8.2170000000000005</v>
      </c>
      <c r="F70" s="82"/>
      <c r="G70" s="28"/>
    </row>
    <row r="71" spans="1:7" ht="18.75" customHeight="1" x14ac:dyDescent="0.25">
      <c r="A71" s="87">
        <v>460</v>
      </c>
      <c r="B71" s="82">
        <v>1.2053</v>
      </c>
      <c r="C71" s="83">
        <v>3064.2</v>
      </c>
      <c r="D71" s="83">
        <v>3401.7</v>
      </c>
      <c r="E71" s="82">
        <v>8.2460000000000004</v>
      </c>
      <c r="F71" s="82"/>
      <c r="G71" s="28"/>
    </row>
    <row r="72" spans="1:7" ht="18.75" customHeight="1" x14ac:dyDescent="0.25">
      <c r="A72" s="87">
        <v>470</v>
      </c>
      <c r="B72" s="82">
        <v>1.2219</v>
      </c>
      <c r="C72" s="83">
        <v>3080.8</v>
      </c>
      <c r="D72" s="83">
        <v>3422.9</v>
      </c>
      <c r="E72" s="82">
        <v>8.2748000000000008</v>
      </c>
      <c r="F72" s="82"/>
      <c r="G72" s="28"/>
    </row>
    <row r="73" spans="1:7" ht="18.75" customHeight="1" x14ac:dyDescent="0.25">
      <c r="A73" s="87">
        <v>480</v>
      </c>
      <c r="B73" s="82">
        <v>1.2384999999999999</v>
      </c>
      <c r="C73" s="83">
        <v>3097.3</v>
      </c>
      <c r="D73" s="83">
        <v>3444.1</v>
      </c>
      <c r="E73" s="82">
        <v>8.3032000000000004</v>
      </c>
      <c r="F73" s="82"/>
      <c r="G73" s="28"/>
    </row>
    <row r="74" spans="1:7" ht="18.75" customHeight="1" x14ac:dyDescent="0.25">
      <c r="A74" s="87">
        <v>490</v>
      </c>
      <c r="B74" s="82">
        <v>1.2551000000000001</v>
      </c>
      <c r="C74" s="83">
        <v>3114</v>
      </c>
      <c r="D74" s="83">
        <v>3465.4</v>
      </c>
      <c r="E74" s="82">
        <v>8.3313000000000006</v>
      </c>
      <c r="F74" s="82"/>
      <c r="G74" s="28"/>
    </row>
    <row r="75" spans="1:7" ht="18.75" customHeight="1" x14ac:dyDescent="0.25">
      <c r="A75" s="87">
        <v>500</v>
      </c>
      <c r="B75" s="82">
        <v>1.2717000000000001</v>
      </c>
      <c r="C75" s="83">
        <v>3130.7</v>
      </c>
      <c r="D75" s="83">
        <v>3486.8</v>
      </c>
      <c r="E75" s="82">
        <v>8.3590999999999998</v>
      </c>
      <c r="F75" s="82"/>
      <c r="G75" s="28"/>
    </row>
    <row r="76" spans="1:7" ht="18.75" customHeight="1" x14ac:dyDescent="0.25">
      <c r="A76" s="87">
        <v>520</v>
      </c>
      <c r="B76" s="82">
        <v>1.3048</v>
      </c>
      <c r="C76" s="83">
        <v>3164.5</v>
      </c>
      <c r="D76" s="83">
        <v>3529.8</v>
      </c>
      <c r="E76" s="82">
        <v>8.4139999999999997</v>
      </c>
      <c r="F76" s="82"/>
      <c r="G76" s="28"/>
    </row>
    <row r="77" spans="1:7" ht="18.75" customHeight="1" x14ac:dyDescent="0.25">
      <c r="A77" s="87">
        <v>540</v>
      </c>
      <c r="B77" s="82">
        <v>1.3380000000000001</v>
      </c>
      <c r="C77" s="83">
        <v>3198.4</v>
      </c>
      <c r="D77" s="83">
        <v>3573</v>
      </c>
      <c r="E77" s="82">
        <v>8.4677000000000007</v>
      </c>
      <c r="F77" s="82"/>
      <c r="G77" s="28"/>
    </row>
    <row r="78" spans="1:7" ht="18.75" customHeight="1" x14ac:dyDescent="0.25">
      <c r="A78" s="87">
        <v>560</v>
      </c>
      <c r="B78" s="82">
        <v>1.3711</v>
      </c>
      <c r="C78" s="83">
        <v>3232.5</v>
      </c>
      <c r="D78" s="83">
        <v>3616.4</v>
      </c>
      <c r="E78" s="82">
        <v>8.5206</v>
      </c>
      <c r="F78" s="82"/>
      <c r="G78" s="28"/>
    </row>
    <row r="79" spans="1:7" ht="18.75" customHeight="1" x14ac:dyDescent="0.25">
      <c r="A79" s="87">
        <v>580</v>
      </c>
      <c r="B79" s="82">
        <v>1.4041999999999999</v>
      </c>
      <c r="C79" s="83">
        <v>3267</v>
      </c>
      <c r="D79" s="83">
        <v>3660.2</v>
      </c>
      <c r="E79" s="82">
        <v>8.5724</v>
      </c>
      <c r="F79" s="82"/>
      <c r="G79" s="28"/>
    </row>
    <row r="80" spans="1:7" ht="18.75" customHeight="1" x14ac:dyDescent="0.25">
      <c r="A80" s="87">
        <v>600</v>
      </c>
      <c r="B80" s="82">
        <v>1.4373</v>
      </c>
      <c r="C80" s="83">
        <v>3301.8</v>
      </c>
      <c r="D80" s="83">
        <v>3704.2</v>
      </c>
      <c r="E80" s="82">
        <v>8.6234000000000002</v>
      </c>
      <c r="F80" s="82"/>
      <c r="G80" s="28"/>
    </row>
    <row r="81" spans="1:7" ht="18.75" customHeight="1" x14ac:dyDescent="0.25">
      <c r="A81" s="87">
        <v>620</v>
      </c>
      <c r="B81" s="82">
        <v>1.4703999999999999</v>
      </c>
      <c r="C81" s="83">
        <v>3336.8</v>
      </c>
      <c r="D81" s="83">
        <v>3748.5</v>
      </c>
      <c r="E81" s="82">
        <v>8.6736000000000004</v>
      </c>
      <c r="F81" s="82"/>
      <c r="G81" s="28"/>
    </row>
    <row r="82" spans="1:7" ht="18.75" customHeight="1" x14ac:dyDescent="0.25">
      <c r="A82" s="87">
        <v>640</v>
      </c>
      <c r="B82" s="82">
        <v>1.5035000000000001</v>
      </c>
      <c r="C82" s="83">
        <v>3372</v>
      </c>
      <c r="D82" s="83">
        <v>3793</v>
      </c>
      <c r="E82" s="82">
        <v>8.7228999999999992</v>
      </c>
      <c r="F82" s="82"/>
      <c r="G82" s="28"/>
    </row>
    <row r="83" spans="1:7" ht="18.75" customHeight="1" x14ac:dyDescent="0.25">
      <c r="A83" s="87">
        <v>660</v>
      </c>
      <c r="B83" s="82">
        <v>1.5366</v>
      </c>
      <c r="C83" s="83">
        <v>3407.6</v>
      </c>
      <c r="D83" s="83">
        <v>3837.8</v>
      </c>
      <c r="E83" s="82">
        <v>8.7713999999999999</v>
      </c>
      <c r="F83" s="82"/>
      <c r="G83" s="28"/>
    </row>
    <row r="84" spans="1:7" ht="18.75" customHeight="1" x14ac:dyDescent="0.25">
      <c r="A84" s="87">
        <v>680</v>
      </c>
      <c r="B84" s="82">
        <v>1.5697000000000001</v>
      </c>
      <c r="C84" s="83">
        <v>3443.4</v>
      </c>
      <c r="D84" s="83">
        <v>3882.9</v>
      </c>
      <c r="E84" s="82">
        <v>8.8193000000000001</v>
      </c>
      <c r="F84" s="82"/>
      <c r="G84" s="28"/>
    </row>
    <row r="85" spans="1:7" ht="18.75" customHeight="1" x14ac:dyDescent="0.25">
      <c r="A85" s="87">
        <v>700</v>
      </c>
      <c r="B85" s="82">
        <v>1.6027</v>
      </c>
      <c r="C85" s="83">
        <v>3479.5</v>
      </c>
      <c r="D85" s="83">
        <v>3928.3</v>
      </c>
      <c r="E85" s="82">
        <v>8.8664000000000005</v>
      </c>
      <c r="F85" s="82"/>
      <c r="G85" s="28"/>
    </row>
    <row r="86" spans="1:7" ht="18.75" customHeight="1" x14ac:dyDescent="0.25">
      <c r="A86" s="87">
        <v>720</v>
      </c>
      <c r="B86" s="82">
        <v>1.6357999999999999</v>
      </c>
      <c r="C86" s="83">
        <v>3516</v>
      </c>
      <c r="D86" s="83">
        <v>3974</v>
      </c>
      <c r="E86" s="82">
        <v>8.9128000000000007</v>
      </c>
      <c r="F86" s="82"/>
      <c r="G86" s="28"/>
    </row>
    <row r="87" spans="1:7" ht="18.75" customHeight="1" x14ac:dyDescent="0.25">
      <c r="A87" s="87">
        <v>740</v>
      </c>
      <c r="B87" s="82">
        <v>1.6688000000000001</v>
      </c>
      <c r="C87" s="83">
        <v>3552.6</v>
      </c>
      <c r="D87" s="83">
        <v>4019.9</v>
      </c>
      <c r="E87" s="82">
        <v>8.9586000000000006</v>
      </c>
      <c r="F87" s="82"/>
      <c r="G87" s="28"/>
    </row>
    <row r="88" spans="1:7" ht="18.75" customHeight="1" x14ac:dyDescent="0.25">
      <c r="A88" s="87">
        <v>760</v>
      </c>
      <c r="B88" s="82">
        <v>1.7019</v>
      </c>
      <c r="C88" s="83">
        <v>3589.6</v>
      </c>
      <c r="D88" s="83">
        <v>4066.1</v>
      </c>
      <c r="E88" s="82">
        <v>9.0038</v>
      </c>
      <c r="F88" s="82"/>
      <c r="G88" s="28"/>
    </row>
    <row r="89" spans="1:7" ht="18.75" customHeight="1" x14ac:dyDescent="0.25">
      <c r="A89" s="87">
        <v>780</v>
      </c>
      <c r="B89" s="82">
        <v>1.7349000000000001</v>
      </c>
      <c r="C89" s="83">
        <v>3626.8</v>
      </c>
      <c r="D89" s="83">
        <v>4112.6000000000004</v>
      </c>
      <c r="E89" s="82">
        <v>9.0484000000000009</v>
      </c>
      <c r="F89" s="82"/>
      <c r="G89" s="28"/>
    </row>
    <row r="90" spans="1:7" ht="18.75" customHeight="1" x14ac:dyDescent="0.25">
      <c r="A90" s="87">
        <v>800</v>
      </c>
      <c r="B90" s="82">
        <v>1.768</v>
      </c>
      <c r="C90" s="83">
        <v>3664.4</v>
      </c>
      <c r="D90" s="83">
        <v>4159.3999999999996</v>
      </c>
      <c r="E90" s="82">
        <v>9.0922999999999998</v>
      </c>
      <c r="F90" s="82"/>
      <c r="G90" s="28"/>
    </row>
    <row r="91" spans="1:7" ht="18.75" customHeight="1" x14ac:dyDescent="0.25">
      <c r="A91" s="87">
        <v>820</v>
      </c>
      <c r="B91" s="82">
        <v>1.8009999999999999</v>
      </c>
      <c r="C91" s="83">
        <v>3702.1</v>
      </c>
      <c r="D91" s="83">
        <v>4206.3999999999996</v>
      </c>
      <c r="E91" s="82">
        <v>9.1357999999999997</v>
      </c>
      <c r="F91" s="82"/>
      <c r="G91" s="28"/>
    </row>
    <row r="92" spans="1:7" ht="18.75" customHeight="1" x14ac:dyDescent="0.25">
      <c r="A92" s="87">
        <v>840</v>
      </c>
      <c r="B92" s="82">
        <v>1.8340000000000001</v>
      </c>
      <c r="C92" s="83">
        <v>3740.3</v>
      </c>
      <c r="D92" s="83">
        <v>4253.8</v>
      </c>
      <c r="E92" s="82">
        <v>9.1786999999999992</v>
      </c>
      <c r="F92" s="82"/>
      <c r="G92" s="28"/>
    </row>
    <row r="93" spans="1:7" ht="18.75" customHeight="1" x14ac:dyDescent="0.25">
      <c r="A93" s="87">
        <v>860</v>
      </c>
      <c r="B93" s="82">
        <v>1.867</v>
      </c>
      <c r="C93" s="83">
        <v>3778.5</v>
      </c>
      <c r="D93" s="83">
        <v>4301.3</v>
      </c>
      <c r="E93" s="82">
        <v>9.2210999999999999</v>
      </c>
      <c r="F93" s="82"/>
      <c r="G93" s="28"/>
    </row>
    <row r="94" spans="1:7" ht="18.75" customHeight="1" x14ac:dyDescent="0.25">
      <c r="A94" s="87">
        <v>880</v>
      </c>
      <c r="B94" s="82">
        <v>1.9000999999999999</v>
      </c>
      <c r="C94" s="83">
        <v>3817.2</v>
      </c>
      <c r="D94" s="83">
        <v>4349.2</v>
      </c>
      <c r="E94" s="82">
        <v>9.2629000000000001</v>
      </c>
      <c r="F94" s="82"/>
      <c r="G94" s="28"/>
    </row>
    <row r="95" spans="1:7" ht="18.75" customHeight="1" x14ac:dyDescent="0.25">
      <c r="A95" s="87">
        <v>900</v>
      </c>
      <c r="B95" s="82">
        <v>1.9331</v>
      </c>
      <c r="C95" s="83">
        <v>3856.1</v>
      </c>
      <c r="D95" s="83">
        <v>4397.3999999999996</v>
      </c>
      <c r="E95" s="82">
        <v>9.3042999999999996</v>
      </c>
      <c r="F95" s="82"/>
      <c r="G95" s="28"/>
    </row>
    <row r="96" spans="1:7" ht="18.75" customHeight="1" x14ac:dyDescent="0.25">
      <c r="A96" s="87">
        <v>920</v>
      </c>
      <c r="B96" s="82">
        <v>1.9661</v>
      </c>
      <c r="C96" s="83">
        <v>3895.3</v>
      </c>
      <c r="D96" s="83">
        <v>4445.8</v>
      </c>
      <c r="E96" s="82">
        <v>9.3452000000000002</v>
      </c>
      <c r="F96" s="82"/>
      <c r="G96" s="28"/>
    </row>
    <row r="97" spans="1:7" ht="18.75" customHeight="1" x14ac:dyDescent="0.25">
      <c r="A97" s="87">
        <v>940</v>
      </c>
      <c r="B97" s="82">
        <v>1.9991000000000001</v>
      </c>
      <c r="C97" s="83">
        <v>3934.7</v>
      </c>
      <c r="D97" s="83">
        <v>4494.3999999999996</v>
      </c>
      <c r="E97" s="82">
        <v>9.3856999999999999</v>
      </c>
      <c r="F97" s="82"/>
      <c r="G97" s="28"/>
    </row>
    <row r="98" spans="1:7" ht="18.75" customHeight="1" x14ac:dyDescent="0.25">
      <c r="A98" s="87">
        <v>960</v>
      </c>
      <c r="B98" s="82">
        <v>2.0320999999999998</v>
      </c>
      <c r="C98" s="83">
        <v>3974.4</v>
      </c>
      <c r="D98" s="83">
        <v>4543.3999999999996</v>
      </c>
      <c r="E98" s="82">
        <v>9.4257000000000009</v>
      </c>
      <c r="F98" s="82"/>
      <c r="G98" s="28"/>
    </row>
    <row r="99" spans="1:7" ht="18.75" customHeight="1" x14ac:dyDescent="0.25">
      <c r="A99" s="87">
        <v>980</v>
      </c>
      <c r="B99" s="82">
        <v>2.0651000000000002</v>
      </c>
      <c r="C99" s="83">
        <v>4014.4</v>
      </c>
      <c r="D99" s="83">
        <v>4592.6000000000004</v>
      </c>
      <c r="E99" s="82">
        <v>9.4652999999999992</v>
      </c>
      <c r="F99" s="82"/>
      <c r="G99" s="28"/>
    </row>
    <row r="100" spans="1:7" ht="13.8" x14ac:dyDescent="0.25">
      <c r="A100" s="87">
        <v>1000</v>
      </c>
      <c r="B100" s="82">
        <v>2.0981000000000001</v>
      </c>
      <c r="C100" s="83">
        <v>4054.5</v>
      </c>
      <c r="D100" s="83">
        <v>4642</v>
      </c>
      <c r="E100" s="82">
        <v>9.5044000000000004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H100"/>
  <sheetViews>
    <sheetView topLeftCell="A21" workbookViewId="0">
      <selection activeCell="A32" sqref="A32:XFD32"/>
    </sheetView>
  </sheetViews>
  <sheetFormatPr defaultRowHeight="13.2" x14ac:dyDescent="0.25"/>
  <cols>
    <col min="1" max="1" width="6.21875" customWidth="1"/>
    <col min="2" max="2" width="12.441406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54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300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1.0000600000000001E-3</v>
      </c>
      <c r="C5" s="80">
        <v>-0.04</v>
      </c>
      <c r="D5" s="80">
        <v>0.26</v>
      </c>
      <c r="E5" s="81">
        <v>-1.2999999999999999E-4</v>
      </c>
      <c r="F5" s="81"/>
      <c r="G5" s="28"/>
      <c r="H5" s="28"/>
    </row>
    <row r="6" spans="1:8" ht="18.75" customHeight="1" x14ac:dyDescent="0.25">
      <c r="A6" s="87">
        <v>5</v>
      </c>
      <c r="B6" s="79">
        <v>9.9993999999999994E-4</v>
      </c>
      <c r="C6" s="80">
        <v>21.02</v>
      </c>
      <c r="D6" s="80">
        <v>21.32</v>
      </c>
      <c r="E6" s="81">
        <v>7.6249999999999998E-2</v>
      </c>
      <c r="F6" s="81"/>
      <c r="G6" s="28"/>
      <c r="H6" s="28"/>
    </row>
    <row r="7" spans="1:8" ht="18.75" customHeight="1" x14ac:dyDescent="0.25">
      <c r="A7" s="87">
        <v>10</v>
      </c>
      <c r="B7" s="79">
        <v>1.0001999999999999E-3</v>
      </c>
      <c r="C7" s="80">
        <v>42.01</v>
      </c>
      <c r="D7" s="80">
        <v>42.31</v>
      </c>
      <c r="E7" s="81">
        <v>0.15106</v>
      </c>
      <c r="F7" s="81"/>
      <c r="G7" s="28"/>
      <c r="H7" s="28"/>
    </row>
    <row r="8" spans="1:8" ht="18.75" customHeight="1" x14ac:dyDescent="0.25">
      <c r="A8" s="87">
        <v>15</v>
      </c>
      <c r="B8" s="79">
        <v>1.00081E-3</v>
      </c>
      <c r="C8" s="80">
        <v>62.97</v>
      </c>
      <c r="D8" s="80">
        <v>63.27</v>
      </c>
      <c r="E8" s="81">
        <v>0.22442000000000001</v>
      </c>
      <c r="F8" s="81"/>
      <c r="G8" s="28"/>
      <c r="H8" s="28"/>
    </row>
    <row r="9" spans="1:8" ht="18.75" customHeight="1" x14ac:dyDescent="0.25">
      <c r="A9" s="87">
        <v>20</v>
      </c>
      <c r="B9" s="79">
        <v>1.0016999999999999E-3</v>
      </c>
      <c r="C9" s="80">
        <v>83.89</v>
      </c>
      <c r="D9" s="80">
        <v>84.19</v>
      </c>
      <c r="E9" s="81">
        <v>0.29642000000000002</v>
      </c>
      <c r="F9" s="81"/>
      <c r="G9" s="28"/>
      <c r="H9" s="28"/>
    </row>
    <row r="10" spans="1:8" ht="18.75" customHeight="1" x14ac:dyDescent="0.25">
      <c r="A10" s="87">
        <v>25</v>
      </c>
      <c r="B10" s="79">
        <v>1.0028700000000001E-3</v>
      </c>
      <c r="C10" s="80">
        <v>104.8</v>
      </c>
      <c r="D10" s="80">
        <v>105.1</v>
      </c>
      <c r="E10" s="81">
        <v>0.36714999999999998</v>
      </c>
      <c r="F10" s="81"/>
      <c r="G10" s="28"/>
      <c r="H10" s="28"/>
    </row>
    <row r="11" spans="1:8" ht="18.75" customHeight="1" x14ac:dyDescent="0.25">
      <c r="A11" s="87">
        <v>30</v>
      </c>
      <c r="B11" s="79">
        <v>1.00428E-3</v>
      </c>
      <c r="C11" s="80">
        <v>125.7</v>
      </c>
      <c r="D11" s="80">
        <v>126</v>
      </c>
      <c r="E11" s="81">
        <v>0.43665999999999999</v>
      </c>
      <c r="F11" s="81"/>
      <c r="G11" s="28"/>
      <c r="H11" s="28"/>
    </row>
    <row r="12" spans="1:8" ht="18.75" customHeight="1" x14ac:dyDescent="0.25">
      <c r="A12" s="87">
        <v>35</v>
      </c>
      <c r="B12" s="79">
        <v>1.0059100000000001E-3</v>
      </c>
      <c r="C12" s="80">
        <v>146.6</v>
      </c>
      <c r="D12" s="80">
        <v>146.9</v>
      </c>
      <c r="E12" s="81">
        <v>0.50502999999999998</v>
      </c>
      <c r="F12" s="81"/>
      <c r="G12" s="28"/>
      <c r="H12" s="28"/>
    </row>
    <row r="13" spans="1:8" ht="18.75" customHeight="1" x14ac:dyDescent="0.25">
      <c r="A13" s="87">
        <v>40</v>
      </c>
      <c r="B13" s="79">
        <v>1.0077599999999999E-3</v>
      </c>
      <c r="C13" s="80">
        <v>167.49</v>
      </c>
      <c r="D13" s="80">
        <v>167.79</v>
      </c>
      <c r="E13" s="81">
        <v>0.57228999999999997</v>
      </c>
      <c r="F13" s="81"/>
      <c r="G13" s="28"/>
      <c r="H13" s="28"/>
    </row>
    <row r="14" spans="1:8" ht="18.75" customHeight="1" x14ac:dyDescent="0.25">
      <c r="A14" s="87">
        <v>45</v>
      </c>
      <c r="B14" s="79">
        <v>1.0097999999999999E-3</v>
      </c>
      <c r="C14" s="80">
        <v>188.39</v>
      </c>
      <c r="D14" s="80">
        <v>188.69</v>
      </c>
      <c r="E14" s="81">
        <v>0.63849</v>
      </c>
      <c r="F14" s="81"/>
      <c r="G14" s="28"/>
      <c r="H14" s="28"/>
    </row>
    <row r="15" spans="1:8" ht="18.75" customHeight="1" x14ac:dyDescent="0.25">
      <c r="A15" s="87">
        <v>50</v>
      </c>
      <c r="B15" s="79">
        <v>1.01202E-3</v>
      </c>
      <c r="C15" s="80">
        <v>209.29</v>
      </c>
      <c r="D15" s="80">
        <v>209.59</v>
      </c>
      <c r="E15" s="81">
        <v>0.70367999999999997</v>
      </c>
      <c r="F15" s="81"/>
      <c r="G15" s="28"/>
      <c r="H15" s="28"/>
    </row>
    <row r="16" spans="1:8" ht="18.75" customHeight="1" x14ac:dyDescent="0.25">
      <c r="A16" s="87">
        <v>55</v>
      </c>
      <c r="B16" s="79">
        <v>1.01443E-3</v>
      </c>
      <c r="C16" s="80">
        <v>230.2</v>
      </c>
      <c r="D16" s="80">
        <v>230.5</v>
      </c>
      <c r="E16" s="81">
        <v>0.76788000000000001</v>
      </c>
      <c r="F16" s="81"/>
      <c r="G16" s="28"/>
      <c r="H16" s="28"/>
    </row>
    <row r="17" spans="1:8" ht="18.75" customHeight="1" x14ac:dyDescent="0.25">
      <c r="A17" s="87">
        <v>60</v>
      </c>
      <c r="B17" s="79">
        <v>1.0169999999999999E-3</v>
      </c>
      <c r="C17" s="80">
        <v>251.11</v>
      </c>
      <c r="D17" s="80">
        <v>251.42</v>
      </c>
      <c r="E17" s="81">
        <v>0.83113999999999999</v>
      </c>
      <c r="F17" s="81"/>
      <c r="G17" s="28"/>
      <c r="H17" s="28"/>
    </row>
    <row r="18" spans="1:8" ht="18.75" customHeight="1" x14ac:dyDescent="0.25">
      <c r="A18" s="87">
        <v>65</v>
      </c>
      <c r="B18" s="79">
        <v>1.0197400000000001E-3</v>
      </c>
      <c r="C18" s="80">
        <v>272.02999999999997</v>
      </c>
      <c r="D18" s="80">
        <v>272.33999999999997</v>
      </c>
      <c r="E18" s="81">
        <v>0.89349999999999996</v>
      </c>
      <c r="F18" s="81"/>
      <c r="G18" s="28"/>
      <c r="H18" s="28"/>
    </row>
    <row r="19" spans="1:8" ht="18.75" customHeight="1" x14ac:dyDescent="0.25">
      <c r="A19" s="87">
        <v>70</v>
      </c>
      <c r="B19" s="79">
        <v>1.0226499999999999E-3</v>
      </c>
      <c r="C19" s="80">
        <v>292.98</v>
      </c>
      <c r="D19" s="80">
        <v>293.29000000000002</v>
      </c>
      <c r="E19" s="81">
        <v>0.95496999999999999</v>
      </c>
      <c r="F19" s="81"/>
      <c r="G19" s="28"/>
      <c r="H19" s="28"/>
    </row>
    <row r="20" spans="1:8" ht="18.75" customHeight="1" x14ac:dyDescent="0.25">
      <c r="A20" s="87">
        <v>75</v>
      </c>
      <c r="B20" s="79">
        <v>1.02571E-3</v>
      </c>
      <c r="C20" s="80">
        <v>313.93</v>
      </c>
      <c r="D20" s="80">
        <v>314.24</v>
      </c>
      <c r="E20" s="82">
        <v>1.0156000000000001</v>
      </c>
      <c r="F20" s="82"/>
      <c r="G20" s="28"/>
      <c r="H20" s="28"/>
    </row>
    <row r="21" spans="1:8" ht="18.75" customHeight="1" x14ac:dyDescent="0.25">
      <c r="A21" s="87">
        <v>80</v>
      </c>
      <c r="B21" s="79">
        <v>1.0289299999999999E-3</v>
      </c>
      <c r="C21" s="80">
        <v>334.9</v>
      </c>
      <c r="D21" s="80">
        <v>335.21</v>
      </c>
      <c r="E21" s="82">
        <v>1.0753999999999999</v>
      </c>
      <c r="F21" s="82"/>
      <c r="G21" s="28"/>
      <c r="H21" s="28"/>
    </row>
    <row r="22" spans="1:8" ht="18.75" customHeight="1" x14ac:dyDescent="0.25">
      <c r="A22" s="87">
        <v>85</v>
      </c>
      <c r="B22" s="79">
        <v>1.03231E-3</v>
      </c>
      <c r="C22" s="80">
        <v>355.89</v>
      </c>
      <c r="D22" s="80">
        <v>356.2</v>
      </c>
      <c r="E22" s="82">
        <v>1.1344000000000001</v>
      </c>
      <c r="F22" s="82"/>
      <c r="G22" s="28"/>
      <c r="H22" s="28"/>
    </row>
    <row r="23" spans="1:8" ht="18.75" customHeight="1" x14ac:dyDescent="0.25">
      <c r="A23" s="87">
        <v>90</v>
      </c>
      <c r="B23" s="79">
        <v>1.0358399999999999E-3</v>
      </c>
      <c r="C23" s="80">
        <v>376.91</v>
      </c>
      <c r="D23" s="80">
        <v>377.22</v>
      </c>
      <c r="E23" s="82">
        <v>1.1927000000000001</v>
      </c>
      <c r="F23" s="82"/>
      <c r="G23" s="28"/>
      <c r="H23" s="28"/>
    </row>
    <row r="24" spans="1:8" ht="18.75" customHeight="1" x14ac:dyDescent="0.25">
      <c r="A24" s="87">
        <v>95</v>
      </c>
      <c r="B24" s="79">
        <v>1.0395199999999999E-3</v>
      </c>
      <c r="C24" s="80">
        <v>397.94</v>
      </c>
      <c r="D24" s="80">
        <v>398.25</v>
      </c>
      <c r="E24" s="82">
        <v>1.2502</v>
      </c>
      <c r="F24" s="82"/>
      <c r="G24" s="28"/>
      <c r="H24" s="28"/>
    </row>
    <row r="25" spans="1:8" ht="18.75" customHeight="1" x14ac:dyDescent="0.25">
      <c r="A25" s="87">
        <v>100</v>
      </c>
      <c r="B25" s="79">
        <v>1.0433599999999999E-3</v>
      </c>
      <c r="C25" s="80">
        <v>419.01</v>
      </c>
      <c r="D25" s="80">
        <v>419.32</v>
      </c>
      <c r="E25" s="82">
        <v>1.3070999999999999</v>
      </c>
      <c r="F25" s="82"/>
      <c r="G25" s="28"/>
      <c r="H25" s="28"/>
    </row>
    <row r="26" spans="1:8" ht="18.75" customHeight="1" x14ac:dyDescent="0.25">
      <c r="A26" s="87">
        <v>105</v>
      </c>
      <c r="B26" s="79">
        <v>1.0473500000000001E-3</v>
      </c>
      <c r="C26" s="80">
        <v>440.1</v>
      </c>
      <c r="D26" s="80">
        <v>440.41</v>
      </c>
      <c r="E26" s="82">
        <v>1.3632</v>
      </c>
      <c r="F26" s="82"/>
      <c r="G26" s="28"/>
      <c r="H26" s="28"/>
    </row>
    <row r="27" spans="1:8" ht="18.75" customHeight="1" x14ac:dyDescent="0.25">
      <c r="A27" s="87">
        <v>110</v>
      </c>
      <c r="B27" s="79">
        <v>1.0514999999999999E-3</v>
      </c>
      <c r="C27" s="80">
        <v>461.21</v>
      </c>
      <c r="D27" s="80">
        <v>461.53</v>
      </c>
      <c r="E27" s="82">
        <v>1.4187000000000001</v>
      </c>
      <c r="F27" s="82"/>
      <c r="G27" s="28"/>
      <c r="H27" s="28"/>
    </row>
    <row r="28" spans="1:8" ht="18.75" customHeight="1" x14ac:dyDescent="0.25">
      <c r="A28" s="87">
        <v>115</v>
      </c>
      <c r="B28" s="79">
        <v>1.0558E-3</v>
      </c>
      <c r="C28" s="80">
        <v>482.37</v>
      </c>
      <c r="D28" s="80">
        <v>482.69</v>
      </c>
      <c r="E28" s="82">
        <v>1.4736</v>
      </c>
      <c r="F28" s="82"/>
      <c r="G28" s="28"/>
      <c r="H28" s="28"/>
    </row>
    <row r="29" spans="1:8" ht="18.75" customHeight="1" x14ac:dyDescent="0.25">
      <c r="A29" s="87">
        <v>120</v>
      </c>
      <c r="B29" s="79">
        <v>1.0602700000000001E-3</v>
      </c>
      <c r="C29" s="80">
        <v>503.56</v>
      </c>
      <c r="D29" s="80">
        <v>503.88</v>
      </c>
      <c r="E29" s="82">
        <v>1.5278</v>
      </c>
      <c r="F29" s="82"/>
      <c r="G29" s="28"/>
      <c r="H29" s="28"/>
    </row>
    <row r="30" spans="1:8" ht="18.75" customHeight="1" x14ac:dyDescent="0.25">
      <c r="A30" s="87">
        <v>125</v>
      </c>
      <c r="B30" s="79">
        <v>1.0648999999999999E-3</v>
      </c>
      <c r="C30" s="80">
        <v>524.79999999999995</v>
      </c>
      <c r="D30" s="80">
        <v>525.12</v>
      </c>
      <c r="E30" s="82">
        <v>1.5814999999999999</v>
      </c>
      <c r="F30" s="82"/>
      <c r="G30" s="28"/>
      <c r="H30" s="28"/>
    </row>
    <row r="31" spans="1:8" ht="18.75" customHeight="1" x14ac:dyDescent="0.25">
      <c r="A31" s="87">
        <v>130</v>
      </c>
      <c r="B31" s="79">
        <v>1.0696900000000001E-3</v>
      </c>
      <c r="C31" s="80">
        <v>546.08000000000004</v>
      </c>
      <c r="D31" s="80">
        <v>546.4</v>
      </c>
      <c r="E31" s="82">
        <v>1.6346000000000001</v>
      </c>
      <c r="F31" s="82"/>
      <c r="G31" s="28"/>
      <c r="H31" s="28"/>
    </row>
    <row r="32" spans="1:8" ht="18.75" customHeight="1" x14ac:dyDescent="0.25">
      <c r="A32" s="87">
        <v>135</v>
      </c>
      <c r="B32" s="81">
        <v>0.60833000000000004</v>
      </c>
      <c r="C32" s="83">
        <v>2545.6999999999998</v>
      </c>
      <c r="D32" s="83">
        <v>2728.2</v>
      </c>
      <c r="E32" s="82">
        <v>6.9997999999999996</v>
      </c>
      <c r="F32" s="82"/>
      <c r="G32" s="28"/>
      <c r="H32" s="28"/>
    </row>
    <row r="33" spans="1:8" ht="18.75" customHeight="1" x14ac:dyDescent="0.25">
      <c r="A33" s="87">
        <v>140</v>
      </c>
      <c r="B33" s="81">
        <v>0.61697000000000002</v>
      </c>
      <c r="C33" s="83">
        <v>2554.3000000000002</v>
      </c>
      <c r="D33" s="83">
        <v>2739.4</v>
      </c>
      <c r="E33" s="82">
        <v>7.0269000000000004</v>
      </c>
      <c r="F33" s="82"/>
      <c r="G33" s="28"/>
      <c r="H33" s="28"/>
    </row>
    <row r="34" spans="1:8" ht="18.75" customHeight="1" x14ac:dyDescent="0.25">
      <c r="A34" s="87">
        <v>145</v>
      </c>
      <c r="B34" s="81">
        <v>0.62553000000000003</v>
      </c>
      <c r="C34" s="83">
        <v>2562.6</v>
      </c>
      <c r="D34" s="83">
        <v>2750.3</v>
      </c>
      <c r="E34" s="82">
        <v>7.0533000000000001</v>
      </c>
      <c r="F34" s="82"/>
      <c r="G34" s="28"/>
      <c r="H34" s="28"/>
    </row>
    <row r="35" spans="1:8" ht="18.75" customHeight="1" x14ac:dyDescent="0.25">
      <c r="A35" s="87">
        <v>150</v>
      </c>
      <c r="B35" s="81">
        <v>0.63400999999999996</v>
      </c>
      <c r="C35" s="83">
        <v>2571</v>
      </c>
      <c r="D35" s="83">
        <v>2761.2</v>
      </c>
      <c r="E35" s="82">
        <v>7.0791000000000004</v>
      </c>
      <c r="F35" s="82"/>
      <c r="G35" s="28"/>
      <c r="H35" s="28"/>
    </row>
    <row r="36" spans="1:8" ht="18.75" customHeight="1" x14ac:dyDescent="0.25">
      <c r="A36" s="87">
        <v>155</v>
      </c>
      <c r="B36" s="81">
        <v>0.64244000000000001</v>
      </c>
      <c r="C36" s="83">
        <v>2579.1999999999998</v>
      </c>
      <c r="D36" s="83">
        <v>2771.9</v>
      </c>
      <c r="E36" s="82">
        <v>7.1044</v>
      </c>
      <c r="F36" s="82"/>
      <c r="G36" s="28"/>
      <c r="H36" s="28"/>
    </row>
    <row r="37" spans="1:8" ht="18.75" customHeight="1" x14ac:dyDescent="0.25">
      <c r="A37" s="87">
        <v>160</v>
      </c>
      <c r="B37" s="81">
        <v>0.65081</v>
      </c>
      <c r="C37" s="83">
        <v>2587.4</v>
      </c>
      <c r="D37" s="83">
        <v>2782.6</v>
      </c>
      <c r="E37" s="82">
        <v>7.1291000000000002</v>
      </c>
      <c r="F37" s="82"/>
      <c r="G37" s="28"/>
      <c r="H37" s="28"/>
    </row>
    <row r="38" spans="1:8" ht="18.75" customHeight="1" x14ac:dyDescent="0.25">
      <c r="A38" s="87">
        <v>165</v>
      </c>
      <c r="B38" s="81">
        <v>0.65912999999999999</v>
      </c>
      <c r="C38" s="83">
        <v>2595.5</v>
      </c>
      <c r="D38" s="83">
        <v>2793.2</v>
      </c>
      <c r="E38" s="82">
        <v>7.1534000000000004</v>
      </c>
      <c r="F38" s="82"/>
      <c r="G38" s="28"/>
      <c r="H38" s="28"/>
    </row>
    <row r="39" spans="1:8" ht="18.75" customHeight="1" x14ac:dyDescent="0.25">
      <c r="A39" s="87">
        <v>170</v>
      </c>
      <c r="B39" s="81">
        <v>0.66742000000000001</v>
      </c>
      <c r="C39" s="83">
        <v>2603.5</v>
      </c>
      <c r="D39" s="83">
        <v>2803.7</v>
      </c>
      <c r="E39" s="82">
        <v>7.1772999999999998</v>
      </c>
      <c r="F39" s="82"/>
      <c r="G39" s="28"/>
      <c r="H39" s="28"/>
    </row>
    <row r="40" spans="1:8" ht="18.75" customHeight="1" x14ac:dyDescent="0.25">
      <c r="A40" s="87">
        <v>175</v>
      </c>
      <c r="B40" s="81">
        <v>0.67566000000000004</v>
      </c>
      <c r="C40" s="83">
        <v>2611.5</v>
      </c>
      <c r="D40" s="83">
        <v>2814.2</v>
      </c>
      <c r="E40" s="82">
        <v>7.2008000000000001</v>
      </c>
      <c r="F40" s="82"/>
      <c r="G40" s="28"/>
      <c r="H40" s="28"/>
    </row>
    <row r="41" spans="1:8" ht="18.75" customHeight="1" x14ac:dyDescent="0.25">
      <c r="A41" s="87">
        <v>180</v>
      </c>
      <c r="B41" s="81">
        <v>0.68386999999999998</v>
      </c>
      <c r="C41" s="83">
        <v>2619.4</v>
      </c>
      <c r="D41" s="83">
        <v>2824.6</v>
      </c>
      <c r="E41" s="82">
        <v>7.2239000000000004</v>
      </c>
      <c r="F41" s="82"/>
      <c r="G41" s="28"/>
      <c r="H41" s="28"/>
    </row>
    <row r="42" spans="1:8" ht="18.75" customHeight="1" x14ac:dyDescent="0.25">
      <c r="A42" s="87">
        <v>185</v>
      </c>
      <c r="B42" s="81">
        <v>0.69205000000000005</v>
      </c>
      <c r="C42" s="83">
        <v>2627.4</v>
      </c>
      <c r="D42" s="83">
        <v>2835</v>
      </c>
      <c r="E42" s="82">
        <v>7.2466999999999997</v>
      </c>
      <c r="F42" s="82"/>
      <c r="G42" s="28"/>
      <c r="H42" s="28"/>
    </row>
    <row r="43" spans="1:8" ht="18.75" customHeight="1" x14ac:dyDescent="0.25">
      <c r="A43" s="87">
        <v>190</v>
      </c>
      <c r="B43" s="81">
        <v>0.70020000000000004</v>
      </c>
      <c r="C43" s="83">
        <v>2635.2</v>
      </c>
      <c r="D43" s="83">
        <v>2845.3</v>
      </c>
      <c r="E43" s="82">
        <v>7.2690999999999999</v>
      </c>
      <c r="F43" s="82"/>
      <c r="G43" s="28"/>
      <c r="H43" s="28"/>
    </row>
    <row r="44" spans="1:8" ht="18.75" customHeight="1" x14ac:dyDescent="0.25">
      <c r="A44" s="87">
        <v>195</v>
      </c>
      <c r="B44" s="81">
        <v>0.70831999999999995</v>
      </c>
      <c r="C44" s="83">
        <v>2643.1</v>
      </c>
      <c r="D44" s="83">
        <v>2855.6</v>
      </c>
      <c r="E44" s="82">
        <v>7.2912999999999997</v>
      </c>
      <c r="F44" s="82"/>
      <c r="G44" s="28"/>
      <c r="H44" s="28"/>
    </row>
    <row r="45" spans="1:8" ht="18.75" customHeight="1" x14ac:dyDescent="0.25">
      <c r="A45" s="87">
        <v>200</v>
      </c>
      <c r="B45" s="81">
        <v>0.71641999999999995</v>
      </c>
      <c r="C45" s="83">
        <v>2651</v>
      </c>
      <c r="D45" s="83">
        <v>2865.9</v>
      </c>
      <c r="E45" s="82">
        <v>7.3131000000000004</v>
      </c>
      <c r="F45" s="82"/>
      <c r="G45" s="28"/>
      <c r="H45" s="28"/>
    </row>
    <row r="46" spans="1:8" ht="18.75" customHeight="1" x14ac:dyDescent="0.25">
      <c r="A46" s="87">
        <v>210</v>
      </c>
      <c r="B46" s="81">
        <v>0.73255999999999999</v>
      </c>
      <c r="C46" s="83">
        <v>2666.6</v>
      </c>
      <c r="D46" s="83">
        <v>2886.4</v>
      </c>
      <c r="E46" s="82">
        <v>7.3559999999999999</v>
      </c>
      <c r="F46" s="82"/>
      <c r="G46" s="28"/>
      <c r="H46" s="28"/>
    </row>
    <row r="47" spans="1:8" ht="18.75" customHeight="1" x14ac:dyDescent="0.25">
      <c r="A47" s="87">
        <v>220</v>
      </c>
      <c r="B47" s="81">
        <v>0.74861999999999995</v>
      </c>
      <c r="C47" s="83">
        <v>2682.2</v>
      </c>
      <c r="D47" s="83">
        <v>2906.8</v>
      </c>
      <c r="E47" s="82">
        <v>7.3978000000000002</v>
      </c>
      <c r="F47" s="82"/>
      <c r="G47" s="28"/>
      <c r="H47" s="28"/>
    </row>
    <row r="48" spans="1:8" ht="18.75" customHeight="1" x14ac:dyDescent="0.25">
      <c r="A48" s="87">
        <v>230</v>
      </c>
      <c r="B48" s="81">
        <v>0.76461000000000001</v>
      </c>
      <c r="C48" s="83">
        <v>2697.8</v>
      </c>
      <c r="D48" s="83">
        <v>2927.2</v>
      </c>
      <c r="E48" s="82">
        <v>7.4386999999999999</v>
      </c>
      <c r="F48" s="82"/>
      <c r="G48" s="28"/>
      <c r="H48" s="28"/>
    </row>
    <row r="49" spans="1:8" ht="18.75" customHeight="1" x14ac:dyDescent="0.25">
      <c r="A49" s="87">
        <v>240</v>
      </c>
      <c r="B49" s="81">
        <v>0.78054999999999997</v>
      </c>
      <c r="C49" s="83">
        <v>2713.3</v>
      </c>
      <c r="D49" s="83">
        <v>2947.5</v>
      </c>
      <c r="E49" s="82">
        <v>7.4787999999999997</v>
      </c>
      <c r="F49" s="82"/>
      <c r="G49" s="28"/>
      <c r="H49" s="28"/>
    </row>
    <row r="50" spans="1:8" ht="18.75" customHeight="1" x14ac:dyDescent="0.25">
      <c r="A50" s="87">
        <v>250</v>
      </c>
      <c r="B50" s="81">
        <v>0.79644000000000004</v>
      </c>
      <c r="C50" s="83">
        <v>2729</v>
      </c>
      <c r="D50" s="83">
        <v>2967.9</v>
      </c>
      <c r="E50" s="82">
        <v>7.5179999999999998</v>
      </c>
      <c r="F50" s="82"/>
      <c r="G50" s="28"/>
      <c r="H50" s="28"/>
    </row>
    <row r="51" spans="1:8" ht="18.75" customHeight="1" x14ac:dyDescent="0.25">
      <c r="A51" s="87">
        <v>260</v>
      </c>
      <c r="B51" s="81">
        <v>0.81228999999999996</v>
      </c>
      <c r="C51" s="83">
        <v>2744.5</v>
      </c>
      <c r="D51" s="83">
        <v>2988.2</v>
      </c>
      <c r="E51" s="82">
        <v>7.5564999999999998</v>
      </c>
      <c r="F51" s="82"/>
      <c r="G51" s="28"/>
      <c r="H51" s="28"/>
    </row>
    <row r="52" spans="1:8" ht="18.75" customHeight="1" x14ac:dyDescent="0.25">
      <c r="A52" s="87">
        <v>270</v>
      </c>
      <c r="B52" s="81">
        <v>0.82809999999999995</v>
      </c>
      <c r="C52" s="83">
        <v>2760.1</v>
      </c>
      <c r="D52" s="83">
        <v>3008.5</v>
      </c>
      <c r="E52" s="82">
        <v>7.5942999999999996</v>
      </c>
      <c r="F52" s="82"/>
      <c r="G52" s="28"/>
      <c r="H52" s="28"/>
    </row>
    <row r="53" spans="1:8" ht="18.75" customHeight="1" x14ac:dyDescent="0.25">
      <c r="A53" s="87">
        <v>280</v>
      </c>
      <c r="B53" s="81">
        <v>0.84387999999999996</v>
      </c>
      <c r="C53" s="83">
        <v>2775.6</v>
      </c>
      <c r="D53" s="83">
        <v>3028.8</v>
      </c>
      <c r="E53" s="82">
        <v>7.6314000000000002</v>
      </c>
      <c r="F53" s="82"/>
      <c r="G53" s="28"/>
      <c r="H53" s="28"/>
    </row>
    <row r="54" spans="1:8" ht="18.75" customHeight="1" x14ac:dyDescent="0.25">
      <c r="A54" s="87">
        <v>290</v>
      </c>
      <c r="B54" s="81">
        <v>0.85962000000000005</v>
      </c>
      <c r="C54" s="83">
        <v>2791.3</v>
      </c>
      <c r="D54" s="83">
        <v>3049.2</v>
      </c>
      <c r="E54" s="82">
        <v>7.6677999999999997</v>
      </c>
      <c r="F54" s="82"/>
      <c r="G54" s="28"/>
      <c r="H54" s="28"/>
    </row>
    <row r="55" spans="1:8" ht="18.75" customHeight="1" x14ac:dyDescent="0.25">
      <c r="A55" s="87">
        <v>300</v>
      </c>
      <c r="B55" s="81">
        <v>0.87534000000000001</v>
      </c>
      <c r="C55" s="83">
        <v>2807</v>
      </c>
      <c r="D55" s="83">
        <v>3069.6</v>
      </c>
      <c r="E55" s="82">
        <v>7.7037000000000004</v>
      </c>
      <c r="F55" s="82"/>
      <c r="G55" s="28"/>
      <c r="H55" s="28"/>
    </row>
    <row r="56" spans="1:8" ht="18.75" customHeight="1" x14ac:dyDescent="0.25">
      <c r="A56" s="87">
        <v>310</v>
      </c>
      <c r="B56" s="81">
        <v>0.89104000000000005</v>
      </c>
      <c r="C56" s="83">
        <v>2822.7</v>
      </c>
      <c r="D56" s="83">
        <v>3090</v>
      </c>
      <c r="E56" s="82">
        <v>7.7389999999999999</v>
      </c>
      <c r="F56" s="82"/>
      <c r="G56" s="28"/>
      <c r="H56" s="28"/>
    </row>
    <row r="57" spans="1:8" ht="18.75" customHeight="1" x14ac:dyDescent="0.25">
      <c r="A57" s="87">
        <v>320</v>
      </c>
      <c r="B57" s="81">
        <v>0.90671999999999997</v>
      </c>
      <c r="C57" s="83">
        <v>2838.4</v>
      </c>
      <c r="D57" s="83">
        <v>3110.4</v>
      </c>
      <c r="E57" s="82">
        <v>7.7737999999999996</v>
      </c>
      <c r="F57" s="82"/>
      <c r="G57" s="28"/>
      <c r="H57" s="28"/>
    </row>
    <row r="58" spans="1:8" ht="18.75" customHeight="1" x14ac:dyDescent="0.25">
      <c r="A58" s="87">
        <v>330</v>
      </c>
      <c r="B58" s="81">
        <v>0.92237000000000002</v>
      </c>
      <c r="C58" s="83">
        <v>2854.2</v>
      </c>
      <c r="D58" s="83">
        <v>3130.9</v>
      </c>
      <c r="E58" s="82">
        <v>7.8079999999999998</v>
      </c>
      <c r="F58" s="82"/>
      <c r="G58" s="28"/>
      <c r="H58" s="28"/>
    </row>
    <row r="59" spans="1:8" ht="18.75" customHeight="1" x14ac:dyDescent="0.25">
      <c r="A59" s="87">
        <v>340</v>
      </c>
      <c r="B59" s="81">
        <v>0.93801000000000001</v>
      </c>
      <c r="C59" s="83">
        <v>2870</v>
      </c>
      <c r="D59" s="83">
        <v>3151.4</v>
      </c>
      <c r="E59" s="82">
        <v>7.8417000000000003</v>
      </c>
      <c r="F59" s="82"/>
      <c r="G59" s="28"/>
      <c r="H59" s="28"/>
    </row>
    <row r="60" spans="1:8" ht="18.75" customHeight="1" x14ac:dyDescent="0.25">
      <c r="A60" s="87">
        <v>350</v>
      </c>
      <c r="B60" s="81">
        <v>0.95362999999999998</v>
      </c>
      <c r="C60" s="83">
        <v>2885.9</v>
      </c>
      <c r="D60" s="83">
        <v>3172</v>
      </c>
      <c r="E60" s="82">
        <v>7.875</v>
      </c>
      <c r="F60" s="82"/>
      <c r="G60" s="28"/>
      <c r="H60" s="28"/>
    </row>
    <row r="61" spans="1:8" ht="18.75" customHeight="1" x14ac:dyDescent="0.25">
      <c r="A61" s="87">
        <v>360</v>
      </c>
      <c r="B61" s="81">
        <v>0.96923999999999999</v>
      </c>
      <c r="C61" s="83">
        <v>2901.8</v>
      </c>
      <c r="D61" s="83">
        <v>3192.6</v>
      </c>
      <c r="E61" s="82">
        <v>7.9077999999999999</v>
      </c>
      <c r="F61" s="82"/>
      <c r="G61" s="28"/>
      <c r="H61" s="28"/>
    </row>
    <row r="62" spans="1:8" ht="18.75" customHeight="1" x14ac:dyDescent="0.25">
      <c r="A62" s="87">
        <v>370</v>
      </c>
      <c r="B62" s="81">
        <v>0.98482999999999998</v>
      </c>
      <c r="C62" s="83">
        <v>2917.8</v>
      </c>
      <c r="D62" s="83">
        <v>3213.2</v>
      </c>
      <c r="E62" s="82">
        <v>7.9401000000000002</v>
      </c>
      <c r="F62" s="82"/>
      <c r="G62" s="28"/>
      <c r="H62" s="28"/>
    </row>
    <row r="63" spans="1:8" ht="18.75" customHeight="1" x14ac:dyDescent="0.25">
      <c r="A63" s="87">
        <v>380</v>
      </c>
      <c r="B63" s="82">
        <v>1.0004</v>
      </c>
      <c r="C63" s="83">
        <v>2933.8</v>
      </c>
      <c r="D63" s="83">
        <v>3233.9</v>
      </c>
      <c r="E63" s="82">
        <v>7.9721000000000002</v>
      </c>
      <c r="F63" s="82"/>
      <c r="G63" s="28"/>
      <c r="H63" s="28"/>
    </row>
    <row r="64" spans="1:8" ht="18.75" customHeight="1" x14ac:dyDescent="0.25">
      <c r="A64" s="87">
        <v>390</v>
      </c>
      <c r="B64" s="82">
        <v>1.016</v>
      </c>
      <c r="C64" s="83">
        <v>2949.9</v>
      </c>
      <c r="D64" s="83">
        <v>3254.7</v>
      </c>
      <c r="E64" s="82">
        <v>8.0036000000000005</v>
      </c>
      <c r="F64" s="82"/>
      <c r="G64" s="28"/>
      <c r="H64" s="28"/>
    </row>
    <row r="65" spans="1:8" ht="18.75" customHeight="1" x14ac:dyDescent="0.25">
      <c r="A65" s="87">
        <v>400</v>
      </c>
      <c r="B65" s="82">
        <v>1.0315000000000001</v>
      </c>
      <c r="C65" s="83">
        <v>2966.1</v>
      </c>
      <c r="D65" s="83">
        <v>3275.5</v>
      </c>
      <c r="E65" s="82">
        <v>8.0347000000000008</v>
      </c>
      <c r="F65" s="82"/>
      <c r="G65" s="28"/>
      <c r="H65" s="28"/>
    </row>
    <row r="66" spans="1:8" ht="18.75" customHeight="1" x14ac:dyDescent="0.25">
      <c r="A66" s="87">
        <v>410</v>
      </c>
      <c r="B66" s="82">
        <v>1.0470999999999999</v>
      </c>
      <c r="C66" s="83">
        <v>2982.2</v>
      </c>
      <c r="D66" s="83">
        <v>3296.3</v>
      </c>
      <c r="E66" s="82">
        <v>8.0655000000000001</v>
      </c>
      <c r="F66" s="82"/>
      <c r="G66" s="28"/>
      <c r="H66" s="28"/>
    </row>
    <row r="67" spans="1:8" ht="18.75" customHeight="1" x14ac:dyDescent="0.25">
      <c r="A67" s="87">
        <v>420</v>
      </c>
      <c r="B67" s="82">
        <v>1.0626</v>
      </c>
      <c r="C67" s="83">
        <v>2998.4</v>
      </c>
      <c r="D67" s="83">
        <v>3317.2</v>
      </c>
      <c r="E67" s="82">
        <v>8.0959000000000003</v>
      </c>
      <c r="F67" s="82"/>
      <c r="G67" s="28"/>
      <c r="H67" s="28"/>
    </row>
    <row r="68" spans="1:8" ht="18.75" customHeight="1" x14ac:dyDescent="0.25">
      <c r="A68" s="87">
        <v>430</v>
      </c>
      <c r="B68" s="82">
        <v>1.0782</v>
      </c>
      <c r="C68" s="83">
        <v>3014.7</v>
      </c>
      <c r="D68" s="83">
        <v>3338.2</v>
      </c>
      <c r="E68" s="82">
        <v>8.1258999999999997</v>
      </c>
      <c r="F68" s="82"/>
      <c r="G68" s="28"/>
      <c r="H68" s="28"/>
    </row>
    <row r="69" spans="1:8" ht="18.75" customHeight="1" x14ac:dyDescent="0.25">
      <c r="A69" s="87">
        <v>440</v>
      </c>
      <c r="B69" s="82">
        <v>1.0936999999999999</v>
      </c>
      <c r="C69" s="83">
        <v>3031.1</v>
      </c>
      <c r="D69" s="83">
        <v>3359.2</v>
      </c>
      <c r="E69" s="82">
        <v>8.1555999999999997</v>
      </c>
      <c r="F69" s="82"/>
      <c r="G69" s="28"/>
      <c r="H69" s="28"/>
    </row>
    <row r="70" spans="1:8" ht="18.75" customHeight="1" x14ac:dyDescent="0.25">
      <c r="A70" s="87">
        <v>450</v>
      </c>
      <c r="B70" s="82">
        <v>1.1092</v>
      </c>
      <c r="C70" s="83">
        <v>3047.5</v>
      </c>
      <c r="D70" s="83">
        <v>3380.3</v>
      </c>
      <c r="E70" s="82">
        <v>8.1849000000000007</v>
      </c>
      <c r="F70" s="82"/>
      <c r="G70" s="28"/>
      <c r="H70" s="28"/>
    </row>
    <row r="71" spans="1:8" ht="18.75" customHeight="1" x14ac:dyDescent="0.25">
      <c r="A71" s="87">
        <v>460</v>
      </c>
      <c r="B71" s="82">
        <v>1.1247</v>
      </c>
      <c r="C71" s="83">
        <v>3064</v>
      </c>
      <c r="D71" s="83">
        <v>3401.4</v>
      </c>
      <c r="E71" s="82">
        <v>8.2140000000000004</v>
      </c>
      <c r="F71" s="82"/>
      <c r="G71" s="28"/>
      <c r="H71" s="28"/>
    </row>
    <row r="72" spans="1:8" ht="18.75" customHeight="1" x14ac:dyDescent="0.25">
      <c r="A72" s="87">
        <v>470</v>
      </c>
      <c r="B72" s="82">
        <v>1.1402000000000001</v>
      </c>
      <c r="C72" s="83">
        <v>3080.5</v>
      </c>
      <c r="D72" s="83">
        <v>3422.6</v>
      </c>
      <c r="E72" s="82">
        <v>8.2426999999999992</v>
      </c>
      <c r="F72" s="82"/>
      <c r="G72" s="28"/>
      <c r="H72" s="28"/>
    </row>
    <row r="73" spans="1:8" ht="18.75" customHeight="1" x14ac:dyDescent="0.25">
      <c r="A73" s="87">
        <v>480</v>
      </c>
      <c r="B73" s="82">
        <v>1.1556999999999999</v>
      </c>
      <c r="C73" s="83">
        <v>3097.2</v>
      </c>
      <c r="D73" s="83">
        <v>3443.9</v>
      </c>
      <c r="E73" s="82">
        <v>8.2711000000000006</v>
      </c>
      <c r="F73" s="82"/>
      <c r="G73" s="28"/>
      <c r="H73" s="28"/>
    </row>
    <row r="74" spans="1:8" ht="18.75" customHeight="1" x14ac:dyDescent="0.25">
      <c r="A74" s="87">
        <v>490</v>
      </c>
      <c r="B74" s="82">
        <v>1.1712</v>
      </c>
      <c r="C74" s="83">
        <v>3113.8</v>
      </c>
      <c r="D74" s="83">
        <v>3465.2</v>
      </c>
      <c r="E74" s="82">
        <v>8.2992000000000008</v>
      </c>
      <c r="F74" s="82"/>
      <c r="G74" s="28"/>
      <c r="H74" s="28"/>
    </row>
    <row r="75" spans="1:8" ht="18.75" customHeight="1" x14ac:dyDescent="0.25">
      <c r="A75" s="87">
        <v>500</v>
      </c>
      <c r="B75" s="82">
        <v>1.1867000000000001</v>
      </c>
      <c r="C75" s="83">
        <v>3130.6</v>
      </c>
      <c r="D75" s="83">
        <v>3486.6</v>
      </c>
      <c r="E75" s="82">
        <v>8.3270999999999997</v>
      </c>
      <c r="F75" s="82"/>
      <c r="G75" s="28"/>
      <c r="H75" s="28"/>
    </row>
    <row r="76" spans="1:8" ht="18.75" customHeight="1" x14ac:dyDescent="0.25">
      <c r="A76" s="87">
        <v>520</v>
      </c>
      <c r="B76" s="82">
        <v>1.2177</v>
      </c>
      <c r="C76" s="83">
        <v>3164.3</v>
      </c>
      <c r="D76" s="83">
        <v>3529.6</v>
      </c>
      <c r="E76" s="82">
        <v>8.3818999999999999</v>
      </c>
      <c r="F76" s="82"/>
      <c r="G76" s="28"/>
      <c r="H76" s="28"/>
    </row>
    <row r="77" spans="1:8" ht="18.75" customHeight="1" x14ac:dyDescent="0.25">
      <c r="A77" s="87">
        <v>540</v>
      </c>
      <c r="B77" s="82">
        <v>1.2485999999999999</v>
      </c>
      <c r="C77" s="83">
        <v>3198.2</v>
      </c>
      <c r="D77" s="83">
        <v>3572.8</v>
      </c>
      <c r="E77" s="82">
        <v>8.4357000000000006</v>
      </c>
      <c r="F77" s="82"/>
      <c r="G77" s="28"/>
      <c r="H77" s="28"/>
    </row>
    <row r="78" spans="1:8" ht="18.75" customHeight="1" x14ac:dyDescent="0.25">
      <c r="A78" s="87">
        <v>560</v>
      </c>
      <c r="B78" s="82">
        <v>1.2796000000000001</v>
      </c>
      <c r="C78" s="83">
        <v>3232.4</v>
      </c>
      <c r="D78" s="83">
        <v>3616.3</v>
      </c>
      <c r="E78" s="82">
        <v>8.4885999999999999</v>
      </c>
      <c r="F78" s="82"/>
      <c r="G78" s="28"/>
      <c r="H78" s="28"/>
    </row>
    <row r="79" spans="1:8" ht="18.75" customHeight="1" x14ac:dyDescent="0.25">
      <c r="A79" s="87">
        <v>580</v>
      </c>
      <c r="B79" s="82">
        <v>1.3105</v>
      </c>
      <c r="C79" s="83">
        <v>3266.9</v>
      </c>
      <c r="D79" s="83">
        <v>3660</v>
      </c>
      <c r="E79" s="82">
        <v>8.5404</v>
      </c>
      <c r="F79" s="82"/>
      <c r="G79" s="28"/>
      <c r="H79" s="28"/>
    </row>
    <row r="80" spans="1:8" ht="18.75" customHeight="1" x14ac:dyDescent="0.25">
      <c r="A80" s="87">
        <v>600</v>
      </c>
      <c r="B80" s="82">
        <v>1.3413999999999999</v>
      </c>
      <c r="C80" s="83">
        <v>3301.6</v>
      </c>
      <c r="D80" s="83">
        <v>3704</v>
      </c>
      <c r="E80" s="82">
        <v>8.5914000000000001</v>
      </c>
      <c r="F80" s="82"/>
      <c r="G80" s="28"/>
      <c r="H80" s="28"/>
    </row>
    <row r="81" spans="1:8" ht="18.75" customHeight="1" x14ac:dyDescent="0.25">
      <c r="A81" s="87">
        <v>620</v>
      </c>
      <c r="B81" s="82">
        <v>1.3723000000000001</v>
      </c>
      <c r="C81" s="83">
        <v>3336.6</v>
      </c>
      <c r="D81" s="83">
        <v>3748.3</v>
      </c>
      <c r="E81" s="82">
        <v>8.6416000000000004</v>
      </c>
      <c r="F81" s="82"/>
      <c r="G81" s="28"/>
      <c r="H81" s="28"/>
    </row>
    <row r="82" spans="1:8" ht="18.75" customHeight="1" x14ac:dyDescent="0.25">
      <c r="A82" s="87">
        <v>640</v>
      </c>
      <c r="B82" s="82">
        <v>1.4032</v>
      </c>
      <c r="C82" s="83">
        <v>3371.9</v>
      </c>
      <c r="D82" s="83">
        <v>3792.9</v>
      </c>
      <c r="E82" s="82">
        <v>8.6908999999999992</v>
      </c>
      <c r="F82" s="82"/>
      <c r="G82" s="28"/>
      <c r="H82" s="28"/>
    </row>
    <row r="83" spans="1:8" ht="18.75" customHeight="1" x14ac:dyDescent="0.25">
      <c r="A83" s="87">
        <v>660</v>
      </c>
      <c r="B83" s="82">
        <v>1.4340999999999999</v>
      </c>
      <c r="C83" s="83">
        <v>3407.5</v>
      </c>
      <c r="D83" s="83">
        <v>3837.7</v>
      </c>
      <c r="E83" s="82">
        <v>8.7394999999999996</v>
      </c>
      <c r="F83" s="82"/>
      <c r="G83" s="28"/>
      <c r="H83" s="28"/>
    </row>
    <row r="84" spans="1:8" ht="18.75" customHeight="1" x14ac:dyDescent="0.25">
      <c r="A84" s="87">
        <v>680</v>
      </c>
      <c r="B84" s="82">
        <v>1.4649000000000001</v>
      </c>
      <c r="C84" s="83">
        <v>3443.3</v>
      </c>
      <c r="D84" s="83">
        <v>3882.8</v>
      </c>
      <c r="E84" s="82">
        <v>8.7873000000000001</v>
      </c>
      <c r="F84" s="82"/>
      <c r="G84" s="28"/>
      <c r="H84" s="28"/>
    </row>
    <row r="85" spans="1:8" ht="18.75" customHeight="1" x14ac:dyDescent="0.25">
      <c r="A85" s="87">
        <v>700</v>
      </c>
      <c r="B85" s="82">
        <v>1.4958</v>
      </c>
      <c r="C85" s="83">
        <v>3479.5</v>
      </c>
      <c r="D85" s="83">
        <v>3928.2</v>
      </c>
      <c r="E85" s="82">
        <v>8.8344000000000005</v>
      </c>
      <c r="F85" s="82"/>
      <c r="G85" s="28"/>
      <c r="H85" s="28"/>
    </row>
    <row r="86" spans="1:8" ht="18.75" customHeight="1" x14ac:dyDescent="0.25">
      <c r="A86" s="87">
        <v>720</v>
      </c>
      <c r="B86" s="82">
        <v>1.5266</v>
      </c>
      <c r="C86" s="83">
        <v>3515.9</v>
      </c>
      <c r="D86" s="83">
        <v>3973.9</v>
      </c>
      <c r="E86" s="82">
        <v>8.8809000000000005</v>
      </c>
      <c r="F86" s="82"/>
      <c r="G86" s="28"/>
      <c r="H86" s="28"/>
    </row>
    <row r="87" spans="1:8" ht="18.75" customHeight="1" x14ac:dyDescent="0.25">
      <c r="A87" s="87">
        <v>740</v>
      </c>
      <c r="B87" s="82">
        <v>1.5575000000000001</v>
      </c>
      <c r="C87" s="83">
        <v>3552.6</v>
      </c>
      <c r="D87" s="83">
        <v>4019.8</v>
      </c>
      <c r="E87" s="82">
        <v>8.9267000000000003</v>
      </c>
      <c r="F87" s="82"/>
      <c r="G87" s="28"/>
      <c r="H87" s="28"/>
    </row>
    <row r="88" spans="1:8" ht="18.75" customHeight="1" x14ac:dyDescent="0.25">
      <c r="A88" s="87">
        <v>760</v>
      </c>
      <c r="B88" s="82">
        <v>1.5884</v>
      </c>
      <c r="C88" s="83">
        <v>3589.5</v>
      </c>
      <c r="D88" s="83">
        <v>4066</v>
      </c>
      <c r="E88" s="82">
        <v>8.9718999999999998</v>
      </c>
      <c r="F88" s="82"/>
      <c r="G88" s="28"/>
      <c r="H88" s="28"/>
    </row>
    <row r="89" spans="1:8" ht="18.75" customHeight="1" x14ac:dyDescent="0.25">
      <c r="A89" s="87">
        <v>780</v>
      </c>
      <c r="B89" s="82">
        <v>1.6192</v>
      </c>
      <c r="C89" s="83">
        <v>3626.7</v>
      </c>
      <c r="D89" s="83">
        <v>4112.5</v>
      </c>
      <c r="E89" s="82">
        <v>9.0164000000000009</v>
      </c>
      <c r="F89" s="82"/>
      <c r="G89" s="28"/>
      <c r="H89" s="28"/>
    </row>
    <row r="90" spans="1:8" ht="18.75" customHeight="1" x14ac:dyDescent="0.25">
      <c r="A90" s="87">
        <v>800</v>
      </c>
      <c r="B90" s="82">
        <v>1.65</v>
      </c>
      <c r="C90" s="83">
        <v>3664.3</v>
      </c>
      <c r="D90" s="83">
        <v>4159.3</v>
      </c>
      <c r="E90" s="82">
        <v>9.0603999999999996</v>
      </c>
      <c r="F90" s="82"/>
      <c r="G90" s="28"/>
      <c r="H90" s="28"/>
    </row>
    <row r="91" spans="1:8" ht="18.75" customHeight="1" x14ac:dyDescent="0.25">
      <c r="A91" s="87">
        <v>820</v>
      </c>
      <c r="B91" s="82">
        <v>1.6809000000000001</v>
      </c>
      <c r="C91" s="83">
        <v>3702</v>
      </c>
      <c r="D91" s="83">
        <v>4206.3</v>
      </c>
      <c r="E91" s="82">
        <v>9.1038999999999994</v>
      </c>
      <c r="F91" s="82"/>
      <c r="G91" s="28"/>
    </row>
    <row r="92" spans="1:8" ht="18.75" customHeight="1" x14ac:dyDescent="0.25">
      <c r="A92" s="87">
        <v>840</v>
      </c>
      <c r="B92" s="82">
        <v>1.7117</v>
      </c>
      <c r="C92" s="83">
        <v>3740.2</v>
      </c>
      <c r="D92" s="83">
        <v>4253.7</v>
      </c>
      <c r="E92" s="82">
        <v>9.1468000000000007</v>
      </c>
      <c r="F92" s="82"/>
      <c r="G92" s="28"/>
    </row>
    <row r="93" spans="1:8" ht="18.75" customHeight="1" x14ac:dyDescent="0.25">
      <c r="A93" s="87">
        <v>860</v>
      </c>
      <c r="B93" s="82">
        <v>1.7424999999999999</v>
      </c>
      <c r="C93" s="83">
        <v>3778.5</v>
      </c>
      <c r="D93" s="83">
        <v>4301.3</v>
      </c>
      <c r="E93" s="82">
        <v>9.1891999999999996</v>
      </c>
      <c r="F93" s="82"/>
      <c r="G93" s="28"/>
    </row>
    <row r="94" spans="1:8" ht="18.75" customHeight="1" x14ac:dyDescent="0.25">
      <c r="A94" s="87">
        <v>880</v>
      </c>
      <c r="B94" s="82">
        <v>1.7733000000000001</v>
      </c>
      <c r="C94" s="83">
        <v>3817.1</v>
      </c>
      <c r="D94" s="83">
        <v>4349.1000000000004</v>
      </c>
      <c r="E94" s="82">
        <v>9.2309999999999999</v>
      </c>
      <c r="F94" s="82"/>
      <c r="G94" s="28"/>
    </row>
    <row r="95" spans="1:8" ht="18.75" customHeight="1" x14ac:dyDescent="0.25">
      <c r="A95" s="87">
        <v>900</v>
      </c>
      <c r="B95" s="82">
        <v>1.8042</v>
      </c>
      <c r="C95" s="83">
        <v>3856</v>
      </c>
      <c r="D95" s="83">
        <v>4397.3</v>
      </c>
      <c r="E95" s="82">
        <v>9.2723999999999993</v>
      </c>
      <c r="F95" s="82"/>
      <c r="G95" s="28"/>
    </row>
    <row r="96" spans="1:8" ht="18.75" customHeight="1" x14ac:dyDescent="0.25">
      <c r="A96" s="87">
        <v>920</v>
      </c>
      <c r="B96" s="82">
        <v>1.835</v>
      </c>
      <c r="C96" s="83">
        <v>3895.2</v>
      </c>
      <c r="D96" s="83">
        <v>4445.7</v>
      </c>
      <c r="E96" s="82">
        <v>9.3132999999999999</v>
      </c>
      <c r="F96" s="82"/>
      <c r="G96" s="28"/>
    </row>
    <row r="97" spans="1:7" ht="18.75" customHeight="1" x14ac:dyDescent="0.25">
      <c r="A97" s="87">
        <v>940</v>
      </c>
      <c r="B97" s="82">
        <v>1.8657999999999999</v>
      </c>
      <c r="C97" s="83">
        <v>3934.7</v>
      </c>
      <c r="D97" s="83">
        <v>4494.3999999999996</v>
      </c>
      <c r="E97" s="82">
        <v>9.3537999999999997</v>
      </c>
      <c r="F97" s="82"/>
      <c r="G97" s="28"/>
    </row>
    <row r="98" spans="1:7" ht="18.75" customHeight="1" x14ac:dyDescent="0.25">
      <c r="A98" s="87">
        <v>960</v>
      </c>
      <c r="B98" s="82">
        <v>1.8966000000000001</v>
      </c>
      <c r="C98" s="83">
        <v>3974.3</v>
      </c>
      <c r="D98" s="83">
        <v>4543.3</v>
      </c>
      <c r="E98" s="82">
        <v>9.3938000000000006</v>
      </c>
      <c r="F98" s="82"/>
      <c r="G98" s="28"/>
    </row>
    <row r="99" spans="1:7" ht="18.75" customHeight="1" x14ac:dyDescent="0.25">
      <c r="A99" s="87">
        <v>980</v>
      </c>
      <c r="B99" s="82">
        <v>1.9274</v>
      </c>
      <c r="C99" s="83">
        <v>4014.3</v>
      </c>
      <c r="D99" s="83">
        <v>4592.5</v>
      </c>
      <c r="E99" s="82">
        <v>9.4334000000000007</v>
      </c>
      <c r="F99" s="82"/>
      <c r="G99" s="28"/>
    </row>
    <row r="100" spans="1:7" ht="13.8" x14ac:dyDescent="0.25">
      <c r="A100" s="87">
        <v>1000</v>
      </c>
      <c r="B100" s="82">
        <v>1.9581999999999999</v>
      </c>
      <c r="C100" s="83">
        <v>4054.5</v>
      </c>
      <c r="D100" s="83">
        <v>4642</v>
      </c>
      <c r="E100" s="82">
        <v>9.4725999999999999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H101"/>
  <sheetViews>
    <sheetView workbookViewId="0">
      <selection activeCell="B2" sqref="B2"/>
    </sheetView>
  </sheetViews>
  <sheetFormatPr defaultRowHeight="13.2" x14ac:dyDescent="0.25"/>
  <cols>
    <col min="1" max="1" width="6.21875" customWidth="1"/>
    <col min="2" max="2" width="11.441406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55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350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1.0000300000000001E-3</v>
      </c>
      <c r="C5" s="80">
        <v>-0.04</v>
      </c>
      <c r="D5" s="80">
        <v>0.31</v>
      </c>
      <c r="E5" s="81">
        <v>-1.2999999999999999E-4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9.999099999999999E-4</v>
      </c>
      <c r="C6" s="80">
        <v>21.02</v>
      </c>
      <c r="D6" s="80">
        <v>21.37</v>
      </c>
      <c r="E6" s="81">
        <v>7.6249999999999998E-2</v>
      </c>
      <c r="F6" s="81"/>
      <c r="G6" s="28"/>
      <c r="H6" s="28"/>
    </row>
    <row r="7" spans="1:8" ht="18.75" customHeight="1" x14ac:dyDescent="0.25">
      <c r="A7" s="7">
        <v>10</v>
      </c>
      <c r="B7" s="79">
        <v>1.00018E-3</v>
      </c>
      <c r="C7" s="80">
        <v>42.01</v>
      </c>
      <c r="D7" s="80">
        <v>42.36</v>
      </c>
      <c r="E7" s="81">
        <v>0.15106</v>
      </c>
      <c r="F7" s="81"/>
      <c r="G7" s="28"/>
      <c r="H7" s="28"/>
    </row>
    <row r="8" spans="1:8" ht="18.75" customHeight="1" x14ac:dyDescent="0.25">
      <c r="A8" s="7">
        <v>15</v>
      </c>
      <c r="B8" s="79">
        <v>1.0007799999999999E-3</v>
      </c>
      <c r="C8" s="80">
        <v>62.96</v>
      </c>
      <c r="D8" s="80">
        <v>63.31</v>
      </c>
      <c r="E8" s="81">
        <v>0.22441</v>
      </c>
      <c r="F8" s="81"/>
      <c r="G8" s="28"/>
      <c r="H8" s="28"/>
    </row>
    <row r="9" spans="1:8" ht="18.75" customHeight="1" x14ac:dyDescent="0.25">
      <c r="A9" s="7">
        <v>20</v>
      </c>
      <c r="B9" s="79">
        <v>1.00168E-3</v>
      </c>
      <c r="C9" s="80">
        <v>83.89</v>
      </c>
      <c r="D9" s="80">
        <v>84.24</v>
      </c>
      <c r="E9" s="81">
        <v>0.29641000000000001</v>
      </c>
      <c r="F9" s="81"/>
      <c r="G9" s="28"/>
      <c r="H9" s="28"/>
    </row>
    <row r="10" spans="1:8" ht="18.75" customHeight="1" x14ac:dyDescent="0.25">
      <c r="A10" s="7">
        <v>25</v>
      </c>
      <c r="B10" s="79">
        <v>1.00285E-3</v>
      </c>
      <c r="C10" s="80">
        <v>104.8</v>
      </c>
      <c r="D10" s="80">
        <v>105.15</v>
      </c>
      <c r="E10" s="81">
        <v>0.36714000000000002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1.0042600000000001E-3</v>
      </c>
      <c r="C11" s="80">
        <v>125.7</v>
      </c>
      <c r="D11" s="80">
        <v>126.05</v>
      </c>
      <c r="E11" s="81">
        <v>0.43664999999999998</v>
      </c>
      <c r="F11" s="81"/>
      <c r="G11" s="28"/>
      <c r="H11" s="28"/>
    </row>
    <row r="12" spans="1:8" ht="18.75" customHeight="1" x14ac:dyDescent="0.25">
      <c r="A12" s="7">
        <v>35</v>
      </c>
      <c r="B12" s="79">
        <v>1.00589E-3</v>
      </c>
      <c r="C12" s="80">
        <v>146.59</v>
      </c>
      <c r="D12" s="80">
        <v>146.94</v>
      </c>
      <c r="E12" s="81">
        <v>0.50500999999999996</v>
      </c>
      <c r="F12" s="81"/>
      <c r="G12" s="28"/>
      <c r="H12" s="28"/>
    </row>
    <row r="13" spans="1:8" ht="18.75" customHeight="1" x14ac:dyDescent="0.25">
      <c r="A13" s="7">
        <v>40</v>
      </c>
      <c r="B13" s="79">
        <v>1.0077300000000001E-3</v>
      </c>
      <c r="C13" s="80">
        <v>167.49</v>
      </c>
      <c r="D13" s="80">
        <v>167.84</v>
      </c>
      <c r="E13" s="81">
        <v>0.57226999999999995</v>
      </c>
      <c r="F13" s="81"/>
      <c r="G13" s="28"/>
      <c r="H13" s="28"/>
    </row>
    <row r="14" spans="1:8" ht="18.75" customHeight="1" x14ac:dyDescent="0.25">
      <c r="A14" s="7">
        <v>45</v>
      </c>
      <c r="B14" s="79">
        <v>1.0097699999999999E-3</v>
      </c>
      <c r="C14" s="80">
        <v>188.38</v>
      </c>
      <c r="D14" s="80">
        <v>188.73</v>
      </c>
      <c r="E14" s="81">
        <v>0.63846999999999998</v>
      </c>
      <c r="F14" s="81"/>
      <c r="G14" s="28"/>
      <c r="H14" s="28"/>
    </row>
    <row r="15" spans="1:8" ht="18.75" customHeight="1" x14ac:dyDescent="0.25">
      <c r="A15" s="7">
        <v>50</v>
      </c>
      <c r="B15" s="79">
        <v>1.0120000000000001E-3</v>
      </c>
      <c r="C15" s="80">
        <v>209.28</v>
      </c>
      <c r="D15" s="80">
        <v>209.63</v>
      </c>
      <c r="E15" s="81">
        <v>0.70365</v>
      </c>
      <c r="F15" s="81"/>
      <c r="G15" s="28"/>
      <c r="H15" s="28"/>
    </row>
    <row r="16" spans="1:8" ht="18.75" customHeight="1" x14ac:dyDescent="0.25">
      <c r="A16" s="7">
        <v>55</v>
      </c>
      <c r="B16" s="79">
        <v>1.0143999999999999E-3</v>
      </c>
      <c r="C16" s="80">
        <v>230.18</v>
      </c>
      <c r="D16" s="80">
        <v>230.54</v>
      </c>
      <c r="E16" s="81">
        <v>0.76785999999999999</v>
      </c>
      <c r="F16" s="81"/>
      <c r="G16" s="28"/>
      <c r="H16" s="28"/>
    </row>
    <row r="17" spans="1:8" ht="18.75" customHeight="1" x14ac:dyDescent="0.25">
      <c r="A17" s="7">
        <v>60</v>
      </c>
      <c r="B17" s="79">
        <v>1.01698E-3</v>
      </c>
      <c r="C17" s="80">
        <v>251.1</v>
      </c>
      <c r="D17" s="80">
        <v>251.46</v>
      </c>
      <c r="E17" s="81">
        <v>0.83111999999999997</v>
      </c>
      <c r="F17" s="81"/>
      <c r="G17" s="28"/>
      <c r="H17" s="28"/>
    </row>
    <row r="18" spans="1:8" ht="18.75" customHeight="1" x14ac:dyDescent="0.25">
      <c r="A18" s="7">
        <v>65</v>
      </c>
      <c r="B18" s="79">
        <v>1.01972E-3</v>
      </c>
      <c r="C18" s="80">
        <v>272.02999999999997</v>
      </c>
      <c r="D18" s="80">
        <v>272.39</v>
      </c>
      <c r="E18" s="81">
        <v>0.89346999999999999</v>
      </c>
      <c r="F18" s="81"/>
      <c r="G18" s="28"/>
      <c r="H18" s="28"/>
    </row>
    <row r="19" spans="1:8" ht="18.75" customHeight="1" x14ac:dyDescent="0.25">
      <c r="A19" s="7">
        <v>70</v>
      </c>
      <c r="B19" s="79">
        <v>1.0226300000000001E-3</v>
      </c>
      <c r="C19" s="80">
        <v>292.97000000000003</v>
      </c>
      <c r="D19" s="80">
        <v>293.33</v>
      </c>
      <c r="E19" s="81">
        <v>0.95494000000000001</v>
      </c>
      <c r="F19" s="81"/>
      <c r="G19" s="28"/>
      <c r="H19" s="28"/>
    </row>
    <row r="20" spans="1:8" ht="18.75" customHeight="1" x14ac:dyDescent="0.25">
      <c r="A20" s="7">
        <v>75</v>
      </c>
      <c r="B20" s="79">
        <v>1.0256899999999999E-3</v>
      </c>
      <c r="C20" s="80">
        <v>313.92</v>
      </c>
      <c r="D20" s="80">
        <v>314.27999999999997</v>
      </c>
      <c r="E20" s="82">
        <v>1.0156000000000001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1.0289100000000001E-3</v>
      </c>
      <c r="C21" s="80">
        <v>334.89</v>
      </c>
      <c r="D21" s="80">
        <v>335.25</v>
      </c>
      <c r="E21" s="82">
        <v>1.0753999999999999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1.0322899999999999E-3</v>
      </c>
      <c r="C22" s="80">
        <v>355.88</v>
      </c>
      <c r="D22" s="80">
        <v>356.24</v>
      </c>
      <c r="E22" s="82">
        <v>1.1344000000000001</v>
      </c>
      <c r="F22" s="82"/>
      <c r="G22" s="28"/>
      <c r="H22" s="28"/>
    </row>
    <row r="23" spans="1:8" ht="18.75" customHeight="1" x14ac:dyDescent="0.25">
      <c r="A23" s="7">
        <v>90</v>
      </c>
      <c r="B23" s="79">
        <v>1.0358100000000001E-3</v>
      </c>
      <c r="C23" s="80">
        <v>376.9</v>
      </c>
      <c r="D23" s="80">
        <v>377.26</v>
      </c>
      <c r="E23" s="82">
        <v>1.1927000000000001</v>
      </c>
      <c r="F23" s="82"/>
      <c r="G23" s="28"/>
      <c r="H23" s="28"/>
    </row>
    <row r="24" spans="1:8" ht="18.75" customHeight="1" x14ac:dyDescent="0.25">
      <c r="A24" s="7">
        <v>95</v>
      </c>
      <c r="B24" s="79">
        <v>1.0395000000000001E-3</v>
      </c>
      <c r="C24" s="80">
        <v>397.93</v>
      </c>
      <c r="D24" s="80">
        <v>398.29</v>
      </c>
      <c r="E24" s="82">
        <v>1.2502</v>
      </c>
      <c r="F24" s="82"/>
      <c r="G24" s="28"/>
      <c r="H24" s="28"/>
    </row>
    <row r="25" spans="1:8" ht="18.75" customHeight="1" x14ac:dyDescent="0.25">
      <c r="A25" s="7">
        <v>100</v>
      </c>
      <c r="B25" s="79">
        <v>1.0433300000000001E-3</v>
      </c>
      <c r="C25" s="80">
        <v>418.98</v>
      </c>
      <c r="D25" s="80">
        <v>419.35</v>
      </c>
      <c r="E25" s="82">
        <v>1.3069999999999999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1.04732E-3</v>
      </c>
      <c r="C26" s="80">
        <v>440.07</v>
      </c>
      <c r="D26" s="80">
        <v>440.44</v>
      </c>
      <c r="E26" s="82">
        <v>1.3632</v>
      </c>
      <c r="F26" s="82"/>
      <c r="G26" s="28"/>
      <c r="H26" s="28"/>
    </row>
    <row r="27" spans="1:8" ht="18.75" customHeight="1" x14ac:dyDescent="0.25">
      <c r="A27" s="7">
        <v>110</v>
      </c>
      <c r="B27" s="79">
        <v>1.0514700000000001E-3</v>
      </c>
      <c r="C27" s="80">
        <v>461.2</v>
      </c>
      <c r="D27" s="80">
        <v>461.57</v>
      </c>
      <c r="E27" s="82">
        <v>1.4187000000000001</v>
      </c>
      <c r="F27" s="82"/>
      <c r="G27" s="28"/>
      <c r="H27" s="28"/>
    </row>
    <row r="28" spans="1:8" ht="18.75" customHeight="1" x14ac:dyDescent="0.25">
      <c r="A28" s="7">
        <v>115</v>
      </c>
      <c r="B28" s="79">
        <v>1.0557800000000001E-3</v>
      </c>
      <c r="C28" s="80">
        <v>482.35</v>
      </c>
      <c r="D28" s="80">
        <v>482.72</v>
      </c>
      <c r="E28" s="82">
        <v>1.4735</v>
      </c>
      <c r="F28" s="82"/>
      <c r="G28" s="28"/>
      <c r="H28" s="28"/>
    </row>
    <row r="29" spans="1:8" ht="18.75" customHeight="1" x14ac:dyDescent="0.25">
      <c r="A29" s="7">
        <v>120</v>
      </c>
      <c r="B29" s="79">
        <v>1.0602400000000001E-3</v>
      </c>
      <c r="C29" s="80">
        <v>503.55</v>
      </c>
      <c r="D29" s="80">
        <v>503.92</v>
      </c>
      <c r="E29" s="82">
        <v>1.5278</v>
      </c>
      <c r="F29" s="82"/>
      <c r="G29" s="28"/>
      <c r="H29" s="28"/>
    </row>
    <row r="30" spans="1:8" ht="18.75" customHeight="1" x14ac:dyDescent="0.25">
      <c r="A30" s="7">
        <v>125</v>
      </c>
      <c r="B30" s="79">
        <v>1.0648700000000001E-3</v>
      </c>
      <c r="C30" s="80">
        <v>524.79</v>
      </c>
      <c r="D30" s="80">
        <v>525.16</v>
      </c>
      <c r="E30" s="82">
        <v>1.5813999999999999</v>
      </c>
      <c r="F30" s="82"/>
      <c r="G30" s="28"/>
      <c r="H30" s="28"/>
    </row>
    <row r="31" spans="1:8" ht="18.75" customHeight="1" x14ac:dyDescent="0.25">
      <c r="A31" s="7">
        <v>130</v>
      </c>
      <c r="B31" s="79">
        <v>1.0696600000000001E-3</v>
      </c>
      <c r="C31" s="80">
        <v>546.07000000000005</v>
      </c>
      <c r="D31" s="80">
        <v>546.44000000000005</v>
      </c>
      <c r="E31" s="82">
        <v>1.6346000000000001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1.07463E-3</v>
      </c>
      <c r="C32" s="80">
        <v>567.39</v>
      </c>
      <c r="D32" s="80">
        <v>567.77</v>
      </c>
      <c r="E32" s="82">
        <v>1.6872</v>
      </c>
      <c r="F32" s="82"/>
      <c r="G32" s="28"/>
      <c r="H32" s="28"/>
    </row>
    <row r="33" spans="1:8" ht="18.75" customHeight="1" x14ac:dyDescent="0.25">
      <c r="A33" s="37">
        <v>138.857</v>
      </c>
      <c r="B33" s="79">
        <v>1.07857E-3</v>
      </c>
      <c r="C33" s="80">
        <v>583.88</v>
      </c>
      <c r="D33" s="80">
        <v>584.26</v>
      </c>
      <c r="E33" s="82">
        <v>1.7274</v>
      </c>
      <c r="F33" s="82"/>
      <c r="G33" s="28"/>
      <c r="H33" s="28"/>
    </row>
    <row r="34" spans="1:8" ht="18.75" customHeight="1" x14ac:dyDescent="0.25">
      <c r="A34" s="7">
        <v>140</v>
      </c>
      <c r="B34" s="81">
        <v>0.52590999999999999</v>
      </c>
      <c r="C34" s="83">
        <v>2550.5</v>
      </c>
      <c r="D34" s="83">
        <v>2734.6</v>
      </c>
      <c r="E34" s="82">
        <v>6.9465000000000003</v>
      </c>
      <c r="F34" s="82"/>
      <c r="G34" s="28"/>
      <c r="H34" s="28"/>
    </row>
    <row r="35" spans="1:8" ht="18.75" customHeight="1" x14ac:dyDescent="0.25">
      <c r="A35" s="7">
        <v>145</v>
      </c>
      <c r="B35" s="81">
        <v>0.53341000000000005</v>
      </c>
      <c r="C35" s="83">
        <v>2559.1999999999998</v>
      </c>
      <c r="D35" s="83">
        <v>2745.9</v>
      </c>
      <c r="E35" s="82">
        <v>6.9737999999999998</v>
      </c>
      <c r="F35" s="82"/>
      <c r="G35" s="28"/>
      <c r="H35" s="28"/>
    </row>
    <row r="36" spans="1:8" ht="18.75" customHeight="1" x14ac:dyDescent="0.25">
      <c r="A36" s="7">
        <v>150</v>
      </c>
      <c r="B36" s="81">
        <v>0.54083000000000003</v>
      </c>
      <c r="C36" s="83">
        <v>2567.8000000000002</v>
      </c>
      <c r="D36" s="83">
        <v>2757.1</v>
      </c>
      <c r="E36" s="82">
        <v>7.0003000000000002</v>
      </c>
      <c r="F36" s="82"/>
      <c r="G36" s="28"/>
      <c r="H36" s="28"/>
    </row>
    <row r="37" spans="1:8" ht="18.75" customHeight="1" x14ac:dyDescent="0.25">
      <c r="A37" s="7">
        <v>155</v>
      </c>
      <c r="B37" s="81">
        <v>0.54818</v>
      </c>
      <c r="C37" s="83">
        <v>2576.1999999999998</v>
      </c>
      <c r="D37" s="83">
        <v>2768.1</v>
      </c>
      <c r="E37" s="82">
        <v>7.0260999999999996</v>
      </c>
      <c r="F37" s="82"/>
      <c r="G37" s="28"/>
      <c r="H37" s="28"/>
    </row>
    <row r="38" spans="1:8" ht="18.75" customHeight="1" x14ac:dyDescent="0.25">
      <c r="A38" s="7">
        <v>160</v>
      </c>
      <c r="B38" s="81">
        <v>0.55547000000000002</v>
      </c>
      <c r="C38" s="83">
        <v>2584.5</v>
      </c>
      <c r="D38" s="83">
        <v>2778.9</v>
      </c>
      <c r="E38" s="82">
        <v>7.0514000000000001</v>
      </c>
      <c r="F38" s="82"/>
      <c r="G38" s="28"/>
      <c r="H38" s="28"/>
    </row>
    <row r="39" spans="1:8" ht="18.75" customHeight="1" x14ac:dyDescent="0.25">
      <c r="A39" s="7">
        <v>165</v>
      </c>
      <c r="B39" s="81">
        <v>0.56272</v>
      </c>
      <c r="C39" s="83">
        <v>2592.6999999999998</v>
      </c>
      <c r="D39" s="83">
        <v>2789.7</v>
      </c>
      <c r="E39" s="82">
        <v>7.0761000000000003</v>
      </c>
      <c r="F39" s="82"/>
      <c r="G39" s="28"/>
      <c r="H39" s="28"/>
    </row>
    <row r="40" spans="1:8" ht="18.75" customHeight="1" x14ac:dyDescent="0.25">
      <c r="A40" s="7">
        <v>170</v>
      </c>
      <c r="B40" s="81">
        <v>0.56991000000000003</v>
      </c>
      <c r="C40" s="83">
        <v>2600.9</v>
      </c>
      <c r="D40" s="83">
        <v>2800.4</v>
      </c>
      <c r="E40" s="82">
        <v>7.1003999999999996</v>
      </c>
      <c r="F40" s="82"/>
      <c r="G40" s="28"/>
      <c r="H40" s="28"/>
    </row>
    <row r="41" spans="1:8" ht="18.75" customHeight="1" x14ac:dyDescent="0.25">
      <c r="A41" s="7">
        <v>175</v>
      </c>
      <c r="B41" s="81">
        <v>0.57706999999999997</v>
      </c>
      <c r="C41" s="83">
        <v>2609.1</v>
      </c>
      <c r="D41" s="83">
        <v>2811.1</v>
      </c>
      <c r="E41" s="82">
        <v>7.1242999999999999</v>
      </c>
      <c r="F41" s="82"/>
      <c r="G41" s="28"/>
      <c r="H41" s="28"/>
    </row>
    <row r="42" spans="1:8" ht="18.75" customHeight="1" x14ac:dyDescent="0.25">
      <c r="A42" s="7">
        <v>180</v>
      </c>
      <c r="B42" s="81">
        <v>0.58418999999999999</v>
      </c>
      <c r="C42" s="83">
        <v>2617.1</v>
      </c>
      <c r="D42" s="83">
        <v>2821.6</v>
      </c>
      <c r="E42" s="82">
        <v>7.1477000000000004</v>
      </c>
      <c r="F42" s="82"/>
      <c r="G42" s="28"/>
      <c r="H42" s="28"/>
    </row>
    <row r="43" spans="1:8" ht="18.75" customHeight="1" x14ac:dyDescent="0.25">
      <c r="A43" s="7">
        <v>185</v>
      </c>
      <c r="B43" s="81">
        <v>0.59128000000000003</v>
      </c>
      <c r="C43" s="83">
        <v>2625.2</v>
      </c>
      <c r="D43" s="83">
        <v>2832.1</v>
      </c>
      <c r="E43" s="82">
        <v>7.1707999999999998</v>
      </c>
      <c r="F43" s="82"/>
      <c r="G43" s="28"/>
      <c r="H43" s="28"/>
    </row>
    <row r="44" spans="1:8" ht="18.75" customHeight="1" x14ac:dyDescent="0.25">
      <c r="A44" s="7">
        <v>190</v>
      </c>
      <c r="B44" s="81">
        <v>0.59833999999999998</v>
      </c>
      <c r="C44" s="83">
        <v>2633.2</v>
      </c>
      <c r="D44" s="83">
        <v>2842.6</v>
      </c>
      <c r="E44" s="82">
        <v>7.1935000000000002</v>
      </c>
      <c r="F44" s="82"/>
      <c r="G44" s="28"/>
      <c r="H44" s="28"/>
    </row>
    <row r="45" spans="1:8" ht="18.75" customHeight="1" x14ac:dyDescent="0.25">
      <c r="A45" s="7">
        <v>195</v>
      </c>
      <c r="B45" s="81">
        <v>0.60536999999999996</v>
      </c>
      <c r="C45" s="83">
        <v>2641.1</v>
      </c>
      <c r="D45" s="83">
        <v>2853</v>
      </c>
      <c r="E45" s="82">
        <v>7.2159000000000004</v>
      </c>
      <c r="F45" s="82"/>
      <c r="G45" s="28"/>
      <c r="H45" s="28"/>
    </row>
    <row r="46" spans="1:8" ht="18.75" customHeight="1" x14ac:dyDescent="0.25">
      <c r="A46" s="7">
        <v>200</v>
      </c>
      <c r="B46" s="81">
        <v>0.61238000000000004</v>
      </c>
      <c r="C46" s="83">
        <v>2649.1</v>
      </c>
      <c r="D46" s="83">
        <v>2863.4</v>
      </c>
      <c r="E46" s="82">
        <v>7.2380000000000004</v>
      </c>
      <c r="F46" s="82"/>
      <c r="G46" s="28"/>
      <c r="H46" s="28"/>
    </row>
    <row r="47" spans="1:8" ht="18.75" customHeight="1" x14ac:dyDescent="0.25">
      <c r="A47" s="7">
        <v>210</v>
      </c>
      <c r="B47" s="81">
        <v>0.62633000000000005</v>
      </c>
      <c r="C47" s="83">
        <v>2664.9</v>
      </c>
      <c r="D47" s="83">
        <v>2884.1</v>
      </c>
      <c r="E47" s="82">
        <v>7.2812999999999999</v>
      </c>
      <c r="F47" s="82"/>
      <c r="G47" s="28"/>
      <c r="H47" s="28"/>
    </row>
    <row r="48" spans="1:8" ht="18.75" customHeight="1" x14ac:dyDescent="0.25">
      <c r="A48" s="7">
        <v>220</v>
      </c>
      <c r="B48" s="81">
        <v>0.64019999999999999</v>
      </c>
      <c r="C48" s="83">
        <v>2680.6</v>
      </c>
      <c r="D48" s="83">
        <v>2904.7</v>
      </c>
      <c r="E48" s="82">
        <v>7.3235000000000001</v>
      </c>
      <c r="F48" s="82"/>
      <c r="G48" s="28"/>
      <c r="H48" s="28"/>
    </row>
    <row r="49" spans="1:8" ht="18.75" customHeight="1" x14ac:dyDescent="0.25">
      <c r="A49" s="7">
        <v>230</v>
      </c>
      <c r="B49" s="81">
        <v>0.65400000000000003</v>
      </c>
      <c r="C49" s="83">
        <v>2696.3</v>
      </c>
      <c r="D49" s="83">
        <v>2925.2</v>
      </c>
      <c r="E49" s="82">
        <v>7.3647</v>
      </c>
      <c r="F49" s="82"/>
      <c r="G49" s="28"/>
      <c r="H49" s="28"/>
    </row>
    <row r="50" spans="1:8" ht="18.75" customHeight="1" x14ac:dyDescent="0.25">
      <c r="A50" s="7">
        <v>240</v>
      </c>
      <c r="B50" s="81">
        <v>0.66774999999999995</v>
      </c>
      <c r="C50" s="83">
        <v>2712</v>
      </c>
      <c r="D50" s="83">
        <v>2945.7</v>
      </c>
      <c r="E50" s="82">
        <v>7.4050000000000002</v>
      </c>
      <c r="F50" s="82"/>
      <c r="G50" s="28"/>
      <c r="H50" s="28"/>
    </row>
    <row r="51" spans="1:8" ht="18.75" customHeight="1" x14ac:dyDescent="0.25">
      <c r="A51" s="7">
        <v>250</v>
      </c>
      <c r="B51" s="81">
        <v>0.68145</v>
      </c>
      <c r="C51" s="83">
        <v>2727.7</v>
      </c>
      <c r="D51" s="83">
        <v>2966.2</v>
      </c>
      <c r="E51" s="82">
        <v>7.4443999999999999</v>
      </c>
      <c r="F51" s="82"/>
      <c r="G51" s="28"/>
      <c r="H51" s="28"/>
    </row>
    <row r="52" spans="1:8" ht="18.75" customHeight="1" x14ac:dyDescent="0.25">
      <c r="A52" s="7">
        <v>260</v>
      </c>
      <c r="B52" s="81">
        <v>0.69510000000000005</v>
      </c>
      <c r="C52" s="83">
        <v>2743.3</v>
      </c>
      <c r="D52" s="83">
        <v>2986.6</v>
      </c>
      <c r="E52" s="82">
        <v>7.4831000000000003</v>
      </c>
      <c r="F52" s="82"/>
      <c r="G52" s="28"/>
      <c r="H52" s="28"/>
    </row>
    <row r="53" spans="1:8" ht="18.75" customHeight="1" x14ac:dyDescent="0.25">
      <c r="A53" s="7">
        <v>270</v>
      </c>
      <c r="B53" s="81">
        <v>0.70872000000000002</v>
      </c>
      <c r="C53" s="83">
        <v>2758.9</v>
      </c>
      <c r="D53" s="83">
        <v>3007</v>
      </c>
      <c r="E53" s="82">
        <v>7.5210999999999997</v>
      </c>
      <c r="F53" s="82"/>
      <c r="G53" s="28"/>
      <c r="H53" s="28"/>
    </row>
    <row r="54" spans="1:8" ht="18.75" customHeight="1" x14ac:dyDescent="0.25">
      <c r="A54" s="7">
        <v>280</v>
      </c>
      <c r="B54" s="81">
        <v>0.72230000000000005</v>
      </c>
      <c r="C54" s="83">
        <v>2774.6</v>
      </c>
      <c r="D54" s="83">
        <v>3027.4</v>
      </c>
      <c r="E54" s="82">
        <v>7.5583</v>
      </c>
      <c r="F54" s="82"/>
      <c r="G54" s="28"/>
      <c r="H54" s="28"/>
    </row>
    <row r="55" spans="1:8" ht="18.75" customHeight="1" x14ac:dyDescent="0.25">
      <c r="A55" s="7">
        <v>290</v>
      </c>
      <c r="B55" s="81">
        <v>0.73585</v>
      </c>
      <c r="C55" s="83">
        <v>2790.4</v>
      </c>
      <c r="D55" s="83">
        <v>3047.9</v>
      </c>
      <c r="E55" s="82">
        <v>7.5949</v>
      </c>
      <c r="F55" s="82"/>
      <c r="G55" s="28"/>
      <c r="H55" s="28"/>
    </row>
    <row r="56" spans="1:8" ht="18.75" customHeight="1" x14ac:dyDescent="0.25">
      <c r="A56" s="7">
        <v>300</v>
      </c>
      <c r="B56" s="81">
        <v>0.74936999999999998</v>
      </c>
      <c r="C56" s="83">
        <v>2806</v>
      </c>
      <c r="D56" s="83">
        <v>3068.3</v>
      </c>
      <c r="E56" s="82">
        <v>7.6308999999999996</v>
      </c>
      <c r="F56" s="82"/>
      <c r="G56" s="28"/>
      <c r="H56" s="28"/>
    </row>
    <row r="57" spans="1:8" ht="18.75" customHeight="1" x14ac:dyDescent="0.25">
      <c r="A57" s="7">
        <v>310</v>
      </c>
      <c r="B57" s="81">
        <v>0.76287000000000005</v>
      </c>
      <c r="C57" s="83">
        <v>2821.8</v>
      </c>
      <c r="D57" s="83">
        <v>3088.8</v>
      </c>
      <c r="E57" s="82">
        <v>7.6664000000000003</v>
      </c>
      <c r="F57" s="82"/>
      <c r="G57" s="28"/>
      <c r="H57" s="28"/>
    </row>
    <row r="58" spans="1:8" ht="18.75" customHeight="1" x14ac:dyDescent="0.25">
      <c r="A58" s="7">
        <v>320</v>
      </c>
      <c r="B58" s="81">
        <v>0.77634999999999998</v>
      </c>
      <c r="C58" s="83">
        <v>2837.6</v>
      </c>
      <c r="D58" s="83">
        <v>3109.3</v>
      </c>
      <c r="E58" s="82">
        <v>7.7012</v>
      </c>
      <c r="F58" s="82"/>
      <c r="G58" s="28"/>
      <c r="H58" s="28"/>
    </row>
    <row r="59" spans="1:8" ht="18.75" customHeight="1" x14ac:dyDescent="0.25">
      <c r="A59" s="7">
        <v>330</v>
      </c>
      <c r="B59" s="81">
        <v>0.78981000000000001</v>
      </c>
      <c r="C59" s="83">
        <v>2853.4</v>
      </c>
      <c r="D59" s="83">
        <v>3129.8</v>
      </c>
      <c r="E59" s="82">
        <v>7.7355</v>
      </c>
      <c r="F59" s="82"/>
      <c r="G59" s="28"/>
      <c r="H59" s="28"/>
    </row>
    <row r="60" spans="1:8" ht="18.75" customHeight="1" x14ac:dyDescent="0.25">
      <c r="A60" s="7">
        <v>340</v>
      </c>
      <c r="B60" s="81">
        <v>0.80325000000000002</v>
      </c>
      <c r="C60" s="83">
        <v>2869.3</v>
      </c>
      <c r="D60" s="83">
        <v>3150.4</v>
      </c>
      <c r="E60" s="82">
        <v>7.7693000000000003</v>
      </c>
      <c r="F60" s="82"/>
      <c r="G60" s="28"/>
      <c r="H60" s="28"/>
    </row>
    <row r="61" spans="1:8" ht="18.75" customHeight="1" x14ac:dyDescent="0.25">
      <c r="A61" s="7">
        <v>350</v>
      </c>
      <c r="B61" s="81">
        <v>0.81667999999999996</v>
      </c>
      <c r="C61" s="83">
        <v>2885.2</v>
      </c>
      <c r="D61" s="83">
        <v>3171</v>
      </c>
      <c r="E61" s="82">
        <v>7.8026999999999997</v>
      </c>
      <c r="F61" s="82"/>
      <c r="G61" s="28"/>
      <c r="H61" s="28"/>
    </row>
    <row r="62" spans="1:8" ht="18.75" customHeight="1" x14ac:dyDescent="0.25">
      <c r="A62" s="7">
        <v>360</v>
      </c>
      <c r="B62" s="81">
        <v>0.83008999999999999</v>
      </c>
      <c r="C62" s="83">
        <v>2901.1</v>
      </c>
      <c r="D62" s="83">
        <v>3191.6</v>
      </c>
      <c r="E62" s="82">
        <v>7.8354999999999997</v>
      </c>
      <c r="F62" s="82"/>
      <c r="G62" s="28"/>
      <c r="H62" s="28"/>
    </row>
    <row r="63" spans="1:8" ht="18.75" customHeight="1" x14ac:dyDescent="0.25">
      <c r="A63" s="7">
        <v>370</v>
      </c>
      <c r="B63" s="81">
        <v>0.84348000000000001</v>
      </c>
      <c r="C63" s="83">
        <v>2917.1</v>
      </c>
      <c r="D63" s="83">
        <v>3212.3</v>
      </c>
      <c r="E63" s="82">
        <v>7.8680000000000003</v>
      </c>
      <c r="F63" s="82"/>
      <c r="G63" s="28"/>
      <c r="H63" s="28"/>
    </row>
    <row r="64" spans="1:8" ht="18.75" customHeight="1" x14ac:dyDescent="0.25">
      <c r="A64" s="7">
        <v>380</v>
      </c>
      <c r="B64" s="81">
        <v>0.85687000000000002</v>
      </c>
      <c r="C64" s="83">
        <v>2933.2</v>
      </c>
      <c r="D64" s="83">
        <v>3233.1</v>
      </c>
      <c r="E64" s="82">
        <v>7.9</v>
      </c>
      <c r="F64" s="82"/>
      <c r="G64" s="28"/>
      <c r="H64" s="28"/>
    </row>
    <row r="65" spans="1:8" ht="18.75" customHeight="1" x14ac:dyDescent="0.25">
      <c r="A65" s="7">
        <v>390</v>
      </c>
      <c r="B65" s="81">
        <v>0.87024000000000001</v>
      </c>
      <c r="C65" s="83">
        <v>2949.3</v>
      </c>
      <c r="D65" s="83">
        <v>3253.9</v>
      </c>
      <c r="E65" s="82">
        <v>7.9314999999999998</v>
      </c>
      <c r="F65" s="82"/>
      <c r="G65" s="28"/>
      <c r="H65" s="28"/>
    </row>
    <row r="66" spans="1:8" ht="18.75" customHeight="1" x14ac:dyDescent="0.25">
      <c r="A66" s="7">
        <v>400</v>
      </c>
      <c r="B66" s="81">
        <v>0.88360000000000005</v>
      </c>
      <c r="C66" s="83">
        <v>2965.4</v>
      </c>
      <c r="D66" s="83">
        <v>3274.7</v>
      </c>
      <c r="E66" s="82">
        <v>7.9626999999999999</v>
      </c>
      <c r="F66" s="82"/>
      <c r="G66" s="28"/>
      <c r="H66" s="28"/>
    </row>
    <row r="67" spans="1:8" ht="18.75" customHeight="1" x14ac:dyDescent="0.25">
      <c r="A67" s="7">
        <v>410</v>
      </c>
      <c r="B67" s="81">
        <v>0.89695000000000003</v>
      </c>
      <c r="C67" s="83">
        <v>2981.7</v>
      </c>
      <c r="D67" s="83">
        <v>3295.6</v>
      </c>
      <c r="E67" s="82">
        <v>7.9935</v>
      </c>
      <c r="F67" s="82"/>
      <c r="G67" s="28"/>
      <c r="H67" s="28"/>
    </row>
    <row r="68" spans="1:8" ht="18.75" customHeight="1" x14ac:dyDescent="0.25">
      <c r="A68" s="7">
        <v>420</v>
      </c>
      <c r="B68" s="81">
        <v>0.9103</v>
      </c>
      <c r="C68" s="83">
        <v>2997.9</v>
      </c>
      <c r="D68" s="83">
        <v>3316.5</v>
      </c>
      <c r="E68" s="82">
        <v>8.0238999999999994</v>
      </c>
      <c r="F68" s="82"/>
      <c r="G68" s="28"/>
      <c r="H68" s="28"/>
    </row>
    <row r="69" spans="1:8" ht="18.75" customHeight="1" x14ac:dyDescent="0.25">
      <c r="A69" s="7">
        <v>430</v>
      </c>
      <c r="B69" s="81">
        <v>0.92362999999999995</v>
      </c>
      <c r="C69" s="83">
        <v>3014.2</v>
      </c>
      <c r="D69" s="83">
        <v>3337.5</v>
      </c>
      <c r="E69" s="82">
        <v>8.0540000000000003</v>
      </c>
      <c r="F69" s="82"/>
      <c r="G69" s="28"/>
      <c r="H69" s="28"/>
    </row>
    <row r="70" spans="1:8" ht="18.75" customHeight="1" x14ac:dyDescent="0.25">
      <c r="A70" s="7">
        <v>440</v>
      </c>
      <c r="B70" s="81">
        <v>0.93696000000000002</v>
      </c>
      <c r="C70" s="83">
        <v>3030.7</v>
      </c>
      <c r="D70" s="83">
        <v>3358.6</v>
      </c>
      <c r="E70" s="82">
        <v>8.0837000000000003</v>
      </c>
      <c r="F70" s="82"/>
      <c r="G70" s="28"/>
      <c r="H70" s="28"/>
    </row>
    <row r="71" spans="1:8" ht="18.75" customHeight="1" x14ac:dyDescent="0.25">
      <c r="A71" s="7">
        <v>450</v>
      </c>
      <c r="B71" s="81">
        <v>0.95028000000000001</v>
      </c>
      <c r="C71" s="83">
        <v>3047.1</v>
      </c>
      <c r="D71" s="83">
        <v>3379.7</v>
      </c>
      <c r="E71" s="82">
        <v>8.1130999999999993</v>
      </c>
      <c r="F71" s="82"/>
      <c r="G71" s="28"/>
      <c r="H71" s="28"/>
    </row>
    <row r="72" spans="1:8" ht="18.75" customHeight="1" x14ac:dyDescent="0.25">
      <c r="A72" s="7">
        <v>460</v>
      </c>
      <c r="B72" s="81">
        <v>0.96360000000000001</v>
      </c>
      <c r="C72" s="83">
        <v>3063.5</v>
      </c>
      <c r="D72" s="83">
        <v>3400.8</v>
      </c>
      <c r="E72" s="82">
        <v>8.1422000000000008</v>
      </c>
      <c r="F72" s="82"/>
      <c r="G72" s="28"/>
      <c r="H72" s="28"/>
    </row>
    <row r="73" spans="1:8" ht="18.75" customHeight="1" x14ac:dyDescent="0.25">
      <c r="A73" s="7">
        <v>470</v>
      </c>
      <c r="B73" s="81">
        <v>0.97689999999999999</v>
      </c>
      <c r="C73" s="83">
        <v>3080.1</v>
      </c>
      <c r="D73" s="83">
        <v>3422</v>
      </c>
      <c r="E73" s="82">
        <v>8.1708999999999996</v>
      </c>
      <c r="F73" s="82"/>
      <c r="G73" s="28"/>
      <c r="H73" s="28"/>
    </row>
    <row r="74" spans="1:8" ht="18.75" customHeight="1" x14ac:dyDescent="0.25">
      <c r="A74" s="7">
        <v>480</v>
      </c>
      <c r="B74" s="81">
        <v>0.99021000000000003</v>
      </c>
      <c r="C74" s="83">
        <v>3096.7</v>
      </c>
      <c r="D74" s="83">
        <v>3443.3</v>
      </c>
      <c r="E74" s="82">
        <v>8.1994000000000007</v>
      </c>
      <c r="F74" s="82"/>
      <c r="G74" s="28"/>
      <c r="H74" s="28"/>
    </row>
    <row r="75" spans="1:8" ht="18.75" customHeight="1" x14ac:dyDescent="0.25">
      <c r="A75" s="7">
        <v>490</v>
      </c>
      <c r="B75" s="82">
        <v>1.0035000000000001</v>
      </c>
      <c r="C75" s="83">
        <v>3113.5</v>
      </c>
      <c r="D75" s="83">
        <v>3464.7</v>
      </c>
      <c r="E75" s="82">
        <v>8.2274999999999991</v>
      </c>
      <c r="F75" s="82"/>
      <c r="G75" s="28"/>
      <c r="H75" s="28"/>
    </row>
    <row r="76" spans="1:8" ht="18.75" customHeight="1" x14ac:dyDescent="0.25">
      <c r="A76" s="7">
        <v>500</v>
      </c>
      <c r="B76" s="82">
        <v>1.0167999999999999</v>
      </c>
      <c r="C76" s="83">
        <v>3130.2</v>
      </c>
      <c r="D76" s="83">
        <v>3486.1</v>
      </c>
      <c r="E76" s="82">
        <v>8.2553999999999998</v>
      </c>
      <c r="F76" s="82"/>
      <c r="G76" s="28"/>
      <c r="H76" s="28"/>
    </row>
    <row r="77" spans="1:8" ht="18.75" customHeight="1" x14ac:dyDescent="0.25">
      <c r="A77" s="7">
        <v>520</v>
      </c>
      <c r="B77" s="82">
        <v>1.0434000000000001</v>
      </c>
      <c r="C77" s="83">
        <v>3163.9</v>
      </c>
      <c r="D77" s="83">
        <v>3529.1</v>
      </c>
      <c r="E77" s="82">
        <v>8.3102999999999998</v>
      </c>
      <c r="F77" s="82"/>
      <c r="G77" s="28"/>
      <c r="H77" s="28"/>
    </row>
    <row r="78" spans="1:8" ht="18.75" customHeight="1" x14ac:dyDescent="0.25">
      <c r="A78" s="7">
        <v>540</v>
      </c>
      <c r="B78" s="82">
        <v>1.0699000000000001</v>
      </c>
      <c r="C78" s="83">
        <v>3197.8</v>
      </c>
      <c r="D78" s="83">
        <v>3572.3</v>
      </c>
      <c r="E78" s="82">
        <v>8.3642000000000003</v>
      </c>
      <c r="F78" s="82"/>
      <c r="G78" s="28"/>
      <c r="H78" s="28"/>
    </row>
    <row r="79" spans="1:8" ht="18.75" customHeight="1" x14ac:dyDescent="0.25">
      <c r="A79" s="7">
        <v>560</v>
      </c>
      <c r="B79" s="82">
        <v>1.0965</v>
      </c>
      <c r="C79" s="83">
        <v>3232</v>
      </c>
      <c r="D79" s="83">
        <v>3615.8</v>
      </c>
      <c r="E79" s="82">
        <v>8.4169999999999998</v>
      </c>
      <c r="F79" s="82"/>
      <c r="G79" s="28"/>
      <c r="H79" s="28"/>
    </row>
    <row r="80" spans="1:8" ht="18.75" customHeight="1" x14ac:dyDescent="0.25">
      <c r="A80" s="7">
        <v>580</v>
      </c>
      <c r="B80" s="82">
        <v>1.123</v>
      </c>
      <c r="C80" s="83">
        <v>3266.6</v>
      </c>
      <c r="D80" s="83">
        <v>3659.6</v>
      </c>
      <c r="E80" s="82">
        <v>8.4688999999999997</v>
      </c>
      <c r="F80" s="82"/>
      <c r="G80" s="28"/>
      <c r="H80" s="28"/>
    </row>
    <row r="81" spans="1:8" ht="18.75" customHeight="1" x14ac:dyDescent="0.25">
      <c r="A81" s="7">
        <v>600</v>
      </c>
      <c r="B81" s="82">
        <v>1.1495</v>
      </c>
      <c r="C81" s="83">
        <v>3301.3</v>
      </c>
      <c r="D81" s="83">
        <v>3703.6</v>
      </c>
      <c r="E81" s="82">
        <v>8.52</v>
      </c>
      <c r="F81" s="82"/>
      <c r="G81" s="28"/>
      <c r="H81" s="28"/>
    </row>
    <row r="82" spans="1:8" ht="18.75" customHeight="1" x14ac:dyDescent="0.25">
      <c r="A82" s="7">
        <v>620</v>
      </c>
      <c r="B82" s="82">
        <v>1.1759999999999999</v>
      </c>
      <c r="C82" s="83">
        <v>3336.3</v>
      </c>
      <c r="D82" s="83">
        <v>3747.9</v>
      </c>
      <c r="E82" s="82">
        <v>8.5701000000000001</v>
      </c>
      <c r="F82" s="82"/>
      <c r="G82" s="28"/>
      <c r="H82" s="28"/>
    </row>
    <row r="83" spans="1:8" ht="18.75" customHeight="1" x14ac:dyDescent="0.25">
      <c r="A83" s="7">
        <v>640</v>
      </c>
      <c r="B83" s="82">
        <v>1.2024999999999999</v>
      </c>
      <c r="C83" s="83">
        <v>3371.6</v>
      </c>
      <c r="D83" s="83">
        <v>3792.5</v>
      </c>
      <c r="E83" s="82">
        <v>8.6195000000000004</v>
      </c>
      <c r="F83" s="82"/>
      <c r="G83" s="28"/>
      <c r="H83" s="28"/>
    </row>
    <row r="84" spans="1:8" ht="18.75" customHeight="1" x14ac:dyDescent="0.25">
      <c r="A84" s="7">
        <v>660</v>
      </c>
      <c r="B84" s="82">
        <v>1.2290000000000001</v>
      </c>
      <c r="C84" s="83">
        <v>3407.3</v>
      </c>
      <c r="D84" s="83">
        <v>3837.4</v>
      </c>
      <c r="E84" s="82">
        <v>8.6681000000000008</v>
      </c>
      <c r="F84" s="82"/>
      <c r="G84" s="28"/>
      <c r="H84" s="28"/>
    </row>
    <row r="85" spans="1:8" ht="18.75" customHeight="1" x14ac:dyDescent="0.25">
      <c r="A85" s="7">
        <v>680</v>
      </c>
      <c r="B85" s="82">
        <v>1.2555000000000001</v>
      </c>
      <c r="C85" s="83">
        <v>3443.1</v>
      </c>
      <c r="D85" s="83">
        <v>3882.5</v>
      </c>
      <c r="E85" s="82">
        <v>8.7158999999999995</v>
      </c>
      <c r="F85" s="82"/>
      <c r="G85" s="28"/>
      <c r="H85" s="28"/>
    </row>
    <row r="86" spans="1:8" ht="18.75" customHeight="1" x14ac:dyDescent="0.25">
      <c r="A86" s="7">
        <v>700</v>
      </c>
      <c r="B86" s="82">
        <v>1.2819</v>
      </c>
      <c r="C86" s="83">
        <v>3479.2</v>
      </c>
      <c r="D86" s="83">
        <v>3927.9</v>
      </c>
      <c r="E86" s="82">
        <v>8.7630999999999997</v>
      </c>
      <c r="F86" s="82"/>
      <c r="G86" s="28"/>
      <c r="H86" s="28"/>
    </row>
    <row r="87" spans="1:8" ht="18.75" customHeight="1" x14ac:dyDescent="0.25">
      <c r="A87" s="7">
        <v>720</v>
      </c>
      <c r="B87" s="82">
        <v>1.3084</v>
      </c>
      <c r="C87" s="83">
        <v>3515.7</v>
      </c>
      <c r="D87" s="83">
        <v>3973.6</v>
      </c>
      <c r="E87" s="82">
        <v>8.8094999999999999</v>
      </c>
      <c r="F87" s="82"/>
      <c r="G87" s="28"/>
      <c r="H87" s="28"/>
    </row>
    <row r="88" spans="1:8" ht="18.75" customHeight="1" x14ac:dyDescent="0.25">
      <c r="A88" s="7">
        <v>740</v>
      </c>
      <c r="B88" s="82">
        <v>1.3348</v>
      </c>
      <c r="C88" s="83">
        <v>3552.3</v>
      </c>
      <c r="D88" s="83">
        <v>4019.5</v>
      </c>
      <c r="E88" s="82">
        <v>8.8552999999999997</v>
      </c>
      <c r="F88" s="82"/>
      <c r="G88" s="28"/>
      <c r="H88" s="28"/>
    </row>
    <row r="89" spans="1:8" ht="18.75" customHeight="1" x14ac:dyDescent="0.25">
      <c r="A89" s="7">
        <v>760</v>
      </c>
      <c r="B89" s="82">
        <v>1.3613</v>
      </c>
      <c r="C89" s="83">
        <v>3589.3</v>
      </c>
      <c r="D89" s="83">
        <v>4065.8</v>
      </c>
      <c r="E89" s="82">
        <v>8.9004999999999992</v>
      </c>
      <c r="F89" s="82"/>
      <c r="G89" s="28"/>
      <c r="H89" s="28"/>
    </row>
    <row r="90" spans="1:8" ht="18.75" customHeight="1" x14ac:dyDescent="0.25">
      <c r="A90" s="7">
        <v>780</v>
      </c>
      <c r="B90" s="82">
        <v>1.3876999999999999</v>
      </c>
      <c r="C90" s="83">
        <v>3626.6</v>
      </c>
      <c r="D90" s="83">
        <v>4112.3</v>
      </c>
      <c r="E90" s="82">
        <v>8.9451000000000001</v>
      </c>
      <c r="F90" s="82"/>
      <c r="G90" s="28"/>
      <c r="H90" s="28"/>
    </row>
    <row r="91" spans="1:8" ht="18.75" customHeight="1" x14ac:dyDescent="0.25">
      <c r="A91" s="7">
        <v>800</v>
      </c>
      <c r="B91" s="82">
        <v>1.4141999999999999</v>
      </c>
      <c r="C91" s="83">
        <v>3664.1</v>
      </c>
      <c r="D91" s="83">
        <v>4159.1000000000004</v>
      </c>
      <c r="E91" s="82">
        <v>8.9891000000000005</v>
      </c>
      <c r="F91" s="82"/>
      <c r="G91" s="28"/>
      <c r="H91" s="28"/>
    </row>
    <row r="92" spans="1:8" ht="18.75" customHeight="1" x14ac:dyDescent="0.25">
      <c r="A92" s="7">
        <v>820</v>
      </c>
      <c r="B92" s="82">
        <v>1.4406000000000001</v>
      </c>
      <c r="C92" s="83">
        <v>3701.9</v>
      </c>
      <c r="D92" s="83">
        <v>4206.1000000000004</v>
      </c>
      <c r="E92" s="82">
        <v>9.0326000000000004</v>
      </c>
      <c r="F92" s="82"/>
      <c r="G92" s="28"/>
      <c r="H92" s="28"/>
    </row>
    <row r="93" spans="1:8" ht="18.75" customHeight="1" x14ac:dyDescent="0.25">
      <c r="A93" s="7">
        <v>840</v>
      </c>
      <c r="B93" s="82">
        <v>1.4671000000000001</v>
      </c>
      <c r="C93" s="83">
        <v>3740</v>
      </c>
      <c r="D93" s="83">
        <v>4253.5</v>
      </c>
      <c r="E93" s="82">
        <v>9.0754999999999999</v>
      </c>
      <c r="F93" s="82"/>
      <c r="G93" s="28"/>
      <c r="H93" s="28"/>
    </row>
    <row r="94" spans="1:8" ht="18.75" customHeight="1" x14ac:dyDescent="0.25">
      <c r="A94" s="7">
        <v>860</v>
      </c>
      <c r="B94" s="82">
        <v>1.4935</v>
      </c>
      <c r="C94" s="83">
        <v>3778.4</v>
      </c>
      <c r="D94" s="83">
        <v>4301.1000000000004</v>
      </c>
      <c r="E94" s="82">
        <v>9.1179000000000006</v>
      </c>
      <c r="F94" s="82"/>
      <c r="G94" s="28"/>
      <c r="H94" s="28"/>
    </row>
    <row r="95" spans="1:8" ht="18.75" customHeight="1" x14ac:dyDescent="0.25">
      <c r="A95" s="7">
        <v>880</v>
      </c>
      <c r="B95" s="82">
        <v>1.5199</v>
      </c>
      <c r="C95" s="83">
        <v>3817</v>
      </c>
      <c r="D95" s="83">
        <v>4349</v>
      </c>
      <c r="E95" s="82">
        <v>9.1598000000000006</v>
      </c>
      <c r="F95" s="82"/>
      <c r="G95" s="28"/>
      <c r="H95" s="28"/>
    </row>
    <row r="96" spans="1:8" ht="18.75" customHeight="1" x14ac:dyDescent="0.25">
      <c r="A96" s="7">
        <v>900</v>
      </c>
      <c r="B96" s="82">
        <v>1.5463</v>
      </c>
      <c r="C96" s="83">
        <v>3855.9</v>
      </c>
      <c r="D96" s="83">
        <v>4397.1000000000004</v>
      </c>
      <c r="E96" s="82">
        <v>9.2012</v>
      </c>
      <c r="F96" s="82"/>
      <c r="G96" s="28"/>
      <c r="H96" s="28"/>
    </row>
    <row r="97" spans="1:8" ht="18.75" customHeight="1" x14ac:dyDescent="0.25">
      <c r="A97" s="7">
        <v>920</v>
      </c>
      <c r="B97" s="82">
        <v>1.5728</v>
      </c>
      <c r="C97" s="83">
        <v>3895</v>
      </c>
      <c r="D97" s="83">
        <v>4445.5</v>
      </c>
      <c r="E97" s="82">
        <v>9.2421000000000006</v>
      </c>
      <c r="F97" s="82"/>
      <c r="G97" s="28"/>
      <c r="H97" s="28"/>
    </row>
    <row r="98" spans="1:8" ht="18.75" customHeight="1" x14ac:dyDescent="0.25">
      <c r="A98" s="7">
        <v>940</v>
      </c>
      <c r="B98" s="82">
        <v>1.5992</v>
      </c>
      <c r="C98" s="83">
        <v>3934.5</v>
      </c>
      <c r="D98" s="83">
        <v>4494.2</v>
      </c>
      <c r="E98" s="82">
        <v>9.2825000000000006</v>
      </c>
      <c r="F98" s="82"/>
      <c r="G98" s="28"/>
      <c r="H98" s="28"/>
    </row>
    <row r="99" spans="1:8" ht="18.75" customHeight="1" x14ac:dyDescent="0.25">
      <c r="A99" s="7">
        <v>960</v>
      </c>
      <c r="B99" s="82">
        <v>1.6255999999999999</v>
      </c>
      <c r="C99" s="83">
        <v>3974.2</v>
      </c>
      <c r="D99" s="83">
        <v>4543.2</v>
      </c>
      <c r="E99" s="82">
        <v>9.3225999999999996</v>
      </c>
      <c r="F99" s="82"/>
      <c r="G99" s="28"/>
      <c r="H99" s="28"/>
    </row>
    <row r="100" spans="1:8" ht="18.75" customHeight="1" x14ac:dyDescent="0.25">
      <c r="A100" s="7">
        <v>980</v>
      </c>
      <c r="B100" s="82">
        <v>1.6519999999999999</v>
      </c>
      <c r="C100" s="83">
        <v>4014.2</v>
      </c>
      <c r="D100" s="83">
        <v>4592.3999999999996</v>
      </c>
      <c r="E100" s="82">
        <v>9.3620999999999999</v>
      </c>
      <c r="F100" s="82"/>
      <c r="G100" s="28"/>
      <c r="H100" s="28"/>
    </row>
    <row r="101" spans="1:8" ht="13.8" x14ac:dyDescent="0.25">
      <c r="A101" s="7">
        <v>1000</v>
      </c>
      <c r="B101" s="82">
        <v>1.6783999999999999</v>
      </c>
      <c r="C101" s="83">
        <v>4054.4</v>
      </c>
      <c r="D101" s="83">
        <v>4641.8</v>
      </c>
      <c r="E101" s="82">
        <v>9.4013000000000009</v>
      </c>
      <c r="F101" s="82"/>
    </row>
  </sheetData>
  <mergeCells count="1">
    <mergeCell ref="A1:H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H100"/>
  <sheetViews>
    <sheetView topLeftCell="A19" workbookViewId="0">
      <selection activeCell="A34" sqref="A34:XFD34"/>
    </sheetView>
  </sheetViews>
  <sheetFormatPr defaultRowHeight="13.2" x14ac:dyDescent="0.25"/>
  <cols>
    <col min="1" max="1" width="11.6640625" customWidth="1"/>
    <col min="2" max="2" width="11.8867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56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400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1.00001E-3</v>
      </c>
      <c r="C5" s="80">
        <v>-0.03</v>
      </c>
      <c r="D5" s="80">
        <v>0.37</v>
      </c>
      <c r="E5" s="81">
        <v>-1.2999999999999999E-4</v>
      </c>
      <c r="F5" s="81"/>
      <c r="G5" s="28"/>
      <c r="H5" s="28"/>
    </row>
    <row r="6" spans="1:8" ht="18.75" customHeight="1" x14ac:dyDescent="0.25">
      <c r="A6" s="87">
        <v>5</v>
      </c>
      <c r="B6" s="79">
        <v>9.9989000000000002E-4</v>
      </c>
      <c r="C6" s="80">
        <v>21.02</v>
      </c>
      <c r="D6" s="80">
        <v>21.42</v>
      </c>
      <c r="E6" s="81">
        <v>7.6249999999999998E-2</v>
      </c>
      <c r="F6" s="81"/>
      <c r="G6" s="28"/>
      <c r="H6" s="28"/>
    </row>
    <row r="7" spans="1:8" ht="18.75" customHeight="1" x14ac:dyDescent="0.25">
      <c r="A7" s="87">
        <v>10</v>
      </c>
      <c r="B7" s="79">
        <v>1.00015E-3</v>
      </c>
      <c r="C7" s="80">
        <v>42.01</v>
      </c>
      <c r="D7" s="80">
        <v>42.41</v>
      </c>
      <c r="E7" s="81">
        <v>0.15104999999999999</v>
      </c>
      <c r="F7" s="81"/>
      <c r="G7" s="28"/>
      <c r="H7" s="28"/>
    </row>
    <row r="8" spans="1:8" ht="18.75" customHeight="1" x14ac:dyDescent="0.25">
      <c r="A8" s="87">
        <v>15</v>
      </c>
      <c r="B8" s="79">
        <v>1.0007600000000001E-3</v>
      </c>
      <c r="C8" s="80">
        <v>62.96</v>
      </c>
      <c r="D8" s="80">
        <v>63.36</v>
      </c>
      <c r="E8" s="81">
        <v>0.22439999999999999</v>
      </c>
      <c r="F8" s="81"/>
      <c r="G8" s="28"/>
      <c r="H8" s="28"/>
    </row>
    <row r="9" spans="1:8" ht="18.75" customHeight="1" x14ac:dyDescent="0.25">
      <c r="A9" s="87">
        <v>20</v>
      </c>
      <c r="B9" s="79">
        <v>1.0016599999999999E-3</v>
      </c>
      <c r="C9" s="80">
        <v>83.89</v>
      </c>
      <c r="D9" s="80">
        <v>84.29</v>
      </c>
      <c r="E9" s="81">
        <v>0.2964</v>
      </c>
      <c r="F9" s="81"/>
      <c r="G9" s="28"/>
      <c r="H9" s="28"/>
    </row>
    <row r="10" spans="1:8" ht="18.75" customHeight="1" x14ac:dyDescent="0.25">
      <c r="A10" s="87">
        <v>25</v>
      </c>
      <c r="B10" s="79">
        <v>1.0028299999999999E-3</v>
      </c>
      <c r="C10" s="80">
        <v>104.8</v>
      </c>
      <c r="D10" s="80">
        <v>105.2</v>
      </c>
      <c r="E10" s="81">
        <v>0.36712</v>
      </c>
      <c r="F10" s="81"/>
      <c r="G10" s="28"/>
    </row>
    <row r="11" spans="1:8" ht="18.75" customHeight="1" x14ac:dyDescent="0.25">
      <c r="A11" s="87">
        <v>30</v>
      </c>
      <c r="B11" s="79">
        <v>1.00424E-3</v>
      </c>
      <c r="C11" s="80">
        <v>125.69</v>
      </c>
      <c r="D11" s="80">
        <v>126.09</v>
      </c>
      <c r="E11" s="81">
        <v>0.43663000000000002</v>
      </c>
      <c r="F11" s="81"/>
      <c r="G11" s="28"/>
    </row>
    <row r="12" spans="1:8" ht="18.75" customHeight="1" x14ac:dyDescent="0.25">
      <c r="A12" s="87">
        <v>35</v>
      </c>
      <c r="B12" s="79">
        <v>1.0058700000000001E-3</v>
      </c>
      <c r="C12" s="80">
        <v>146.59</v>
      </c>
      <c r="D12" s="80">
        <v>146.99</v>
      </c>
      <c r="E12" s="81">
        <v>0.50499000000000005</v>
      </c>
      <c r="F12" s="81"/>
      <c r="G12" s="28"/>
    </row>
    <row r="13" spans="1:8" ht="18.75" customHeight="1" x14ac:dyDescent="0.25">
      <c r="A13" s="87">
        <v>40</v>
      </c>
      <c r="B13" s="79">
        <v>1.00771E-3</v>
      </c>
      <c r="C13" s="80">
        <v>167.48</v>
      </c>
      <c r="D13" s="80">
        <v>167.88</v>
      </c>
      <c r="E13" s="81">
        <v>0.57225000000000004</v>
      </c>
      <c r="F13" s="81"/>
      <c r="G13" s="28"/>
    </row>
    <row r="14" spans="1:8" ht="18.75" customHeight="1" x14ac:dyDescent="0.25">
      <c r="A14" s="87">
        <v>45</v>
      </c>
      <c r="B14" s="79">
        <v>1.00975E-3</v>
      </c>
      <c r="C14" s="80">
        <v>188.38</v>
      </c>
      <c r="D14" s="80">
        <v>188.78</v>
      </c>
      <c r="E14" s="81">
        <v>0.63844999999999996</v>
      </c>
      <c r="F14" s="81"/>
      <c r="G14" s="28"/>
    </row>
    <row r="15" spans="1:8" ht="18.75" customHeight="1" x14ac:dyDescent="0.25">
      <c r="A15" s="87">
        <v>50</v>
      </c>
      <c r="B15" s="79">
        <v>1.01198E-3</v>
      </c>
      <c r="C15" s="80">
        <v>209.28</v>
      </c>
      <c r="D15" s="80">
        <v>209.68</v>
      </c>
      <c r="E15" s="81">
        <v>0.70362999999999998</v>
      </c>
      <c r="F15" s="81"/>
      <c r="G15" s="28"/>
    </row>
    <row r="16" spans="1:8" ht="18.75" customHeight="1" x14ac:dyDescent="0.25">
      <c r="A16" s="87">
        <v>55</v>
      </c>
      <c r="B16" s="79">
        <v>1.0143800000000001E-3</v>
      </c>
      <c r="C16" s="80">
        <v>230.17</v>
      </c>
      <c r="D16" s="80">
        <v>230.58</v>
      </c>
      <c r="E16" s="81">
        <v>0.76783000000000001</v>
      </c>
      <c r="F16" s="81"/>
      <c r="G16" s="28"/>
    </row>
    <row r="17" spans="1:7" ht="18.75" customHeight="1" x14ac:dyDescent="0.25">
      <c r="A17" s="87">
        <v>60</v>
      </c>
      <c r="B17" s="79">
        <v>1.0169599999999999E-3</v>
      </c>
      <c r="C17" s="80">
        <v>251.09</v>
      </c>
      <c r="D17" s="80">
        <v>251.5</v>
      </c>
      <c r="E17" s="81">
        <v>0.83109</v>
      </c>
      <c r="F17" s="81"/>
      <c r="G17" s="28"/>
    </row>
    <row r="18" spans="1:7" ht="18.75" customHeight="1" x14ac:dyDescent="0.25">
      <c r="A18" s="87">
        <v>65</v>
      </c>
      <c r="B18" s="79">
        <v>1.0196999999999999E-3</v>
      </c>
      <c r="C18" s="80">
        <v>272.02</v>
      </c>
      <c r="D18" s="80">
        <v>272.43</v>
      </c>
      <c r="E18" s="81">
        <v>0.89344000000000001</v>
      </c>
      <c r="F18" s="81"/>
      <c r="G18" s="28"/>
    </row>
    <row r="19" spans="1:7" ht="18.75" customHeight="1" x14ac:dyDescent="0.25">
      <c r="A19" s="87">
        <v>70</v>
      </c>
      <c r="B19" s="79">
        <v>1.0226E-3</v>
      </c>
      <c r="C19" s="80">
        <v>292.95999999999998</v>
      </c>
      <c r="D19" s="80">
        <v>293.37</v>
      </c>
      <c r="E19" s="81">
        <v>0.95491000000000004</v>
      </c>
      <c r="F19" s="81"/>
      <c r="G19" s="28"/>
    </row>
    <row r="20" spans="1:7" ht="18.75" customHeight="1" x14ac:dyDescent="0.25">
      <c r="A20" s="87">
        <v>75</v>
      </c>
      <c r="B20" s="79">
        <v>1.02567E-3</v>
      </c>
      <c r="C20" s="80">
        <v>313.91000000000003</v>
      </c>
      <c r="D20" s="80">
        <v>314.32</v>
      </c>
      <c r="E20" s="82">
        <v>1.0155000000000001</v>
      </c>
      <c r="F20" s="82"/>
      <c r="G20" s="28"/>
    </row>
    <row r="21" spans="1:7" ht="18.75" customHeight="1" x14ac:dyDescent="0.25">
      <c r="A21" s="87">
        <v>80</v>
      </c>
      <c r="B21" s="79">
        <v>1.02889E-3</v>
      </c>
      <c r="C21" s="80">
        <v>334.88</v>
      </c>
      <c r="D21" s="80">
        <v>335.29</v>
      </c>
      <c r="E21" s="82">
        <v>1.0752999999999999</v>
      </c>
      <c r="F21" s="82"/>
      <c r="G21" s="28"/>
    </row>
    <row r="22" spans="1:7" ht="18.75" customHeight="1" x14ac:dyDescent="0.25">
      <c r="A22" s="87">
        <v>85</v>
      </c>
      <c r="B22" s="79">
        <v>1.0322599999999999E-3</v>
      </c>
      <c r="C22" s="80">
        <v>355.87</v>
      </c>
      <c r="D22" s="80">
        <v>356.28</v>
      </c>
      <c r="E22" s="82">
        <v>1.1344000000000001</v>
      </c>
      <c r="F22" s="82"/>
      <c r="G22" s="28"/>
    </row>
    <row r="23" spans="1:7" ht="18.75" customHeight="1" x14ac:dyDescent="0.25">
      <c r="A23" s="87">
        <v>90</v>
      </c>
      <c r="B23" s="79">
        <v>1.03579E-3</v>
      </c>
      <c r="C23" s="80">
        <v>376.88</v>
      </c>
      <c r="D23" s="80">
        <v>377.29</v>
      </c>
      <c r="E23" s="82">
        <v>1.1926000000000001</v>
      </c>
      <c r="F23" s="82"/>
      <c r="G23" s="28"/>
    </row>
    <row r="24" spans="1:7" ht="18.75" customHeight="1" x14ac:dyDescent="0.25">
      <c r="A24" s="87">
        <v>95</v>
      </c>
      <c r="B24" s="79">
        <v>1.03947E-3</v>
      </c>
      <c r="C24" s="80">
        <v>397.91</v>
      </c>
      <c r="D24" s="80">
        <v>398.33</v>
      </c>
      <c r="E24" s="82">
        <v>1.2502</v>
      </c>
      <c r="F24" s="82"/>
      <c r="G24" s="28"/>
    </row>
    <row r="25" spans="1:7" ht="18.75" customHeight="1" x14ac:dyDescent="0.25">
      <c r="A25" s="87">
        <v>100</v>
      </c>
      <c r="B25" s="79">
        <v>1.04331E-3</v>
      </c>
      <c r="C25" s="80">
        <v>418.97</v>
      </c>
      <c r="D25" s="80">
        <v>419.39</v>
      </c>
      <c r="E25" s="82">
        <v>1.3069999999999999</v>
      </c>
      <c r="F25" s="82"/>
      <c r="G25" s="28"/>
    </row>
    <row r="26" spans="1:7" ht="18.75" customHeight="1" x14ac:dyDescent="0.25">
      <c r="A26" s="87">
        <v>105</v>
      </c>
      <c r="B26" s="79">
        <v>1.0472999999999999E-3</v>
      </c>
      <c r="C26" s="80">
        <v>440.06</v>
      </c>
      <c r="D26" s="80">
        <v>440.48</v>
      </c>
      <c r="E26" s="82">
        <v>1.3631</v>
      </c>
      <c r="F26" s="82"/>
      <c r="G26" s="28"/>
    </row>
    <row r="27" spans="1:7" ht="18.75" customHeight="1" x14ac:dyDescent="0.25">
      <c r="A27" s="87">
        <v>110</v>
      </c>
      <c r="B27" s="79">
        <v>1.0514400000000001E-3</v>
      </c>
      <c r="C27" s="80">
        <v>461.18</v>
      </c>
      <c r="D27" s="80">
        <v>461.6</v>
      </c>
      <c r="E27" s="82">
        <v>1.4186000000000001</v>
      </c>
      <c r="F27" s="82"/>
      <c r="G27" s="28"/>
    </row>
    <row r="28" spans="1:7" ht="18.75" customHeight="1" x14ac:dyDescent="0.25">
      <c r="A28" s="87">
        <v>115</v>
      </c>
      <c r="B28" s="79">
        <v>1.05575E-3</v>
      </c>
      <c r="C28" s="80">
        <v>482.34</v>
      </c>
      <c r="D28" s="80">
        <v>482.76</v>
      </c>
      <c r="E28" s="82">
        <v>1.4735</v>
      </c>
      <c r="F28" s="82"/>
      <c r="G28" s="28"/>
    </row>
    <row r="29" spans="1:7" ht="18.75" customHeight="1" x14ac:dyDescent="0.25">
      <c r="A29" s="87">
        <v>120</v>
      </c>
      <c r="B29" s="79">
        <v>1.06021E-3</v>
      </c>
      <c r="C29" s="80">
        <v>503.53</v>
      </c>
      <c r="D29" s="80">
        <v>503.95</v>
      </c>
      <c r="E29" s="82">
        <v>1.5277000000000001</v>
      </c>
      <c r="F29" s="82"/>
      <c r="G29" s="28"/>
    </row>
    <row r="30" spans="1:7" ht="18.75" customHeight="1" x14ac:dyDescent="0.25">
      <c r="A30" s="87">
        <v>125</v>
      </c>
      <c r="B30" s="79">
        <v>1.0648400000000001E-3</v>
      </c>
      <c r="C30" s="80">
        <v>524.76</v>
      </c>
      <c r="D30" s="80">
        <v>525.19000000000005</v>
      </c>
      <c r="E30" s="82">
        <v>1.5813999999999999</v>
      </c>
      <c r="F30" s="82"/>
      <c r="G30" s="28"/>
    </row>
    <row r="31" spans="1:7" ht="18.75" customHeight="1" x14ac:dyDescent="0.25">
      <c r="A31" s="87">
        <v>130</v>
      </c>
      <c r="B31" s="79">
        <v>1.06963E-3</v>
      </c>
      <c r="C31" s="80">
        <v>546.04</v>
      </c>
      <c r="D31" s="80">
        <v>546.47</v>
      </c>
      <c r="E31" s="82">
        <v>1.6345000000000001</v>
      </c>
      <c r="F31" s="82"/>
      <c r="G31" s="28"/>
    </row>
    <row r="32" spans="1:7" ht="18.75" customHeight="1" x14ac:dyDescent="0.25">
      <c r="A32" s="87">
        <v>135</v>
      </c>
      <c r="B32" s="79">
        <v>1.0745900000000001E-3</v>
      </c>
      <c r="C32" s="80">
        <v>567.37</v>
      </c>
      <c r="D32" s="80">
        <v>567.79999999999995</v>
      </c>
      <c r="E32" s="82">
        <v>1.6871</v>
      </c>
      <c r="F32" s="82"/>
      <c r="G32" s="28"/>
    </row>
    <row r="33" spans="1:7" ht="18.75" customHeight="1" x14ac:dyDescent="0.25">
      <c r="A33" s="87">
        <v>140</v>
      </c>
      <c r="B33" s="79">
        <v>1.0797300000000001E-3</v>
      </c>
      <c r="C33" s="80">
        <v>588.76</v>
      </c>
      <c r="D33" s="80">
        <v>589.19000000000005</v>
      </c>
      <c r="E33" s="82">
        <v>1.7392000000000001</v>
      </c>
      <c r="F33" s="82"/>
      <c r="G33" s="28"/>
    </row>
    <row r="34" spans="1:7" ht="18.75" customHeight="1" x14ac:dyDescent="0.25">
      <c r="A34" s="87">
        <v>145</v>
      </c>
      <c r="B34" s="81">
        <v>0.46425</v>
      </c>
      <c r="C34" s="83">
        <v>2555.6</v>
      </c>
      <c r="D34" s="83">
        <v>2741.3</v>
      </c>
      <c r="E34" s="82">
        <v>6.9032999999999998</v>
      </c>
      <c r="F34" s="82"/>
      <c r="G34" s="28"/>
    </row>
    <row r="35" spans="1:7" ht="18.75" customHeight="1" x14ac:dyDescent="0.25">
      <c r="A35" s="87">
        <v>150</v>
      </c>
      <c r="B35" s="81">
        <v>0.47088000000000002</v>
      </c>
      <c r="C35" s="83">
        <v>2564.4</v>
      </c>
      <c r="D35" s="83">
        <v>2752.8</v>
      </c>
      <c r="E35" s="82">
        <v>6.9306000000000001</v>
      </c>
      <c r="F35" s="82"/>
      <c r="G35" s="28"/>
    </row>
    <row r="36" spans="1:7" ht="18.75" customHeight="1" x14ac:dyDescent="0.25">
      <c r="A36" s="87">
        <v>155</v>
      </c>
      <c r="B36" s="81">
        <v>0.47743999999999998</v>
      </c>
      <c r="C36" s="83">
        <v>2573.1</v>
      </c>
      <c r="D36" s="83">
        <v>2764.1</v>
      </c>
      <c r="E36" s="82">
        <v>6.9570999999999996</v>
      </c>
      <c r="F36" s="82"/>
      <c r="G36" s="28"/>
    </row>
    <row r="37" spans="1:7" ht="18.75" customHeight="1" x14ac:dyDescent="0.25">
      <c r="A37" s="87">
        <v>160</v>
      </c>
      <c r="B37" s="81">
        <v>0.48393000000000003</v>
      </c>
      <c r="C37" s="83">
        <v>2581.6</v>
      </c>
      <c r="D37" s="83">
        <v>2775.2</v>
      </c>
      <c r="E37" s="82">
        <v>6.9828999999999999</v>
      </c>
      <c r="F37" s="82"/>
      <c r="G37" s="28"/>
    </row>
    <row r="38" spans="1:7" ht="18.75" customHeight="1" x14ac:dyDescent="0.25">
      <c r="A38" s="87">
        <v>165</v>
      </c>
      <c r="B38" s="81">
        <v>0.49036999999999997</v>
      </c>
      <c r="C38" s="83">
        <v>2590.1</v>
      </c>
      <c r="D38" s="83">
        <v>2786.2</v>
      </c>
      <c r="E38" s="82">
        <v>7.0080999999999998</v>
      </c>
      <c r="F38" s="82"/>
      <c r="G38" s="28"/>
    </row>
    <row r="39" spans="1:7" ht="18.75" customHeight="1" x14ac:dyDescent="0.25">
      <c r="A39" s="87">
        <v>170</v>
      </c>
      <c r="B39" s="81">
        <v>0.49675999999999998</v>
      </c>
      <c r="C39" s="83">
        <v>2598.4</v>
      </c>
      <c r="D39" s="83">
        <v>2797.1</v>
      </c>
      <c r="E39" s="82">
        <v>7.0328999999999997</v>
      </c>
      <c r="F39" s="82"/>
      <c r="G39" s="28"/>
    </row>
    <row r="40" spans="1:7" ht="18.75" customHeight="1" x14ac:dyDescent="0.25">
      <c r="A40" s="87">
        <v>175</v>
      </c>
      <c r="B40" s="81">
        <v>0.50309999999999999</v>
      </c>
      <c r="C40" s="83">
        <v>2606.6999999999998</v>
      </c>
      <c r="D40" s="83">
        <v>2807.9</v>
      </c>
      <c r="E40" s="82">
        <v>7.0571000000000002</v>
      </c>
      <c r="F40" s="82"/>
      <c r="G40" s="28"/>
    </row>
    <row r="41" spans="1:7" ht="18.75" customHeight="1" x14ac:dyDescent="0.25">
      <c r="A41" s="87">
        <v>180</v>
      </c>
      <c r="B41" s="81">
        <v>0.50941000000000003</v>
      </c>
      <c r="C41" s="83">
        <v>2614.8000000000002</v>
      </c>
      <c r="D41" s="83">
        <v>2818.6</v>
      </c>
      <c r="E41" s="82">
        <v>7.0808999999999997</v>
      </c>
      <c r="F41" s="82"/>
      <c r="G41" s="28"/>
    </row>
    <row r="42" spans="1:7" ht="18.75" customHeight="1" x14ac:dyDescent="0.25">
      <c r="A42" s="87">
        <v>185</v>
      </c>
      <c r="B42" s="81">
        <v>0.51568999999999998</v>
      </c>
      <c r="C42" s="83">
        <v>2623</v>
      </c>
      <c r="D42" s="83">
        <v>2829.3</v>
      </c>
      <c r="E42" s="82">
        <v>7.1043000000000003</v>
      </c>
      <c r="F42" s="82"/>
      <c r="G42" s="28"/>
    </row>
    <row r="43" spans="1:7" ht="18.75" customHeight="1" x14ac:dyDescent="0.25">
      <c r="A43" s="87">
        <v>190</v>
      </c>
      <c r="B43" s="81">
        <v>0.52193000000000001</v>
      </c>
      <c r="C43" s="83">
        <v>2631.1</v>
      </c>
      <c r="D43" s="83">
        <v>2839.9</v>
      </c>
      <c r="E43" s="82">
        <v>7.1273</v>
      </c>
      <c r="F43" s="82"/>
      <c r="G43" s="28"/>
    </row>
    <row r="44" spans="1:7" ht="18.75" customHeight="1" x14ac:dyDescent="0.25">
      <c r="A44" s="87">
        <v>195</v>
      </c>
      <c r="B44" s="81">
        <v>0.52814000000000005</v>
      </c>
      <c r="C44" s="83">
        <v>2639.1</v>
      </c>
      <c r="D44" s="83">
        <v>2850.4</v>
      </c>
      <c r="E44" s="82">
        <v>7.15</v>
      </c>
      <c r="F44" s="82"/>
      <c r="G44" s="28"/>
    </row>
    <row r="45" spans="1:7" ht="18.75" customHeight="1" x14ac:dyDescent="0.25">
      <c r="A45" s="87">
        <v>200</v>
      </c>
      <c r="B45" s="81">
        <v>0.53432999999999997</v>
      </c>
      <c r="C45" s="83">
        <v>2647.2</v>
      </c>
      <c r="D45" s="83">
        <v>2860.9</v>
      </c>
      <c r="E45" s="82">
        <v>7.1722999999999999</v>
      </c>
      <c r="F45" s="82"/>
      <c r="G45" s="28"/>
    </row>
    <row r="46" spans="1:7" ht="18.75" customHeight="1" x14ac:dyDescent="0.25">
      <c r="A46" s="87">
        <v>210</v>
      </c>
      <c r="B46" s="81">
        <v>0.54664999999999997</v>
      </c>
      <c r="C46" s="83">
        <v>2663.1</v>
      </c>
      <c r="D46" s="83">
        <v>2881.8</v>
      </c>
      <c r="E46" s="82">
        <v>7.2160000000000002</v>
      </c>
      <c r="F46" s="82"/>
      <c r="G46" s="28"/>
    </row>
    <row r="47" spans="1:7" ht="18.75" customHeight="1" x14ac:dyDescent="0.25">
      <c r="A47" s="87">
        <v>220</v>
      </c>
      <c r="B47" s="81">
        <v>0.55888000000000004</v>
      </c>
      <c r="C47" s="83">
        <v>2679</v>
      </c>
      <c r="D47" s="83">
        <v>2902.6</v>
      </c>
      <c r="E47" s="82">
        <v>7.2586000000000004</v>
      </c>
      <c r="F47" s="82"/>
      <c r="G47" s="28"/>
    </row>
    <row r="48" spans="1:7" ht="18.75" customHeight="1" x14ac:dyDescent="0.25">
      <c r="A48" s="87">
        <v>230</v>
      </c>
      <c r="B48" s="81">
        <v>0.57103999999999999</v>
      </c>
      <c r="C48" s="83">
        <v>2694.9</v>
      </c>
      <c r="D48" s="83">
        <v>2923.3</v>
      </c>
      <c r="E48" s="82">
        <v>7.3000999999999996</v>
      </c>
      <c r="F48" s="82"/>
      <c r="G48" s="28"/>
    </row>
    <row r="49" spans="1:7" ht="18.75" customHeight="1" x14ac:dyDescent="0.25">
      <c r="A49" s="87">
        <v>240</v>
      </c>
      <c r="B49" s="81">
        <v>0.58313999999999999</v>
      </c>
      <c r="C49" s="83">
        <v>2710.6</v>
      </c>
      <c r="D49" s="83">
        <v>2943.9</v>
      </c>
      <c r="E49" s="82">
        <v>7.3407</v>
      </c>
      <c r="F49" s="82"/>
      <c r="G49" s="28"/>
    </row>
    <row r="50" spans="1:7" ht="18.75" customHeight="1" x14ac:dyDescent="0.25">
      <c r="A50" s="87">
        <v>250</v>
      </c>
      <c r="B50" s="81">
        <v>0.59519999999999995</v>
      </c>
      <c r="C50" s="83">
        <v>2726.4</v>
      </c>
      <c r="D50" s="83">
        <v>2964.5</v>
      </c>
      <c r="E50" s="82">
        <v>7.3803999999999998</v>
      </c>
      <c r="F50" s="82"/>
      <c r="G50" s="28"/>
    </row>
    <row r="51" spans="1:7" ht="18.75" customHeight="1" x14ac:dyDescent="0.25">
      <c r="A51" s="87">
        <v>260</v>
      </c>
      <c r="B51" s="81">
        <v>0.60719999999999996</v>
      </c>
      <c r="C51" s="83">
        <v>2742.1</v>
      </c>
      <c r="D51" s="83">
        <v>2985</v>
      </c>
      <c r="E51" s="82">
        <v>7.4192999999999998</v>
      </c>
      <c r="F51" s="82"/>
      <c r="G51" s="28"/>
    </row>
    <row r="52" spans="1:7" ht="18.75" customHeight="1" x14ac:dyDescent="0.25">
      <c r="A52" s="87">
        <v>270</v>
      </c>
      <c r="B52" s="81">
        <v>0.61917</v>
      </c>
      <c r="C52" s="83">
        <v>2757.8</v>
      </c>
      <c r="D52" s="83">
        <v>3005.5</v>
      </c>
      <c r="E52" s="82">
        <v>7.4573999999999998</v>
      </c>
      <c r="F52" s="82"/>
      <c r="G52" s="28"/>
    </row>
    <row r="53" spans="1:7" ht="18.75" customHeight="1" x14ac:dyDescent="0.25">
      <c r="A53" s="87">
        <v>280</v>
      </c>
      <c r="B53" s="81">
        <v>0.63110999999999995</v>
      </c>
      <c r="C53" s="83">
        <v>2773.6</v>
      </c>
      <c r="D53" s="83">
        <v>3026</v>
      </c>
      <c r="E53" s="82">
        <v>7.4947999999999997</v>
      </c>
      <c r="F53" s="82"/>
      <c r="G53" s="28"/>
    </row>
    <row r="54" spans="1:7" ht="18.75" customHeight="1" x14ac:dyDescent="0.25">
      <c r="A54" s="87">
        <v>290</v>
      </c>
      <c r="B54" s="81">
        <v>0.64300999999999997</v>
      </c>
      <c r="C54" s="83">
        <v>2789.4</v>
      </c>
      <c r="D54" s="83">
        <v>3046.6</v>
      </c>
      <c r="E54" s="82">
        <v>7.5316000000000001</v>
      </c>
      <c r="F54" s="82"/>
      <c r="G54" s="28"/>
    </row>
    <row r="55" spans="1:7" ht="18.75" customHeight="1" x14ac:dyDescent="0.25">
      <c r="A55" s="87">
        <v>300</v>
      </c>
      <c r="B55" s="81">
        <v>0.65488999999999997</v>
      </c>
      <c r="C55" s="83">
        <v>2805.1</v>
      </c>
      <c r="D55" s="83">
        <v>3067.1</v>
      </c>
      <c r="E55" s="82">
        <v>7.5677000000000003</v>
      </c>
      <c r="F55" s="82"/>
      <c r="G55" s="28"/>
    </row>
    <row r="56" spans="1:7" ht="18.75" customHeight="1" x14ac:dyDescent="0.25">
      <c r="A56" s="87">
        <v>310</v>
      </c>
      <c r="B56" s="81">
        <v>0.66674</v>
      </c>
      <c r="C56" s="83">
        <v>2820.9</v>
      </c>
      <c r="D56" s="83">
        <v>3087.6</v>
      </c>
      <c r="E56" s="82">
        <v>7.6032000000000002</v>
      </c>
      <c r="F56" s="82"/>
      <c r="G56" s="28"/>
    </row>
    <row r="57" spans="1:7" ht="18.75" customHeight="1" x14ac:dyDescent="0.25">
      <c r="A57" s="87">
        <v>320</v>
      </c>
      <c r="B57" s="81">
        <v>0.67857999999999996</v>
      </c>
      <c r="C57" s="83">
        <v>2836.8</v>
      </c>
      <c r="D57" s="83">
        <v>3108.2</v>
      </c>
      <c r="E57" s="82">
        <v>7.6382000000000003</v>
      </c>
      <c r="F57" s="82"/>
      <c r="G57" s="28"/>
    </row>
    <row r="58" spans="1:7" ht="18.75" customHeight="1" x14ac:dyDescent="0.25">
      <c r="A58" s="87">
        <v>330</v>
      </c>
      <c r="B58" s="81">
        <v>0.69038999999999995</v>
      </c>
      <c r="C58" s="83">
        <v>2852.6</v>
      </c>
      <c r="D58" s="83">
        <v>3128.8</v>
      </c>
      <c r="E58" s="82">
        <v>7.6726000000000001</v>
      </c>
      <c r="F58" s="82"/>
      <c r="G58" s="28"/>
    </row>
    <row r="59" spans="1:7" ht="18.75" customHeight="1" x14ac:dyDescent="0.25">
      <c r="A59" s="87">
        <v>340</v>
      </c>
      <c r="B59" s="81">
        <v>0.70218000000000003</v>
      </c>
      <c r="C59" s="83">
        <v>2868.5</v>
      </c>
      <c r="D59" s="83">
        <v>3149.4</v>
      </c>
      <c r="E59" s="82">
        <v>7.7065000000000001</v>
      </c>
      <c r="F59" s="82"/>
      <c r="G59" s="28"/>
    </row>
    <row r="60" spans="1:7" ht="18.75" customHeight="1" x14ac:dyDescent="0.25">
      <c r="A60" s="87">
        <v>350</v>
      </c>
      <c r="B60" s="81">
        <v>0.71396000000000004</v>
      </c>
      <c r="C60" s="83">
        <v>2884.4</v>
      </c>
      <c r="D60" s="83">
        <v>3170</v>
      </c>
      <c r="E60" s="82">
        <v>7.7398999999999996</v>
      </c>
      <c r="F60" s="82"/>
      <c r="G60" s="28"/>
    </row>
    <row r="61" spans="1:7" ht="18.75" customHeight="1" x14ac:dyDescent="0.25">
      <c r="A61" s="87">
        <v>360</v>
      </c>
      <c r="B61" s="81">
        <v>0.72572000000000003</v>
      </c>
      <c r="C61" s="83">
        <v>2900.4</v>
      </c>
      <c r="D61" s="83">
        <v>3190.7</v>
      </c>
      <c r="E61" s="82">
        <v>7.7728000000000002</v>
      </c>
      <c r="F61" s="82"/>
      <c r="G61" s="28"/>
    </row>
    <row r="62" spans="1:7" ht="18.75" customHeight="1" x14ac:dyDescent="0.25">
      <c r="A62" s="87">
        <v>370</v>
      </c>
      <c r="B62" s="81">
        <v>0.73746999999999996</v>
      </c>
      <c r="C62" s="83">
        <v>2916.5</v>
      </c>
      <c r="D62" s="83">
        <v>3211.5</v>
      </c>
      <c r="E62" s="82">
        <v>7.8052999999999999</v>
      </c>
      <c r="F62" s="82"/>
      <c r="G62" s="28"/>
    </row>
    <row r="63" spans="1:7" ht="18.75" customHeight="1" x14ac:dyDescent="0.25">
      <c r="A63" s="87">
        <v>380</v>
      </c>
      <c r="B63" s="81">
        <v>0.74921000000000004</v>
      </c>
      <c r="C63" s="83">
        <v>2932.5</v>
      </c>
      <c r="D63" s="83">
        <v>3232.2</v>
      </c>
      <c r="E63" s="82">
        <v>7.8373999999999997</v>
      </c>
      <c r="F63" s="82"/>
      <c r="G63" s="28"/>
    </row>
    <row r="64" spans="1:7" ht="18.75" customHeight="1" x14ac:dyDescent="0.25">
      <c r="A64" s="87">
        <v>390</v>
      </c>
      <c r="B64" s="81">
        <v>0.76093</v>
      </c>
      <c r="C64" s="83">
        <v>2948.6</v>
      </c>
      <c r="D64" s="83">
        <v>3253</v>
      </c>
      <c r="E64" s="82">
        <v>7.8689999999999998</v>
      </c>
      <c r="F64" s="82"/>
      <c r="G64" s="28"/>
    </row>
    <row r="65" spans="1:7" ht="18.75" customHeight="1" x14ac:dyDescent="0.25">
      <c r="A65" s="87">
        <v>400</v>
      </c>
      <c r="B65" s="81">
        <v>0.77263999999999999</v>
      </c>
      <c r="C65" s="83">
        <v>2964.8</v>
      </c>
      <c r="D65" s="83">
        <v>3273.9</v>
      </c>
      <c r="E65" s="82">
        <v>7.9001999999999999</v>
      </c>
      <c r="F65" s="82"/>
      <c r="G65" s="28"/>
    </row>
    <row r="66" spans="1:7" ht="18.75" customHeight="1" x14ac:dyDescent="0.25">
      <c r="A66" s="87">
        <v>410</v>
      </c>
      <c r="B66" s="81">
        <v>0.78434999999999999</v>
      </c>
      <c r="C66" s="83">
        <v>2981.1</v>
      </c>
      <c r="D66" s="83">
        <v>3294.8</v>
      </c>
      <c r="E66" s="82">
        <v>7.9310999999999998</v>
      </c>
      <c r="F66" s="82"/>
      <c r="G66" s="28"/>
    </row>
    <row r="67" spans="1:7" ht="18.75" customHeight="1" x14ac:dyDescent="0.25">
      <c r="A67" s="87">
        <v>420</v>
      </c>
      <c r="B67" s="81">
        <v>0.79605000000000004</v>
      </c>
      <c r="C67" s="83">
        <v>2997.4</v>
      </c>
      <c r="D67" s="83">
        <v>3315.8</v>
      </c>
      <c r="E67" s="82">
        <v>7.9615</v>
      </c>
      <c r="F67" s="82"/>
      <c r="G67" s="28"/>
    </row>
    <row r="68" spans="1:7" ht="18.75" customHeight="1" x14ac:dyDescent="0.25">
      <c r="A68" s="87">
        <v>430</v>
      </c>
      <c r="B68" s="81">
        <v>0.80772999999999995</v>
      </c>
      <c r="C68" s="83">
        <v>3013.7</v>
      </c>
      <c r="D68" s="83">
        <v>3336.8</v>
      </c>
      <c r="E68" s="82">
        <v>7.9916999999999998</v>
      </c>
      <c r="F68" s="82"/>
      <c r="G68" s="28"/>
    </row>
    <row r="69" spans="1:7" ht="18.75" customHeight="1" x14ac:dyDescent="0.25">
      <c r="A69" s="87">
        <v>440</v>
      </c>
      <c r="B69" s="81">
        <v>0.81940999999999997</v>
      </c>
      <c r="C69" s="83">
        <v>3030.1</v>
      </c>
      <c r="D69" s="83">
        <v>3357.9</v>
      </c>
      <c r="E69" s="82">
        <v>8.0213999999999999</v>
      </c>
      <c r="F69" s="82"/>
      <c r="G69" s="28"/>
    </row>
    <row r="70" spans="1:7" ht="18.75" customHeight="1" x14ac:dyDescent="0.25">
      <c r="A70" s="87">
        <v>450</v>
      </c>
      <c r="B70" s="81">
        <v>0.83109</v>
      </c>
      <c r="C70" s="83">
        <v>3046.6</v>
      </c>
      <c r="D70" s="83">
        <v>3379</v>
      </c>
      <c r="E70" s="82">
        <v>8.0508000000000006</v>
      </c>
      <c r="F70" s="82"/>
      <c r="G70" s="28"/>
    </row>
    <row r="71" spans="1:7" ht="18.75" customHeight="1" x14ac:dyDescent="0.25">
      <c r="A71" s="87">
        <v>460</v>
      </c>
      <c r="B71" s="81">
        <v>0.84275</v>
      </c>
      <c r="C71" s="83">
        <v>3063.1</v>
      </c>
      <c r="D71" s="83">
        <v>3400.2</v>
      </c>
      <c r="E71" s="82">
        <v>8.0799000000000003</v>
      </c>
      <c r="F71" s="82"/>
      <c r="G71" s="28"/>
    </row>
    <row r="72" spans="1:7" ht="18.75" customHeight="1" x14ac:dyDescent="0.25">
      <c r="A72" s="87">
        <v>470</v>
      </c>
      <c r="B72" s="81">
        <v>0.85441</v>
      </c>
      <c r="C72" s="83">
        <v>3079.6</v>
      </c>
      <c r="D72" s="83">
        <v>3421.4</v>
      </c>
      <c r="E72" s="82">
        <v>8.1087000000000007</v>
      </c>
      <c r="F72" s="82"/>
      <c r="G72" s="28"/>
    </row>
    <row r="73" spans="1:7" ht="18.75" customHeight="1" x14ac:dyDescent="0.25">
      <c r="A73" s="87">
        <v>480</v>
      </c>
      <c r="B73" s="81">
        <v>0.86607000000000001</v>
      </c>
      <c r="C73" s="83">
        <v>3096.4</v>
      </c>
      <c r="D73" s="83">
        <v>3442.8</v>
      </c>
      <c r="E73" s="82">
        <v>8.1372</v>
      </c>
      <c r="F73" s="82"/>
      <c r="G73" s="28"/>
    </row>
    <row r="74" spans="1:7" ht="18.75" customHeight="1" x14ac:dyDescent="0.25">
      <c r="A74" s="87">
        <v>490</v>
      </c>
      <c r="B74" s="81">
        <v>0.87770999999999999</v>
      </c>
      <c r="C74" s="83">
        <v>3113</v>
      </c>
      <c r="D74" s="83">
        <v>3464.1</v>
      </c>
      <c r="E74" s="82">
        <v>8.1654</v>
      </c>
      <c r="F74" s="82"/>
      <c r="G74" s="28"/>
    </row>
    <row r="75" spans="1:7" ht="18.75" customHeight="1" x14ac:dyDescent="0.25">
      <c r="A75" s="87">
        <v>500</v>
      </c>
      <c r="B75" s="81">
        <v>0.88936000000000004</v>
      </c>
      <c r="C75" s="83">
        <v>3129.8</v>
      </c>
      <c r="D75" s="83">
        <v>3485.5</v>
      </c>
      <c r="E75" s="82">
        <v>8.1933000000000007</v>
      </c>
      <c r="F75" s="82"/>
      <c r="G75" s="28"/>
    </row>
    <row r="76" spans="1:7" ht="18.75" customHeight="1" x14ac:dyDescent="0.25">
      <c r="A76" s="87">
        <v>520</v>
      </c>
      <c r="B76" s="81">
        <v>0.91263000000000005</v>
      </c>
      <c r="C76" s="83">
        <v>3163.5</v>
      </c>
      <c r="D76" s="83">
        <v>3528.6</v>
      </c>
      <c r="E76" s="82">
        <v>8.2482000000000006</v>
      </c>
      <c r="F76" s="82"/>
      <c r="G76" s="28"/>
    </row>
    <row r="77" spans="1:7" ht="18.75" customHeight="1" x14ac:dyDescent="0.25">
      <c r="A77" s="87">
        <v>540</v>
      </c>
      <c r="B77" s="81">
        <v>0.93589</v>
      </c>
      <c r="C77" s="83">
        <v>3197.5</v>
      </c>
      <c r="D77" s="83">
        <v>3571.9</v>
      </c>
      <c r="E77" s="82">
        <v>8.3020999999999994</v>
      </c>
      <c r="F77" s="82"/>
      <c r="G77" s="28"/>
    </row>
    <row r="78" spans="1:7" ht="18.75" customHeight="1" x14ac:dyDescent="0.25">
      <c r="A78" s="87">
        <v>560</v>
      </c>
      <c r="B78" s="81">
        <v>0.95913000000000004</v>
      </c>
      <c r="C78" s="83">
        <v>3231.7</v>
      </c>
      <c r="D78" s="83">
        <v>3615.4</v>
      </c>
      <c r="E78" s="82">
        <v>8.3550000000000004</v>
      </c>
      <c r="F78" s="82"/>
      <c r="G78" s="28"/>
    </row>
    <row r="79" spans="1:7" ht="18.75" customHeight="1" x14ac:dyDescent="0.25">
      <c r="A79" s="87">
        <v>580</v>
      </c>
      <c r="B79" s="81">
        <v>0.98236000000000001</v>
      </c>
      <c r="C79" s="83">
        <v>3266.3</v>
      </c>
      <c r="D79" s="83">
        <v>3659.2</v>
      </c>
      <c r="E79" s="82">
        <v>8.4069000000000003</v>
      </c>
      <c r="F79" s="82"/>
      <c r="G79" s="28"/>
    </row>
    <row r="80" spans="1:7" ht="18.75" customHeight="1" x14ac:dyDescent="0.25">
      <c r="A80" s="87">
        <v>600</v>
      </c>
      <c r="B80" s="82">
        <v>1.0056</v>
      </c>
      <c r="C80" s="83">
        <v>3301</v>
      </c>
      <c r="D80" s="83">
        <v>3703.2</v>
      </c>
      <c r="E80" s="82">
        <v>8.4580000000000002</v>
      </c>
      <c r="F80" s="82"/>
      <c r="G80" s="28"/>
    </row>
    <row r="81" spans="1:7" ht="18.75" customHeight="1" x14ac:dyDescent="0.25">
      <c r="A81" s="87">
        <v>620</v>
      </c>
      <c r="B81" s="82">
        <v>1.0287999999999999</v>
      </c>
      <c r="C81" s="83">
        <v>3336.1</v>
      </c>
      <c r="D81" s="83">
        <v>3747.6</v>
      </c>
      <c r="E81" s="82">
        <v>8.5082000000000004</v>
      </c>
      <c r="F81" s="82"/>
      <c r="G81" s="28"/>
    </row>
    <row r="82" spans="1:7" ht="18.75" customHeight="1" x14ac:dyDescent="0.25">
      <c r="A82" s="87">
        <v>640</v>
      </c>
      <c r="B82" s="82">
        <v>1.052</v>
      </c>
      <c r="C82" s="83">
        <v>3371.4</v>
      </c>
      <c r="D82" s="83">
        <v>3792.2</v>
      </c>
      <c r="E82" s="82">
        <v>8.5576000000000008</v>
      </c>
      <c r="F82" s="82"/>
      <c r="G82" s="28"/>
    </row>
    <row r="83" spans="1:7" ht="18.75" customHeight="1" x14ac:dyDescent="0.25">
      <c r="A83" s="87">
        <v>660</v>
      </c>
      <c r="B83" s="82">
        <v>1.0751999999999999</v>
      </c>
      <c r="C83" s="83">
        <v>3406.9</v>
      </c>
      <c r="D83" s="83">
        <v>3837</v>
      </c>
      <c r="E83" s="82">
        <v>8.6061999999999994</v>
      </c>
      <c r="F83" s="82"/>
      <c r="G83" s="28"/>
    </row>
    <row r="84" spans="1:7" ht="18.75" customHeight="1" x14ac:dyDescent="0.25">
      <c r="A84" s="87">
        <v>680</v>
      </c>
      <c r="B84" s="82">
        <v>1.0983000000000001</v>
      </c>
      <c r="C84" s="83">
        <v>3442.9</v>
      </c>
      <c r="D84" s="83">
        <v>3882.2</v>
      </c>
      <c r="E84" s="82">
        <v>8.6539999999999999</v>
      </c>
      <c r="F84" s="82"/>
      <c r="G84" s="28"/>
    </row>
    <row r="85" spans="1:7" ht="18.75" customHeight="1" x14ac:dyDescent="0.25">
      <c r="A85" s="87">
        <v>700</v>
      </c>
      <c r="B85" s="82">
        <v>1.1214999999999999</v>
      </c>
      <c r="C85" s="83">
        <v>3479</v>
      </c>
      <c r="D85" s="83">
        <v>3927.6</v>
      </c>
      <c r="E85" s="82">
        <v>8.7012</v>
      </c>
      <c r="F85" s="82"/>
      <c r="G85" s="28"/>
    </row>
    <row r="86" spans="1:7" ht="18.75" customHeight="1" x14ac:dyDescent="0.25">
      <c r="A86" s="87">
        <v>720</v>
      </c>
      <c r="B86" s="82">
        <v>1.1447000000000001</v>
      </c>
      <c r="C86" s="83">
        <v>3515.4</v>
      </c>
      <c r="D86" s="83">
        <v>3973.3</v>
      </c>
      <c r="E86" s="82">
        <v>8.7477</v>
      </c>
      <c r="F86" s="82"/>
      <c r="G86" s="28"/>
    </row>
    <row r="87" spans="1:7" ht="18.75" customHeight="1" x14ac:dyDescent="0.25">
      <c r="A87" s="87">
        <v>740</v>
      </c>
      <c r="B87" s="82">
        <v>1.1677999999999999</v>
      </c>
      <c r="C87" s="83">
        <v>3552.2</v>
      </c>
      <c r="D87" s="83">
        <v>4019.3</v>
      </c>
      <c r="E87" s="82">
        <v>8.7934999999999999</v>
      </c>
      <c r="F87" s="82"/>
      <c r="G87" s="28"/>
    </row>
    <row r="88" spans="1:7" ht="18.75" customHeight="1" x14ac:dyDescent="0.25">
      <c r="A88" s="87">
        <v>760</v>
      </c>
      <c r="B88" s="82">
        <v>1.1910000000000001</v>
      </c>
      <c r="C88" s="83">
        <v>3589.1</v>
      </c>
      <c r="D88" s="83">
        <v>4065.5</v>
      </c>
      <c r="E88" s="82">
        <v>8.8386999999999993</v>
      </c>
      <c r="F88" s="82"/>
      <c r="G88" s="28"/>
    </row>
    <row r="89" spans="1:7" ht="18.75" customHeight="1" x14ac:dyDescent="0.25">
      <c r="A89" s="87">
        <v>780</v>
      </c>
      <c r="B89" s="82">
        <v>1.2141999999999999</v>
      </c>
      <c r="C89" s="83">
        <v>3626.3</v>
      </c>
      <c r="D89" s="83">
        <v>4112</v>
      </c>
      <c r="E89" s="82">
        <v>8.8833000000000002</v>
      </c>
      <c r="F89" s="82"/>
      <c r="G89" s="28"/>
    </row>
    <row r="90" spans="1:7" ht="18.75" customHeight="1" x14ac:dyDescent="0.25">
      <c r="A90" s="87">
        <v>800</v>
      </c>
      <c r="B90" s="82">
        <v>1.2373000000000001</v>
      </c>
      <c r="C90" s="83">
        <v>3663.9</v>
      </c>
      <c r="D90" s="83">
        <v>4158.8</v>
      </c>
      <c r="E90" s="82">
        <v>8.9273000000000007</v>
      </c>
      <c r="F90" s="82"/>
      <c r="G90" s="28"/>
    </row>
    <row r="91" spans="1:7" ht="18.75" customHeight="1" x14ac:dyDescent="0.25">
      <c r="A91" s="87">
        <v>820</v>
      </c>
      <c r="B91" s="82">
        <v>1.2604</v>
      </c>
      <c r="C91" s="83">
        <v>3701.7</v>
      </c>
      <c r="D91" s="83">
        <v>4205.8999999999996</v>
      </c>
      <c r="E91" s="82">
        <v>8.9708000000000006</v>
      </c>
      <c r="F91" s="82"/>
      <c r="G91" s="28"/>
    </row>
    <row r="92" spans="1:7" ht="18.75" customHeight="1" x14ac:dyDescent="0.25">
      <c r="A92" s="87">
        <v>840</v>
      </c>
      <c r="B92" s="82">
        <v>1.2836000000000001</v>
      </c>
      <c r="C92" s="83">
        <v>3739.9</v>
      </c>
      <c r="D92" s="83">
        <v>4253.3</v>
      </c>
      <c r="E92" s="82">
        <v>9.0137</v>
      </c>
      <c r="F92" s="82"/>
      <c r="G92" s="28"/>
    </row>
    <row r="93" spans="1:7" ht="18.75" customHeight="1" x14ac:dyDescent="0.25">
      <c r="A93" s="87">
        <v>860</v>
      </c>
      <c r="B93" s="82">
        <v>1.3067</v>
      </c>
      <c r="C93" s="83">
        <v>3778.2</v>
      </c>
      <c r="D93" s="83">
        <v>4300.8999999999996</v>
      </c>
      <c r="E93" s="82">
        <v>9.0561000000000007</v>
      </c>
      <c r="F93" s="82"/>
      <c r="G93" s="28"/>
    </row>
    <row r="94" spans="1:7" ht="18.75" customHeight="1" x14ac:dyDescent="0.25">
      <c r="A94" s="87">
        <v>880</v>
      </c>
      <c r="B94" s="82">
        <v>1.3298000000000001</v>
      </c>
      <c r="C94" s="83">
        <v>3816.9</v>
      </c>
      <c r="D94" s="83">
        <v>4348.8</v>
      </c>
      <c r="E94" s="82">
        <v>9.0980000000000008</v>
      </c>
      <c r="F94" s="82"/>
      <c r="G94" s="28"/>
    </row>
    <row r="95" spans="1:7" ht="18.75" customHeight="1" x14ac:dyDescent="0.25">
      <c r="A95" s="87">
        <v>900</v>
      </c>
      <c r="B95" s="82">
        <v>1.353</v>
      </c>
      <c r="C95" s="83">
        <v>3855.7</v>
      </c>
      <c r="D95" s="83">
        <v>4396.8999999999996</v>
      </c>
      <c r="E95" s="82">
        <v>9.1394000000000002</v>
      </c>
      <c r="F95" s="82"/>
      <c r="G95" s="28"/>
    </row>
    <row r="96" spans="1:7" ht="18.75" customHeight="1" x14ac:dyDescent="0.25">
      <c r="A96" s="87">
        <v>920</v>
      </c>
      <c r="B96" s="82">
        <v>1.3761000000000001</v>
      </c>
      <c r="C96" s="83">
        <v>3894.9</v>
      </c>
      <c r="D96" s="83">
        <v>4445.3</v>
      </c>
      <c r="E96" s="82">
        <v>9.1803000000000008</v>
      </c>
      <c r="F96" s="82"/>
      <c r="G96" s="28"/>
    </row>
    <row r="97" spans="1:7" ht="18.75" customHeight="1" x14ac:dyDescent="0.25">
      <c r="A97" s="87">
        <v>940</v>
      </c>
      <c r="B97" s="82">
        <v>1.3992</v>
      </c>
      <c r="C97" s="83">
        <v>3934.3</v>
      </c>
      <c r="D97" s="83">
        <v>4494</v>
      </c>
      <c r="E97" s="82">
        <v>9.2208000000000006</v>
      </c>
      <c r="F97" s="82"/>
      <c r="G97" s="28"/>
    </row>
    <row r="98" spans="1:7" ht="18.75" customHeight="1" x14ac:dyDescent="0.25">
      <c r="A98" s="87">
        <v>960</v>
      </c>
      <c r="B98" s="82">
        <v>1.4222999999999999</v>
      </c>
      <c r="C98" s="83">
        <v>3974.1</v>
      </c>
      <c r="D98" s="83">
        <v>4543</v>
      </c>
      <c r="E98" s="82">
        <v>9.2607999999999997</v>
      </c>
      <c r="F98" s="82"/>
      <c r="G98" s="28"/>
    </row>
    <row r="99" spans="1:7" ht="18.75" customHeight="1" x14ac:dyDescent="0.25">
      <c r="A99" s="87">
        <v>980</v>
      </c>
      <c r="B99" s="82">
        <v>1.4455</v>
      </c>
      <c r="C99" s="83">
        <v>4014</v>
      </c>
      <c r="D99" s="83">
        <v>4592.2</v>
      </c>
      <c r="E99" s="82">
        <v>9.3003999999999998</v>
      </c>
      <c r="F99" s="82"/>
      <c r="G99" s="28"/>
    </row>
    <row r="100" spans="1:7" ht="13.8" x14ac:dyDescent="0.25">
      <c r="A100" s="87">
        <v>1000</v>
      </c>
      <c r="B100" s="82">
        <v>1.4685999999999999</v>
      </c>
      <c r="C100" s="83">
        <v>4054.3</v>
      </c>
      <c r="D100" s="83">
        <v>4641.7</v>
      </c>
      <c r="E100" s="82">
        <v>9.3396000000000008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H100"/>
  <sheetViews>
    <sheetView topLeftCell="A14" workbookViewId="0">
      <selection activeCell="A35" sqref="A35:XFD35"/>
    </sheetView>
  </sheetViews>
  <sheetFormatPr defaultRowHeight="13.2" x14ac:dyDescent="0.25"/>
  <cols>
    <col min="1" max="1" width="7.44140625" customWidth="1"/>
    <col min="2" max="2" width="11.77734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57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450</v>
      </c>
      <c r="G2" s="28"/>
      <c r="H2" s="28"/>
    </row>
    <row r="3" spans="1:8" ht="18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9.9997999999999992E-4</v>
      </c>
      <c r="C5" s="80">
        <v>-0.03</v>
      </c>
      <c r="D5" s="80">
        <v>0.42</v>
      </c>
      <c r="E5" s="81">
        <v>-1.2E-4</v>
      </c>
      <c r="F5" s="81"/>
      <c r="G5" s="28"/>
      <c r="H5" s="28"/>
    </row>
    <row r="6" spans="1:8" ht="18.75" customHeight="1" x14ac:dyDescent="0.25">
      <c r="A6" s="87">
        <v>5</v>
      </c>
      <c r="B6" s="79">
        <v>9.9985999999999998E-4</v>
      </c>
      <c r="C6" s="80">
        <v>21.02</v>
      </c>
      <c r="D6" s="80">
        <v>21.47</v>
      </c>
      <c r="E6" s="81">
        <v>7.6249999999999998E-2</v>
      </c>
      <c r="F6" s="81"/>
      <c r="G6" s="28"/>
      <c r="H6" s="28"/>
    </row>
    <row r="7" spans="1:8" ht="18.75" customHeight="1" x14ac:dyDescent="0.25">
      <c r="A7" s="87">
        <v>10</v>
      </c>
      <c r="B7" s="79">
        <v>1.0001299999999999E-3</v>
      </c>
      <c r="C7" s="80">
        <v>42.01</v>
      </c>
      <c r="D7" s="80">
        <v>42.46</v>
      </c>
      <c r="E7" s="81">
        <v>0.15104999999999999</v>
      </c>
      <c r="F7" s="81"/>
      <c r="G7" s="28"/>
      <c r="H7" s="28"/>
    </row>
    <row r="8" spans="1:8" ht="18.75" customHeight="1" x14ac:dyDescent="0.25">
      <c r="A8" s="87">
        <v>15</v>
      </c>
      <c r="B8" s="79">
        <v>1.00074E-3</v>
      </c>
      <c r="C8" s="80">
        <v>62.96</v>
      </c>
      <c r="D8" s="80">
        <v>63.41</v>
      </c>
      <c r="E8" s="81">
        <v>0.22439999999999999</v>
      </c>
      <c r="F8" s="81"/>
      <c r="G8" s="28"/>
      <c r="H8" s="28"/>
    </row>
    <row r="9" spans="1:8" ht="18.75" customHeight="1" x14ac:dyDescent="0.25">
      <c r="A9" s="87">
        <v>20</v>
      </c>
      <c r="B9" s="79">
        <v>1.00164E-3</v>
      </c>
      <c r="C9" s="80">
        <v>83.89</v>
      </c>
      <c r="D9" s="80">
        <v>84.34</v>
      </c>
      <c r="E9" s="81">
        <v>0.29638999999999999</v>
      </c>
      <c r="F9" s="81"/>
      <c r="G9" s="28"/>
    </row>
    <row r="10" spans="1:8" ht="18.75" customHeight="1" x14ac:dyDescent="0.25">
      <c r="A10" s="87">
        <v>25</v>
      </c>
      <c r="B10" s="79">
        <v>1.0028000000000001E-3</v>
      </c>
      <c r="C10" s="80">
        <v>104.79</v>
      </c>
      <c r="D10" s="80">
        <v>105.24</v>
      </c>
      <c r="E10" s="81">
        <v>0.36710999999999999</v>
      </c>
      <c r="F10" s="81"/>
      <c r="G10" s="28"/>
    </row>
    <row r="11" spans="1:8" ht="18.75" customHeight="1" x14ac:dyDescent="0.25">
      <c r="A11" s="87">
        <v>30</v>
      </c>
      <c r="B11" s="79">
        <v>1.00421E-3</v>
      </c>
      <c r="C11" s="80">
        <v>125.69</v>
      </c>
      <c r="D11" s="80">
        <v>126.14</v>
      </c>
      <c r="E11" s="81">
        <v>0.43662000000000001</v>
      </c>
      <c r="F11" s="81"/>
      <c r="G11" s="28"/>
    </row>
    <row r="12" spans="1:8" ht="18.75" customHeight="1" x14ac:dyDescent="0.25">
      <c r="A12" s="87">
        <v>35</v>
      </c>
      <c r="B12" s="79">
        <v>1.00585E-3</v>
      </c>
      <c r="C12" s="80">
        <v>146.58000000000001</v>
      </c>
      <c r="D12" s="80">
        <v>147.03</v>
      </c>
      <c r="E12" s="81">
        <v>0.50497999999999998</v>
      </c>
      <c r="F12" s="81"/>
      <c r="G12" s="28"/>
    </row>
    <row r="13" spans="1:8" ht="18.75" customHeight="1" x14ac:dyDescent="0.25">
      <c r="A13" s="87">
        <v>40</v>
      </c>
      <c r="B13" s="79">
        <v>1.0076900000000001E-3</v>
      </c>
      <c r="C13" s="80">
        <v>167.48</v>
      </c>
      <c r="D13" s="80">
        <v>167.93</v>
      </c>
      <c r="E13" s="81">
        <v>0.57223000000000002</v>
      </c>
      <c r="F13" s="81"/>
      <c r="G13" s="28"/>
    </row>
    <row r="14" spans="1:8" ht="18.75" customHeight="1" x14ac:dyDescent="0.25">
      <c r="A14" s="87">
        <v>45</v>
      </c>
      <c r="B14" s="79">
        <v>1.0097299999999999E-3</v>
      </c>
      <c r="C14" s="80">
        <v>188.37</v>
      </c>
      <c r="D14" s="80">
        <v>188.82</v>
      </c>
      <c r="E14" s="81">
        <v>0.63843000000000005</v>
      </c>
      <c r="F14" s="81"/>
      <c r="G14" s="28"/>
    </row>
    <row r="15" spans="1:8" ht="18.75" customHeight="1" x14ac:dyDescent="0.25">
      <c r="A15" s="87">
        <v>50</v>
      </c>
      <c r="B15" s="79">
        <v>1.01195E-3</v>
      </c>
      <c r="C15" s="80">
        <v>209.26</v>
      </c>
      <c r="D15" s="80">
        <v>209.72</v>
      </c>
      <c r="E15" s="81">
        <v>0.70360999999999996</v>
      </c>
      <c r="F15" s="81"/>
      <c r="G15" s="28"/>
    </row>
    <row r="16" spans="1:8" ht="18.75" customHeight="1" x14ac:dyDescent="0.25">
      <c r="A16" s="87">
        <v>55</v>
      </c>
      <c r="B16" s="79">
        <v>1.01436E-3</v>
      </c>
      <c r="C16" s="80">
        <v>230.17</v>
      </c>
      <c r="D16" s="80">
        <v>230.63</v>
      </c>
      <c r="E16" s="81">
        <v>0.76780999999999999</v>
      </c>
      <c r="F16" s="81"/>
      <c r="G16" s="28"/>
    </row>
    <row r="17" spans="1:7" ht="18.75" customHeight="1" x14ac:dyDescent="0.25">
      <c r="A17" s="87">
        <v>60</v>
      </c>
      <c r="B17" s="79">
        <v>1.0169300000000001E-3</v>
      </c>
      <c r="C17" s="80">
        <v>251.08</v>
      </c>
      <c r="D17" s="80">
        <v>251.54</v>
      </c>
      <c r="E17" s="81">
        <v>0.83106000000000002</v>
      </c>
      <c r="F17" s="81"/>
      <c r="G17" s="28"/>
    </row>
    <row r="18" spans="1:7" ht="18.75" customHeight="1" x14ac:dyDescent="0.25">
      <c r="A18" s="87">
        <v>65</v>
      </c>
      <c r="B18" s="79">
        <v>1.01968E-3</v>
      </c>
      <c r="C18" s="80">
        <v>272.01</v>
      </c>
      <c r="D18" s="80">
        <v>272.47000000000003</v>
      </c>
      <c r="E18" s="81">
        <v>0.89341000000000004</v>
      </c>
      <c r="F18" s="81"/>
      <c r="G18" s="28"/>
    </row>
    <row r="19" spans="1:7" ht="18.75" customHeight="1" x14ac:dyDescent="0.25">
      <c r="A19" s="87">
        <v>70</v>
      </c>
      <c r="B19" s="79">
        <v>1.0225799999999999E-3</v>
      </c>
      <c r="C19" s="80">
        <v>292.95</v>
      </c>
      <c r="D19" s="80">
        <v>293.41000000000003</v>
      </c>
      <c r="E19" s="81">
        <v>0.95487999999999995</v>
      </c>
      <c r="F19" s="81"/>
      <c r="G19" s="28"/>
    </row>
    <row r="20" spans="1:7" ht="18.75" customHeight="1" x14ac:dyDescent="0.25">
      <c r="A20" s="87">
        <v>75</v>
      </c>
      <c r="B20" s="79">
        <v>1.02564E-3</v>
      </c>
      <c r="C20" s="80">
        <v>313.89999999999998</v>
      </c>
      <c r="D20" s="80">
        <v>314.36</v>
      </c>
      <c r="E20" s="82">
        <v>1.0155000000000001</v>
      </c>
      <c r="F20" s="82"/>
      <c r="G20" s="28"/>
    </row>
    <row r="21" spans="1:7" ht="18.75" customHeight="1" x14ac:dyDescent="0.25">
      <c r="A21" s="87">
        <v>80</v>
      </c>
      <c r="B21" s="79">
        <v>1.0288599999999999E-3</v>
      </c>
      <c r="C21" s="80">
        <v>334.87</v>
      </c>
      <c r="D21" s="80">
        <v>335.33</v>
      </c>
      <c r="E21" s="82">
        <v>1.0752999999999999</v>
      </c>
      <c r="F21" s="82"/>
      <c r="G21" s="28"/>
    </row>
    <row r="22" spans="1:7" ht="18.75" customHeight="1" x14ac:dyDescent="0.25">
      <c r="A22" s="87">
        <v>85</v>
      </c>
      <c r="B22" s="79">
        <v>1.03224E-3</v>
      </c>
      <c r="C22" s="80">
        <v>355.86</v>
      </c>
      <c r="D22" s="80">
        <v>356.32</v>
      </c>
      <c r="E22" s="82">
        <v>1.1343000000000001</v>
      </c>
      <c r="F22" s="82"/>
      <c r="G22" s="28"/>
    </row>
    <row r="23" spans="1:7" ht="18.75" customHeight="1" x14ac:dyDescent="0.25">
      <c r="A23" s="87">
        <v>90</v>
      </c>
      <c r="B23" s="79">
        <v>1.0357700000000001E-3</v>
      </c>
      <c r="C23" s="80">
        <v>376.86</v>
      </c>
      <c r="D23" s="80">
        <v>377.33</v>
      </c>
      <c r="E23" s="82">
        <v>1.1926000000000001</v>
      </c>
      <c r="F23" s="82"/>
      <c r="G23" s="28"/>
    </row>
    <row r="24" spans="1:7" ht="18.75" customHeight="1" x14ac:dyDescent="0.25">
      <c r="A24" s="87">
        <v>95</v>
      </c>
      <c r="B24" s="79">
        <v>1.0394499999999999E-3</v>
      </c>
      <c r="C24" s="80">
        <v>397.9</v>
      </c>
      <c r="D24" s="80">
        <v>398.37</v>
      </c>
      <c r="E24" s="82">
        <v>1.2501</v>
      </c>
      <c r="F24" s="82"/>
      <c r="G24" s="28"/>
    </row>
    <row r="25" spans="1:7" ht="18.75" customHeight="1" x14ac:dyDescent="0.25">
      <c r="A25" s="87">
        <v>100</v>
      </c>
      <c r="B25" s="79">
        <v>1.0432799999999999E-3</v>
      </c>
      <c r="C25" s="80">
        <v>418.96</v>
      </c>
      <c r="D25" s="80">
        <v>419.43</v>
      </c>
      <c r="E25" s="82">
        <v>1.3069</v>
      </c>
      <c r="F25" s="82"/>
      <c r="G25" s="28"/>
    </row>
    <row r="26" spans="1:7" ht="18.75" customHeight="1" x14ac:dyDescent="0.25">
      <c r="A26" s="87">
        <v>105</v>
      </c>
      <c r="B26" s="79">
        <v>1.0472700000000001E-3</v>
      </c>
      <c r="C26" s="80">
        <v>440.05</v>
      </c>
      <c r="D26" s="80">
        <v>440.52</v>
      </c>
      <c r="E26" s="82">
        <v>1.3631</v>
      </c>
      <c r="F26" s="82"/>
      <c r="G26" s="28"/>
    </row>
    <row r="27" spans="1:7" ht="18.75" customHeight="1" x14ac:dyDescent="0.25">
      <c r="A27" s="87">
        <v>110</v>
      </c>
      <c r="B27" s="79">
        <v>1.05142E-3</v>
      </c>
      <c r="C27" s="80">
        <v>461.17</v>
      </c>
      <c r="D27" s="80">
        <v>461.64</v>
      </c>
      <c r="E27" s="82">
        <v>1.4186000000000001</v>
      </c>
      <c r="F27" s="82"/>
      <c r="G27" s="28"/>
    </row>
    <row r="28" spans="1:7" ht="18.75" customHeight="1" x14ac:dyDescent="0.25">
      <c r="A28" s="87">
        <v>115</v>
      </c>
      <c r="B28" s="79">
        <v>1.05572E-3</v>
      </c>
      <c r="C28" s="80">
        <v>482.31</v>
      </c>
      <c r="D28" s="80">
        <v>482.79</v>
      </c>
      <c r="E28" s="82">
        <v>1.4734</v>
      </c>
      <c r="F28" s="82"/>
      <c r="G28" s="28"/>
    </row>
    <row r="29" spans="1:7" ht="18.75" customHeight="1" x14ac:dyDescent="0.25">
      <c r="A29" s="87">
        <v>120</v>
      </c>
      <c r="B29" s="79">
        <v>1.06018E-3</v>
      </c>
      <c r="C29" s="80">
        <v>503.51</v>
      </c>
      <c r="D29" s="80">
        <v>503.99</v>
      </c>
      <c r="E29" s="82">
        <v>1.5277000000000001</v>
      </c>
      <c r="F29" s="82"/>
      <c r="G29" s="28"/>
    </row>
    <row r="30" spans="1:7" ht="18.75" customHeight="1" x14ac:dyDescent="0.25">
      <c r="A30" s="87">
        <v>125</v>
      </c>
      <c r="B30" s="79">
        <v>1.06481E-3</v>
      </c>
      <c r="C30" s="80">
        <v>524.74</v>
      </c>
      <c r="D30" s="80">
        <v>525.22</v>
      </c>
      <c r="E30" s="82">
        <v>1.5813999999999999</v>
      </c>
      <c r="F30" s="82"/>
      <c r="G30" s="28"/>
    </row>
    <row r="31" spans="1:7" ht="18.75" customHeight="1" x14ac:dyDescent="0.25">
      <c r="A31" s="87">
        <v>130</v>
      </c>
      <c r="B31" s="79">
        <v>1.0696E-3</v>
      </c>
      <c r="C31" s="80">
        <v>546.03</v>
      </c>
      <c r="D31" s="80">
        <v>546.51</v>
      </c>
      <c r="E31" s="82">
        <v>1.6345000000000001</v>
      </c>
      <c r="F31" s="82"/>
      <c r="G31" s="28"/>
    </row>
    <row r="32" spans="1:7" ht="18.75" customHeight="1" x14ac:dyDescent="0.25">
      <c r="A32" s="87">
        <v>135</v>
      </c>
      <c r="B32" s="79">
        <v>1.07456E-3</v>
      </c>
      <c r="C32" s="80">
        <v>567.36</v>
      </c>
      <c r="D32" s="80">
        <v>567.84</v>
      </c>
      <c r="E32" s="82">
        <v>1.6871</v>
      </c>
      <c r="F32" s="82"/>
      <c r="G32" s="28"/>
    </row>
    <row r="33" spans="1:7" ht="18.75" customHeight="1" x14ac:dyDescent="0.25">
      <c r="A33" s="87">
        <v>140</v>
      </c>
      <c r="B33" s="79">
        <v>1.0797000000000001E-3</v>
      </c>
      <c r="C33" s="80">
        <v>588.73</v>
      </c>
      <c r="D33" s="80">
        <v>589.22</v>
      </c>
      <c r="E33" s="82">
        <v>1.7391000000000001</v>
      </c>
      <c r="F33" s="82"/>
      <c r="G33" s="28"/>
    </row>
    <row r="34" spans="1:7" ht="18.75" customHeight="1" x14ac:dyDescent="0.25">
      <c r="A34" s="87">
        <v>145</v>
      </c>
      <c r="B34" s="79">
        <v>1.0850199999999999E-3</v>
      </c>
      <c r="C34" s="80">
        <v>610.16999999999996</v>
      </c>
      <c r="D34" s="80">
        <v>610.66</v>
      </c>
      <c r="E34" s="82">
        <v>1.7907</v>
      </c>
      <c r="F34" s="82"/>
      <c r="G34" s="28"/>
    </row>
    <row r="35" spans="1:7" ht="18.75" customHeight="1" x14ac:dyDescent="0.25">
      <c r="A35" s="87">
        <v>150</v>
      </c>
      <c r="B35" s="81">
        <v>0.41642000000000001</v>
      </c>
      <c r="C35" s="83">
        <v>2560.9</v>
      </c>
      <c r="D35" s="83">
        <v>2748.3</v>
      </c>
      <c r="E35" s="82">
        <v>6.8677999999999999</v>
      </c>
      <c r="F35" s="82"/>
      <c r="G35" s="28"/>
    </row>
    <row r="36" spans="1:7" ht="18.75" customHeight="1" x14ac:dyDescent="0.25">
      <c r="A36" s="87">
        <v>155</v>
      </c>
      <c r="B36" s="81">
        <v>0.42237000000000002</v>
      </c>
      <c r="C36" s="83">
        <v>2569.8000000000002</v>
      </c>
      <c r="D36" s="83">
        <v>2759.9</v>
      </c>
      <c r="E36" s="82">
        <v>6.8949999999999996</v>
      </c>
      <c r="F36" s="82"/>
      <c r="G36" s="28"/>
    </row>
    <row r="37" spans="1:7" ht="18.75" customHeight="1" x14ac:dyDescent="0.25">
      <c r="A37" s="87">
        <v>160</v>
      </c>
      <c r="B37" s="81">
        <v>0.42825000000000002</v>
      </c>
      <c r="C37" s="83">
        <v>2578.6</v>
      </c>
      <c r="D37" s="83">
        <v>2771.3</v>
      </c>
      <c r="E37" s="82">
        <v>6.9215</v>
      </c>
      <c r="F37" s="82"/>
      <c r="G37" s="28"/>
    </row>
    <row r="38" spans="1:7" ht="18.75" customHeight="1" x14ac:dyDescent="0.25">
      <c r="A38" s="87">
        <v>165</v>
      </c>
      <c r="B38" s="81">
        <v>0.43406</v>
      </c>
      <c r="C38" s="83">
        <v>2587.3000000000002</v>
      </c>
      <c r="D38" s="83">
        <v>2782.6</v>
      </c>
      <c r="E38" s="82">
        <v>6.9473000000000003</v>
      </c>
      <c r="F38" s="82"/>
      <c r="G38" s="28"/>
    </row>
    <row r="39" spans="1:7" ht="18.75" customHeight="1" x14ac:dyDescent="0.25">
      <c r="A39" s="87">
        <v>170</v>
      </c>
      <c r="B39" s="81">
        <v>0.43983</v>
      </c>
      <c r="C39" s="83">
        <v>2595.8000000000002</v>
      </c>
      <c r="D39" s="83">
        <v>2793.7</v>
      </c>
      <c r="E39" s="82">
        <v>6.9725000000000001</v>
      </c>
      <c r="F39" s="82"/>
      <c r="G39" s="28"/>
    </row>
    <row r="40" spans="1:7" ht="18.75" customHeight="1" x14ac:dyDescent="0.25">
      <c r="A40" s="87">
        <v>175</v>
      </c>
      <c r="B40" s="81">
        <v>0.44555</v>
      </c>
      <c r="C40" s="83">
        <v>2604.1999999999998</v>
      </c>
      <c r="D40" s="83">
        <v>2804.7</v>
      </c>
      <c r="E40" s="82">
        <v>6.9970999999999997</v>
      </c>
      <c r="F40" s="82"/>
      <c r="G40" s="28"/>
    </row>
    <row r="41" spans="1:7" ht="18.75" customHeight="1" x14ac:dyDescent="0.25">
      <c r="A41" s="87">
        <v>180</v>
      </c>
      <c r="B41" s="81">
        <v>0.45123000000000002</v>
      </c>
      <c r="C41" s="83">
        <v>2612.4</v>
      </c>
      <c r="D41" s="83">
        <v>2815.5</v>
      </c>
      <c r="E41" s="82">
        <v>7.0213000000000001</v>
      </c>
      <c r="F41" s="82"/>
      <c r="G41" s="28"/>
    </row>
    <row r="42" spans="1:7" ht="18.75" customHeight="1" x14ac:dyDescent="0.25">
      <c r="A42" s="87">
        <v>185</v>
      </c>
      <c r="B42" s="81">
        <v>0.45687</v>
      </c>
      <c r="C42" s="83">
        <v>2620.8000000000002</v>
      </c>
      <c r="D42" s="83">
        <v>2826.4</v>
      </c>
      <c r="E42" s="82">
        <v>7.0449999999999999</v>
      </c>
      <c r="F42" s="82"/>
      <c r="G42" s="28"/>
    </row>
    <row r="43" spans="1:7" ht="18.75" customHeight="1" x14ac:dyDescent="0.25">
      <c r="A43" s="87">
        <v>190</v>
      </c>
      <c r="B43" s="81">
        <v>0.46248</v>
      </c>
      <c r="C43" s="83">
        <v>2629</v>
      </c>
      <c r="D43" s="83">
        <v>2837.1</v>
      </c>
      <c r="E43" s="82">
        <v>7.0682999999999998</v>
      </c>
      <c r="F43" s="82"/>
      <c r="G43" s="28"/>
    </row>
    <row r="44" spans="1:7" ht="18.75" customHeight="1" x14ac:dyDescent="0.25">
      <c r="A44" s="87">
        <v>195</v>
      </c>
      <c r="B44" s="81">
        <v>0.46805999999999998</v>
      </c>
      <c r="C44" s="83">
        <v>2637.2</v>
      </c>
      <c r="D44" s="83">
        <v>2847.8</v>
      </c>
      <c r="E44" s="82">
        <v>7.0913000000000004</v>
      </c>
      <c r="F44" s="82"/>
      <c r="G44" s="28"/>
    </row>
    <row r="45" spans="1:7" ht="18.75" customHeight="1" x14ac:dyDescent="0.25">
      <c r="A45" s="87">
        <v>200</v>
      </c>
      <c r="B45" s="81">
        <v>0.47361999999999999</v>
      </c>
      <c r="C45" s="83">
        <v>2645.3</v>
      </c>
      <c r="D45" s="83">
        <v>2858.4</v>
      </c>
      <c r="E45" s="82">
        <v>7.1138000000000003</v>
      </c>
      <c r="F45" s="82"/>
      <c r="G45" s="28"/>
    </row>
    <row r="46" spans="1:7" ht="18.75" customHeight="1" x14ac:dyDescent="0.25">
      <c r="A46" s="87">
        <v>210</v>
      </c>
      <c r="B46" s="81">
        <v>0.48465999999999998</v>
      </c>
      <c r="C46" s="83">
        <v>2661.4</v>
      </c>
      <c r="D46" s="83">
        <v>2879.5</v>
      </c>
      <c r="E46" s="82">
        <v>7.1580000000000004</v>
      </c>
      <c r="F46" s="82"/>
      <c r="G46" s="28"/>
    </row>
    <row r="47" spans="1:7" ht="18.75" customHeight="1" x14ac:dyDescent="0.25">
      <c r="A47" s="87">
        <v>220</v>
      </c>
      <c r="B47" s="81">
        <v>0.49560999999999999</v>
      </c>
      <c r="C47" s="83">
        <v>2677.5</v>
      </c>
      <c r="D47" s="83">
        <v>2900.5</v>
      </c>
      <c r="E47" s="82">
        <v>7.2008999999999999</v>
      </c>
      <c r="F47" s="82"/>
      <c r="G47" s="28"/>
    </row>
    <row r="48" spans="1:7" ht="18.75" customHeight="1" x14ac:dyDescent="0.25">
      <c r="A48" s="87">
        <v>230</v>
      </c>
      <c r="B48" s="81">
        <v>0.50649999999999995</v>
      </c>
      <c r="C48" s="83">
        <v>2693.4</v>
      </c>
      <c r="D48" s="83">
        <v>2921.3</v>
      </c>
      <c r="E48" s="82">
        <v>7.2427999999999999</v>
      </c>
      <c r="F48" s="82"/>
      <c r="G48" s="28"/>
    </row>
    <row r="49" spans="1:7" ht="18.75" customHeight="1" x14ac:dyDescent="0.25">
      <c r="A49" s="87">
        <v>240</v>
      </c>
      <c r="B49" s="81">
        <v>0.51732999999999996</v>
      </c>
      <c r="C49" s="83">
        <v>2709.3</v>
      </c>
      <c r="D49" s="83">
        <v>2942.1</v>
      </c>
      <c r="E49" s="82">
        <v>7.2835999999999999</v>
      </c>
      <c r="F49" s="82"/>
      <c r="G49" s="28"/>
    </row>
    <row r="50" spans="1:7" ht="18.75" customHeight="1" x14ac:dyDescent="0.25">
      <c r="A50" s="87">
        <v>250</v>
      </c>
      <c r="B50" s="81">
        <v>0.52810999999999997</v>
      </c>
      <c r="C50" s="83">
        <v>2725.2</v>
      </c>
      <c r="D50" s="83">
        <v>2962.8</v>
      </c>
      <c r="E50" s="82">
        <v>7.3235000000000001</v>
      </c>
      <c r="F50" s="82"/>
      <c r="G50" s="28"/>
    </row>
    <row r="51" spans="1:7" ht="18.75" customHeight="1" x14ac:dyDescent="0.25">
      <c r="A51" s="87">
        <v>260</v>
      </c>
      <c r="B51" s="81">
        <v>0.53883999999999999</v>
      </c>
      <c r="C51" s="83">
        <v>2740.9</v>
      </c>
      <c r="D51" s="83">
        <v>2983.4</v>
      </c>
      <c r="E51" s="82">
        <v>7.3625999999999996</v>
      </c>
      <c r="F51" s="82"/>
      <c r="G51" s="28"/>
    </row>
    <row r="52" spans="1:7" ht="18.75" customHeight="1" x14ac:dyDescent="0.25">
      <c r="A52" s="87">
        <v>270</v>
      </c>
      <c r="B52" s="81">
        <v>0.54952999999999996</v>
      </c>
      <c r="C52" s="83">
        <v>2756.7</v>
      </c>
      <c r="D52" s="83">
        <v>3004</v>
      </c>
      <c r="E52" s="82">
        <v>7.4009999999999998</v>
      </c>
      <c r="F52" s="82"/>
      <c r="G52" s="28"/>
    </row>
    <row r="53" spans="1:7" ht="18.75" customHeight="1" x14ac:dyDescent="0.25">
      <c r="A53" s="87">
        <v>280</v>
      </c>
      <c r="B53" s="81">
        <v>0.56018000000000001</v>
      </c>
      <c r="C53" s="83">
        <v>2772.5</v>
      </c>
      <c r="D53" s="83">
        <v>3024.6</v>
      </c>
      <c r="E53" s="82">
        <v>7.4385000000000003</v>
      </c>
      <c r="F53" s="82"/>
      <c r="G53" s="28"/>
    </row>
    <row r="54" spans="1:7" ht="18.75" customHeight="1" x14ac:dyDescent="0.25">
      <c r="A54" s="87">
        <v>290</v>
      </c>
      <c r="B54" s="81">
        <v>0.57081000000000004</v>
      </c>
      <c r="C54" s="83">
        <v>2788.3</v>
      </c>
      <c r="D54" s="83">
        <v>3045.2</v>
      </c>
      <c r="E54" s="82">
        <v>7.4753999999999996</v>
      </c>
      <c r="F54" s="82"/>
      <c r="G54" s="28"/>
    </row>
    <row r="55" spans="1:7" ht="18.75" customHeight="1" x14ac:dyDescent="0.25">
      <c r="A55" s="87">
        <v>300</v>
      </c>
      <c r="B55" s="81">
        <v>0.58140000000000003</v>
      </c>
      <c r="C55" s="83">
        <v>2804.2</v>
      </c>
      <c r="D55" s="83">
        <v>3065.8</v>
      </c>
      <c r="E55" s="82">
        <v>7.5117000000000003</v>
      </c>
      <c r="F55" s="82"/>
      <c r="G55" s="28"/>
    </row>
    <row r="56" spans="1:7" ht="18.75" customHeight="1" x14ac:dyDescent="0.25">
      <c r="A56" s="87">
        <v>310</v>
      </c>
      <c r="B56" s="81">
        <v>0.59197999999999995</v>
      </c>
      <c r="C56" s="83">
        <v>2820</v>
      </c>
      <c r="D56" s="83">
        <v>3086.4</v>
      </c>
      <c r="E56" s="82">
        <v>7.5472999999999999</v>
      </c>
      <c r="F56" s="82"/>
      <c r="G56" s="28"/>
    </row>
    <row r="57" spans="1:7" ht="18.75" customHeight="1" x14ac:dyDescent="0.25">
      <c r="A57" s="87">
        <v>320</v>
      </c>
      <c r="B57" s="81">
        <v>0.60253000000000001</v>
      </c>
      <c r="C57" s="83">
        <v>2835.9</v>
      </c>
      <c r="D57" s="83">
        <v>3107</v>
      </c>
      <c r="E57" s="82">
        <v>7.5823999999999998</v>
      </c>
      <c r="F57" s="82"/>
      <c r="G57" s="28"/>
    </row>
    <row r="58" spans="1:7" ht="18.75" customHeight="1" x14ac:dyDescent="0.25">
      <c r="A58" s="87">
        <v>330</v>
      </c>
      <c r="B58" s="81">
        <v>0.61306000000000005</v>
      </c>
      <c r="C58" s="83">
        <v>2851.8</v>
      </c>
      <c r="D58" s="83">
        <v>3127.7</v>
      </c>
      <c r="E58" s="82">
        <v>7.6169000000000002</v>
      </c>
      <c r="F58" s="82"/>
      <c r="G58" s="28"/>
    </row>
    <row r="59" spans="1:7" ht="18.75" customHeight="1" x14ac:dyDescent="0.25">
      <c r="A59" s="87">
        <v>340</v>
      </c>
      <c r="B59" s="81">
        <v>0.62356999999999996</v>
      </c>
      <c r="C59" s="83">
        <v>2867.8</v>
      </c>
      <c r="D59" s="83">
        <v>3148.4</v>
      </c>
      <c r="E59" s="82">
        <v>7.6509</v>
      </c>
      <c r="F59" s="82"/>
      <c r="G59" s="28"/>
    </row>
    <row r="60" spans="1:7" ht="18.75" customHeight="1" x14ac:dyDescent="0.25">
      <c r="A60" s="87">
        <v>350</v>
      </c>
      <c r="B60" s="81">
        <v>0.63407000000000002</v>
      </c>
      <c r="C60" s="83">
        <v>2883.8</v>
      </c>
      <c r="D60" s="83">
        <v>3169.1</v>
      </c>
      <c r="E60" s="82">
        <v>7.6844000000000001</v>
      </c>
      <c r="F60" s="82"/>
      <c r="G60" s="28"/>
    </row>
    <row r="61" spans="1:7" ht="18.75" customHeight="1" x14ac:dyDescent="0.25">
      <c r="A61" s="87">
        <v>360</v>
      </c>
      <c r="B61" s="81">
        <v>0.64454999999999996</v>
      </c>
      <c r="C61" s="83">
        <v>2899.8</v>
      </c>
      <c r="D61" s="83">
        <v>3189.8</v>
      </c>
      <c r="E61" s="82">
        <v>7.7173999999999996</v>
      </c>
      <c r="F61" s="82"/>
      <c r="G61" s="28"/>
    </row>
    <row r="62" spans="1:7" ht="18.75" customHeight="1" x14ac:dyDescent="0.25">
      <c r="A62" s="87">
        <v>370</v>
      </c>
      <c r="B62" s="81">
        <v>0.65500999999999998</v>
      </c>
      <c r="C62" s="83">
        <v>2915.8</v>
      </c>
      <c r="D62" s="83">
        <v>3210.6</v>
      </c>
      <c r="E62" s="82">
        <v>7.7499000000000002</v>
      </c>
      <c r="F62" s="82"/>
      <c r="G62" s="28"/>
    </row>
    <row r="63" spans="1:7" ht="18.75" customHeight="1" x14ac:dyDescent="0.25">
      <c r="A63" s="87">
        <v>380</v>
      </c>
      <c r="B63" s="81">
        <v>0.66547000000000001</v>
      </c>
      <c r="C63" s="83">
        <v>2931.9</v>
      </c>
      <c r="D63" s="83">
        <v>3231.4</v>
      </c>
      <c r="E63" s="82">
        <v>7.782</v>
      </c>
      <c r="F63" s="82"/>
      <c r="G63" s="28"/>
    </row>
    <row r="64" spans="1:7" ht="18.75" customHeight="1" x14ac:dyDescent="0.25">
      <c r="A64" s="87">
        <v>390</v>
      </c>
      <c r="B64" s="81">
        <v>0.67591000000000001</v>
      </c>
      <c r="C64" s="83">
        <v>2948</v>
      </c>
      <c r="D64" s="83">
        <v>3252.2</v>
      </c>
      <c r="E64" s="82">
        <v>7.8136999999999999</v>
      </c>
      <c r="F64" s="82"/>
      <c r="G64" s="28"/>
    </row>
    <row r="65" spans="1:7" ht="18.75" customHeight="1" x14ac:dyDescent="0.25">
      <c r="A65" s="87">
        <v>400</v>
      </c>
      <c r="B65" s="81">
        <v>0.68633999999999995</v>
      </c>
      <c r="C65" s="83">
        <v>2964.2</v>
      </c>
      <c r="D65" s="83">
        <v>3273.1</v>
      </c>
      <c r="E65" s="82">
        <v>7.8449999999999998</v>
      </c>
      <c r="F65" s="82"/>
      <c r="G65" s="28"/>
    </row>
    <row r="66" spans="1:7" ht="18.75" customHeight="1" x14ac:dyDescent="0.25">
      <c r="A66" s="87">
        <v>410</v>
      </c>
      <c r="B66" s="81">
        <v>0.69677</v>
      </c>
      <c r="C66" s="83">
        <v>2980.6</v>
      </c>
      <c r="D66" s="83">
        <v>3294.1</v>
      </c>
      <c r="E66" s="82">
        <v>7.8758999999999997</v>
      </c>
      <c r="F66" s="82"/>
      <c r="G66" s="28"/>
    </row>
    <row r="67" spans="1:7" ht="18.75" customHeight="1" x14ac:dyDescent="0.25">
      <c r="A67" s="87">
        <v>420</v>
      </c>
      <c r="B67" s="81">
        <v>0.70718000000000003</v>
      </c>
      <c r="C67" s="83">
        <v>2996.9</v>
      </c>
      <c r="D67" s="83">
        <v>3315.1</v>
      </c>
      <c r="E67" s="82">
        <v>7.9063999999999997</v>
      </c>
      <c r="F67" s="82"/>
      <c r="G67" s="28"/>
    </row>
    <row r="68" spans="1:7" ht="18.75" customHeight="1" x14ac:dyDescent="0.25">
      <c r="A68" s="87">
        <v>430</v>
      </c>
      <c r="B68" s="81">
        <v>0.71758999999999995</v>
      </c>
      <c r="C68" s="83">
        <v>3013.2</v>
      </c>
      <c r="D68" s="83">
        <v>3336.1</v>
      </c>
      <c r="E68" s="82">
        <v>7.9366000000000003</v>
      </c>
      <c r="F68" s="82"/>
      <c r="G68" s="28"/>
    </row>
    <row r="69" spans="1:7" ht="18.75" customHeight="1" x14ac:dyDescent="0.25">
      <c r="A69" s="87">
        <v>440</v>
      </c>
      <c r="B69" s="81">
        <v>0.72799000000000003</v>
      </c>
      <c r="C69" s="83">
        <v>3029.6</v>
      </c>
      <c r="D69" s="83">
        <v>3357.2</v>
      </c>
      <c r="E69" s="82">
        <v>7.9664000000000001</v>
      </c>
      <c r="F69" s="82"/>
      <c r="G69" s="28"/>
    </row>
    <row r="70" spans="1:7" ht="18.75" customHeight="1" x14ac:dyDescent="0.25">
      <c r="A70" s="87">
        <v>450</v>
      </c>
      <c r="B70" s="81">
        <v>0.73838000000000004</v>
      </c>
      <c r="C70" s="83">
        <v>3046.1</v>
      </c>
      <c r="D70" s="83">
        <v>3378.4</v>
      </c>
      <c r="E70" s="82">
        <v>7.9958</v>
      </c>
      <c r="F70" s="82"/>
      <c r="G70" s="28"/>
    </row>
    <row r="71" spans="1:7" ht="18.75" customHeight="1" x14ac:dyDescent="0.25">
      <c r="A71" s="87">
        <v>460</v>
      </c>
      <c r="B71" s="81">
        <v>0.74875999999999998</v>
      </c>
      <c r="C71" s="83">
        <v>3062.7</v>
      </c>
      <c r="D71" s="83">
        <v>3399.6</v>
      </c>
      <c r="E71" s="82">
        <v>8.0250000000000004</v>
      </c>
      <c r="F71" s="82"/>
      <c r="G71" s="28"/>
    </row>
    <row r="72" spans="1:7" ht="18.75" customHeight="1" x14ac:dyDescent="0.25">
      <c r="A72" s="87">
        <v>470</v>
      </c>
      <c r="B72" s="81">
        <v>0.75914000000000004</v>
      </c>
      <c r="C72" s="83">
        <v>3079.3</v>
      </c>
      <c r="D72" s="83">
        <v>3420.9</v>
      </c>
      <c r="E72" s="82">
        <v>8.0538000000000007</v>
      </c>
      <c r="F72" s="82"/>
      <c r="G72" s="28"/>
    </row>
    <row r="73" spans="1:7" ht="18.75" customHeight="1" x14ac:dyDescent="0.25">
      <c r="A73" s="87">
        <v>480</v>
      </c>
      <c r="B73" s="81">
        <v>0.76951000000000003</v>
      </c>
      <c r="C73" s="83">
        <v>3095.9</v>
      </c>
      <c r="D73" s="83">
        <v>3442.2</v>
      </c>
      <c r="E73" s="82">
        <v>8.0823</v>
      </c>
      <c r="F73" s="82"/>
      <c r="G73" s="28"/>
    </row>
    <row r="74" spans="1:7" ht="18.75" customHeight="1" x14ac:dyDescent="0.25">
      <c r="A74" s="87">
        <v>490</v>
      </c>
      <c r="B74" s="81">
        <v>0.77988000000000002</v>
      </c>
      <c r="C74" s="83">
        <v>3112.7</v>
      </c>
      <c r="D74" s="83">
        <v>3463.6</v>
      </c>
      <c r="E74" s="82">
        <v>8.1105</v>
      </c>
      <c r="F74" s="82"/>
      <c r="G74" s="28"/>
    </row>
    <row r="75" spans="1:7" ht="18.75" customHeight="1" x14ac:dyDescent="0.25">
      <c r="A75" s="87">
        <v>500</v>
      </c>
      <c r="B75" s="81">
        <v>0.79024000000000005</v>
      </c>
      <c r="C75" s="83">
        <v>3129.4</v>
      </c>
      <c r="D75" s="83">
        <v>3485</v>
      </c>
      <c r="E75" s="82">
        <v>8.1384000000000007</v>
      </c>
      <c r="F75" s="82"/>
      <c r="G75" s="28"/>
    </row>
    <row r="76" spans="1:7" ht="18.75" customHeight="1" x14ac:dyDescent="0.25">
      <c r="A76" s="87">
        <v>520</v>
      </c>
      <c r="B76" s="81">
        <v>0.81094999999999995</v>
      </c>
      <c r="C76" s="83">
        <v>3163.2</v>
      </c>
      <c r="D76" s="83">
        <v>3528.1</v>
      </c>
      <c r="E76" s="82">
        <v>8.1934000000000005</v>
      </c>
      <c r="F76" s="82"/>
      <c r="G76" s="28"/>
    </row>
    <row r="77" spans="1:7" ht="18.75" customHeight="1" x14ac:dyDescent="0.25">
      <c r="A77" s="87">
        <v>540</v>
      </c>
      <c r="B77" s="81">
        <v>0.83164000000000005</v>
      </c>
      <c r="C77" s="83">
        <v>3197.2</v>
      </c>
      <c r="D77" s="83">
        <v>3571.4</v>
      </c>
      <c r="E77" s="82">
        <v>8.2472999999999992</v>
      </c>
      <c r="F77" s="82"/>
      <c r="G77" s="28"/>
    </row>
    <row r="78" spans="1:7" ht="18.75" customHeight="1" x14ac:dyDescent="0.25">
      <c r="A78" s="87">
        <v>560</v>
      </c>
      <c r="B78" s="81">
        <v>0.85231999999999997</v>
      </c>
      <c r="C78" s="83">
        <v>3231.4</v>
      </c>
      <c r="D78" s="83">
        <v>3614.9</v>
      </c>
      <c r="E78" s="82">
        <v>8.3002000000000002</v>
      </c>
      <c r="F78" s="82"/>
      <c r="G78" s="28"/>
    </row>
    <row r="79" spans="1:7" ht="18.75" customHeight="1" x14ac:dyDescent="0.25">
      <c r="A79" s="87">
        <v>580</v>
      </c>
      <c r="B79" s="81">
        <v>0.87297999999999998</v>
      </c>
      <c r="C79" s="83">
        <v>3266</v>
      </c>
      <c r="D79" s="83">
        <v>3658.8</v>
      </c>
      <c r="E79" s="82">
        <v>8.3521999999999998</v>
      </c>
      <c r="F79" s="82"/>
      <c r="G79" s="28"/>
    </row>
    <row r="80" spans="1:7" ht="18.75" customHeight="1" x14ac:dyDescent="0.25">
      <c r="A80" s="87">
        <v>600</v>
      </c>
      <c r="B80" s="81">
        <v>0.89363999999999999</v>
      </c>
      <c r="C80" s="83">
        <v>3300.8</v>
      </c>
      <c r="D80" s="83">
        <v>3702.9</v>
      </c>
      <c r="E80" s="82">
        <v>8.4032999999999998</v>
      </c>
      <c r="F80" s="82"/>
      <c r="G80" s="28"/>
    </row>
    <row r="81" spans="1:7" ht="18.75" customHeight="1" x14ac:dyDescent="0.25">
      <c r="A81" s="87">
        <v>620</v>
      </c>
      <c r="B81" s="81">
        <v>0.91427999999999998</v>
      </c>
      <c r="C81" s="83">
        <v>3335.8</v>
      </c>
      <c r="D81" s="83">
        <v>3747.2</v>
      </c>
      <c r="E81" s="82">
        <v>8.4535</v>
      </c>
      <c r="F81" s="82"/>
      <c r="G81" s="28"/>
    </row>
    <row r="82" spans="1:7" ht="18.75" customHeight="1" x14ac:dyDescent="0.25">
      <c r="A82" s="87">
        <v>640</v>
      </c>
      <c r="B82" s="81">
        <v>0.93491000000000002</v>
      </c>
      <c r="C82" s="83">
        <v>3371.1</v>
      </c>
      <c r="D82" s="83">
        <v>3791.8</v>
      </c>
      <c r="E82" s="82">
        <v>8.5029000000000003</v>
      </c>
      <c r="F82" s="82"/>
      <c r="G82" s="28"/>
    </row>
    <row r="83" spans="1:7" ht="18.75" customHeight="1" x14ac:dyDescent="0.25">
      <c r="A83" s="87">
        <v>660</v>
      </c>
      <c r="B83" s="81">
        <v>0.95553999999999994</v>
      </c>
      <c r="C83" s="83">
        <v>3406.7</v>
      </c>
      <c r="D83" s="83">
        <v>3836.7</v>
      </c>
      <c r="E83" s="82">
        <v>8.5515000000000008</v>
      </c>
      <c r="F83" s="82"/>
      <c r="G83" s="28"/>
    </row>
    <row r="84" spans="1:7" ht="18.75" customHeight="1" x14ac:dyDescent="0.25">
      <c r="A84" s="87">
        <v>680</v>
      </c>
      <c r="B84" s="81">
        <v>0.97614999999999996</v>
      </c>
      <c r="C84" s="83">
        <v>3442.6</v>
      </c>
      <c r="D84" s="83">
        <v>3881.9</v>
      </c>
      <c r="E84" s="82">
        <v>8.5993999999999993</v>
      </c>
      <c r="F84" s="82"/>
      <c r="G84" s="28"/>
    </row>
    <row r="85" spans="1:7" ht="18.75" customHeight="1" x14ac:dyDescent="0.25">
      <c r="A85" s="87">
        <v>700</v>
      </c>
      <c r="B85" s="81">
        <v>0.99675999999999998</v>
      </c>
      <c r="C85" s="83">
        <v>3478.8</v>
      </c>
      <c r="D85" s="83">
        <v>3927.3</v>
      </c>
      <c r="E85" s="82">
        <v>8.6465999999999994</v>
      </c>
      <c r="F85" s="82"/>
      <c r="G85" s="28"/>
    </row>
    <row r="86" spans="1:7" ht="18.75" customHeight="1" x14ac:dyDescent="0.25">
      <c r="A86" s="87">
        <v>720</v>
      </c>
      <c r="B86" s="82">
        <v>1.0174000000000001</v>
      </c>
      <c r="C86" s="83">
        <v>3515.2</v>
      </c>
      <c r="D86" s="83">
        <v>3973</v>
      </c>
      <c r="E86" s="82">
        <v>8.6930999999999994</v>
      </c>
      <c r="F86" s="82"/>
      <c r="G86" s="28"/>
    </row>
    <row r="87" spans="1:7" ht="18.75" customHeight="1" x14ac:dyDescent="0.25">
      <c r="A87" s="87">
        <v>740</v>
      </c>
      <c r="B87" s="82">
        <v>1.038</v>
      </c>
      <c r="C87" s="83">
        <v>3551.9</v>
      </c>
      <c r="D87" s="83">
        <v>4019</v>
      </c>
      <c r="E87" s="82">
        <v>8.7388999999999992</v>
      </c>
      <c r="F87" s="82"/>
      <c r="G87" s="28"/>
    </row>
    <row r="88" spans="1:7" ht="18.75" customHeight="1" x14ac:dyDescent="0.25">
      <c r="A88" s="87">
        <v>760</v>
      </c>
      <c r="B88" s="82">
        <v>1.0586</v>
      </c>
      <c r="C88" s="83">
        <v>3588.9</v>
      </c>
      <c r="D88" s="83">
        <v>4065.3</v>
      </c>
      <c r="E88" s="82">
        <v>8.7842000000000002</v>
      </c>
      <c r="F88" s="82"/>
      <c r="G88" s="28"/>
    </row>
    <row r="89" spans="1:7" ht="18.75" customHeight="1" x14ac:dyDescent="0.25">
      <c r="A89" s="87">
        <v>780</v>
      </c>
      <c r="B89" s="82">
        <v>1.0790999999999999</v>
      </c>
      <c r="C89" s="83">
        <v>3626.2</v>
      </c>
      <c r="D89" s="83">
        <v>4111.8</v>
      </c>
      <c r="E89" s="82">
        <v>8.8287999999999993</v>
      </c>
      <c r="F89" s="82"/>
      <c r="G89" s="28"/>
    </row>
    <row r="90" spans="1:7" ht="18.75" customHeight="1" x14ac:dyDescent="0.25">
      <c r="A90" s="87">
        <v>800</v>
      </c>
      <c r="B90" s="82">
        <v>1.0996999999999999</v>
      </c>
      <c r="C90" s="83">
        <v>3663.7</v>
      </c>
      <c r="D90" s="83">
        <v>4158.6000000000004</v>
      </c>
      <c r="E90" s="82">
        <v>8.8727999999999998</v>
      </c>
      <c r="F90" s="82"/>
      <c r="G90" s="28"/>
    </row>
    <row r="91" spans="1:7" ht="18.75" customHeight="1" x14ac:dyDescent="0.25">
      <c r="A91" s="87">
        <v>820</v>
      </c>
      <c r="B91" s="82">
        <v>1.1203000000000001</v>
      </c>
      <c r="C91" s="83">
        <v>3701.6</v>
      </c>
      <c r="D91" s="83">
        <v>4205.7</v>
      </c>
      <c r="E91" s="82">
        <v>8.9162999999999997</v>
      </c>
      <c r="F91" s="82"/>
      <c r="G91" s="28"/>
    </row>
    <row r="92" spans="1:7" ht="18.75" customHeight="1" x14ac:dyDescent="0.25">
      <c r="A92" s="87">
        <v>840</v>
      </c>
      <c r="B92" s="82">
        <v>1.1409</v>
      </c>
      <c r="C92" s="83">
        <v>3739.6</v>
      </c>
      <c r="D92" s="83">
        <v>4253</v>
      </c>
      <c r="E92" s="82">
        <v>8.9591999999999992</v>
      </c>
      <c r="F92" s="82"/>
      <c r="G92" s="28"/>
    </row>
    <row r="93" spans="1:7" ht="18.75" customHeight="1" x14ac:dyDescent="0.25">
      <c r="A93" s="87">
        <v>860</v>
      </c>
      <c r="B93" s="82">
        <v>1.1614</v>
      </c>
      <c r="C93" s="83">
        <v>3778.1</v>
      </c>
      <c r="D93" s="83">
        <v>4300.7</v>
      </c>
      <c r="E93" s="82">
        <v>9.0015999999999998</v>
      </c>
      <c r="F93" s="82"/>
      <c r="G93" s="28"/>
    </row>
    <row r="94" spans="1:7" ht="18.75" customHeight="1" x14ac:dyDescent="0.25">
      <c r="A94" s="87">
        <v>880</v>
      </c>
      <c r="B94" s="82">
        <v>1.1819999999999999</v>
      </c>
      <c r="C94" s="83">
        <v>3816.7</v>
      </c>
      <c r="D94" s="83">
        <v>4348.6000000000004</v>
      </c>
      <c r="E94" s="82">
        <v>9.0434999999999999</v>
      </c>
      <c r="F94" s="82"/>
      <c r="G94" s="28"/>
    </row>
    <row r="95" spans="1:7" ht="18.75" customHeight="1" x14ac:dyDescent="0.25">
      <c r="A95" s="87">
        <v>900</v>
      </c>
      <c r="B95" s="82">
        <v>1.2025999999999999</v>
      </c>
      <c r="C95" s="83">
        <v>3855.5</v>
      </c>
      <c r="D95" s="83">
        <v>4396.7</v>
      </c>
      <c r="E95" s="82">
        <v>9.0848999999999993</v>
      </c>
      <c r="F95" s="82"/>
      <c r="G95" s="28"/>
    </row>
    <row r="96" spans="1:7" ht="18.75" customHeight="1" x14ac:dyDescent="0.25">
      <c r="A96" s="87">
        <v>920</v>
      </c>
      <c r="B96" s="82">
        <v>1.2231000000000001</v>
      </c>
      <c r="C96" s="83">
        <v>3894.8</v>
      </c>
      <c r="D96" s="83">
        <v>4445.2</v>
      </c>
      <c r="E96" s="82">
        <v>9.1257999999999999</v>
      </c>
      <c r="F96" s="82"/>
      <c r="G96" s="28"/>
    </row>
    <row r="97" spans="1:7" ht="18.75" customHeight="1" x14ac:dyDescent="0.25">
      <c r="A97" s="87">
        <v>940</v>
      </c>
      <c r="B97" s="82">
        <v>1.2437</v>
      </c>
      <c r="C97" s="83">
        <v>3934.2</v>
      </c>
      <c r="D97" s="83">
        <v>4493.8999999999996</v>
      </c>
      <c r="E97" s="82">
        <v>9.1662999999999997</v>
      </c>
      <c r="F97" s="82"/>
      <c r="G97" s="28"/>
    </row>
    <row r="98" spans="1:7" ht="18.75" customHeight="1" x14ac:dyDescent="0.25">
      <c r="A98" s="87">
        <v>960</v>
      </c>
      <c r="B98" s="82">
        <v>1.2643</v>
      </c>
      <c r="C98" s="83">
        <v>3973.9</v>
      </c>
      <c r="D98" s="83">
        <v>4542.8</v>
      </c>
      <c r="E98" s="82">
        <v>9.2064000000000004</v>
      </c>
      <c r="F98" s="82"/>
      <c r="G98" s="28"/>
    </row>
    <row r="99" spans="1:7" ht="18.75" customHeight="1" x14ac:dyDescent="0.25">
      <c r="A99" s="87">
        <v>980</v>
      </c>
      <c r="B99" s="82">
        <v>1.2847999999999999</v>
      </c>
      <c r="C99" s="83">
        <v>4013.9</v>
      </c>
      <c r="D99" s="83">
        <v>4592.1000000000004</v>
      </c>
      <c r="E99" s="82">
        <v>9.2460000000000004</v>
      </c>
      <c r="F99" s="82"/>
      <c r="G99" s="28"/>
    </row>
    <row r="100" spans="1:7" ht="13.8" x14ac:dyDescent="0.25">
      <c r="A100" s="87">
        <v>1000</v>
      </c>
      <c r="B100" s="82">
        <v>1.3053999999999999</v>
      </c>
      <c r="C100" s="83">
        <v>4054.1</v>
      </c>
      <c r="D100" s="83">
        <v>4641.5</v>
      </c>
      <c r="E100" s="82">
        <v>9.2850999999999999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H100"/>
  <sheetViews>
    <sheetView topLeftCell="A24" workbookViewId="0">
      <selection activeCell="A36" sqref="A36:XFD36"/>
    </sheetView>
  </sheetViews>
  <sheetFormatPr defaultRowHeight="13.2" x14ac:dyDescent="0.25"/>
  <cols>
    <col min="1" max="1" width="8.5546875" customWidth="1"/>
    <col min="2" max="2" width="10.8867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58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500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9.999500000000001E-4</v>
      </c>
      <c r="C5" s="80">
        <v>-0.03</v>
      </c>
      <c r="D5" s="80">
        <v>0.47</v>
      </c>
      <c r="E5" s="81">
        <v>-1.2E-4</v>
      </c>
      <c r="F5" s="81"/>
      <c r="G5" s="28"/>
      <c r="H5" s="28"/>
    </row>
    <row r="6" spans="1:8" ht="18.75" customHeight="1" x14ac:dyDescent="0.25">
      <c r="A6" s="7">
        <v>5</v>
      </c>
      <c r="B6" s="79">
        <v>9.998400000000001E-4</v>
      </c>
      <c r="C6" s="80">
        <v>21.02</v>
      </c>
      <c r="D6" s="80">
        <v>21.52</v>
      </c>
      <c r="E6" s="81">
        <v>7.6249999999999998E-2</v>
      </c>
      <c r="F6" s="81"/>
      <c r="G6" s="28"/>
      <c r="H6" s="28"/>
    </row>
    <row r="7" spans="1:8" ht="18.75" customHeight="1" x14ac:dyDescent="0.25">
      <c r="A7" s="7">
        <v>10</v>
      </c>
      <c r="B7" s="79">
        <v>1.00011E-3</v>
      </c>
      <c r="C7" s="80">
        <v>42.01</v>
      </c>
      <c r="D7" s="80">
        <v>42.51</v>
      </c>
      <c r="E7" s="81">
        <v>0.15104000000000001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1.0007099999999999E-3</v>
      </c>
      <c r="C8" s="80">
        <v>62.96</v>
      </c>
      <c r="D8" s="80">
        <v>63.46</v>
      </c>
      <c r="E8" s="81">
        <v>0.22439000000000001</v>
      </c>
      <c r="F8" s="81"/>
      <c r="G8" s="28"/>
    </row>
    <row r="9" spans="1:8" ht="18.75" customHeight="1" x14ac:dyDescent="0.25">
      <c r="A9" s="7">
        <v>20</v>
      </c>
      <c r="B9" s="79">
        <v>1.00161E-3</v>
      </c>
      <c r="C9" s="80">
        <v>83.88</v>
      </c>
      <c r="D9" s="80">
        <v>84.38</v>
      </c>
      <c r="E9" s="81">
        <v>0.29637999999999998</v>
      </c>
      <c r="F9" s="81"/>
      <c r="G9" s="28"/>
    </row>
    <row r="10" spans="1:8" ht="18.75" customHeight="1" x14ac:dyDescent="0.25">
      <c r="A10" s="7">
        <v>25</v>
      </c>
      <c r="B10" s="79">
        <v>1.00278E-3</v>
      </c>
      <c r="C10" s="80">
        <v>104.79</v>
      </c>
      <c r="D10" s="80">
        <v>105.29</v>
      </c>
      <c r="E10" s="81">
        <v>0.36709999999999998</v>
      </c>
      <c r="F10" s="81"/>
      <c r="G10" s="28"/>
    </row>
    <row r="11" spans="1:8" ht="18.75" customHeight="1" x14ac:dyDescent="0.25">
      <c r="A11" s="7">
        <v>30</v>
      </c>
      <c r="B11" s="79">
        <v>1.0041900000000001E-3</v>
      </c>
      <c r="C11" s="80">
        <v>125.69</v>
      </c>
      <c r="D11" s="80">
        <v>126.19</v>
      </c>
      <c r="E11" s="81">
        <v>0.43659999999999999</v>
      </c>
      <c r="F11" s="81"/>
      <c r="G11" s="28"/>
    </row>
    <row r="12" spans="1:8" ht="18.75" customHeight="1" x14ac:dyDescent="0.25">
      <c r="A12" s="7">
        <v>35</v>
      </c>
      <c r="B12" s="79">
        <v>1.0058199999999999E-3</v>
      </c>
      <c r="C12" s="80">
        <v>146.58000000000001</v>
      </c>
      <c r="D12" s="80">
        <v>147.08000000000001</v>
      </c>
      <c r="E12" s="81">
        <v>0.50495999999999996</v>
      </c>
      <c r="F12" s="81"/>
      <c r="G12" s="28"/>
    </row>
    <row r="13" spans="1:8" ht="18.75" customHeight="1" x14ac:dyDescent="0.25">
      <c r="A13" s="7">
        <v>40</v>
      </c>
      <c r="B13" s="79">
        <v>1.00767E-3</v>
      </c>
      <c r="C13" s="80">
        <v>167.47</v>
      </c>
      <c r="D13" s="80">
        <v>167.97</v>
      </c>
      <c r="E13" s="81">
        <v>0.57221</v>
      </c>
      <c r="F13" s="81"/>
      <c r="G13" s="28"/>
    </row>
    <row r="14" spans="1:8" ht="18.75" customHeight="1" x14ac:dyDescent="0.25">
      <c r="A14" s="7">
        <v>45</v>
      </c>
      <c r="B14" s="79">
        <v>1.00971E-3</v>
      </c>
      <c r="C14" s="80">
        <v>188.36</v>
      </c>
      <c r="D14" s="80">
        <v>188.86</v>
      </c>
      <c r="E14" s="81">
        <v>0.63839999999999997</v>
      </c>
      <c r="F14" s="81"/>
      <c r="G14" s="28"/>
    </row>
    <row r="15" spans="1:8" ht="18.75" customHeight="1" x14ac:dyDescent="0.25">
      <c r="A15" s="7">
        <v>50</v>
      </c>
      <c r="B15" s="79">
        <v>1.0119300000000001E-3</v>
      </c>
      <c r="C15" s="80">
        <v>209.25</v>
      </c>
      <c r="D15" s="80">
        <v>209.76</v>
      </c>
      <c r="E15" s="81">
        <v>0.70357999999999998</v>
      </c>
      <c r="F15" s="81"/>
      <c r="G15" s="28"/>
    </row>
    <row r="16" spans="1:8" ht="18.75" customHeight="1" x14ac:dyDescent="0.25">
      <c r="A16" s="7">
        <v>55</v>
      </c>
      <c r="B16" s="79">
        <v>1.0143400000000001E-3</v>
      </c>
      <c r="C16" s="80">
        <v>230.16</v>
      </c>
      <c r="D16" s="80">
        <v>230.67</v>
      </c>
      <c r="E16" s="81">
        <v>0.76778000000000002</v>
      </c>
      <c r="F16" s="81"/>
      <c r="G16" s="28"/>
    </row>
    <row r="17" spans="1:7" ht="18.75" customHeight="1" x14ac:dyDescent="0.25">
      <c r="A17" s="7">
        <v>60</v>
      </c>
      <c r="B17" s="79">
        <v>1.01691E-3</v>
      </c>
      <c r="C17" s="80">
        <v>251.07</v>
      </c>
      <c r="D17" s="80">
        <v>251.58</v>
      </c>
      <c r="E17" s="81">
        <v>0.83104</v>
      </c>
      <c r="F17" s="81"/>
      <c r="G17" s="28"/>
    </row>
    <row r="18" spans="1:7" ht="18.75" customHeight="1" x14ac:dyDescent="0.25">
      <c r="A18" s="7">
        <v>65</v>
      </c>
      <c r="B18" s="79">
        <v>1.01965E-3</v>
      </c>
      <c r="C18" s="80">
        <v>272</v>
      </c>
      <c r="D18" s="80">
        <v>272.51</v>
      </c>
      <c r="E18" s="81">
        <v>0.89337999999999995</v>
      </c>
      <c r="F18" s="81"/>
      <c r="G18" s="28"/>
    </row>
    <row r="19" spans="1:7" ht="18.75" customHeight="1" x14ac:dyDescent="0.25">
      <c r="A19" s="7">
        <v>70</v>
      </c>
      <c r="B19" s="79">
        <v>1.02256E-3</v>
      </c>
      <c r="C19" s="80">
        <v>292.94</v>
      </c>
      <c r="D19" s="80">
        <v>293.45</v>
      </c>
      <c r="E19" s="81">
        <v>0.95484999999999998</v>
      </c>
      <c r="F19" s="81"/>
      <c r="G19" s="28"/>
    </row>
    <row r="20" spans="1:7" ht="18.75" customHeight="1" x14ac:dyDescent="0.25">
      <c r="A20" s="7">
        <v>75</v>
      </c>
      <c r="B20" s="79">
        <v>1.0256200000000001E-3</v>
      </c>
      <c r="C20" s="80">
        <v>313.89</v>
      </c>
      <c r="D20" s="80">
        <v>314.39999999999998</v>
      </c>
      <c r="E20" s="82">
        <v>1.0155000000000001</v>
      </c>
      <c r="F20" s="82"/>
      <c r="G20" s="28"/>
    </row>
    <row r="21" spans="1:7" ht="18.75" customHeight="1" x14ac:dyDescent="0.25">
      <c r="A21" s="7">
        <v>80</v>
      </c>
      <c r="B21" s="79">
        <v>1.02884E-3</v>
      </c>
      <c r="C21" s="80">
        <v>334.86</v>
      </c>
      <c r="D21" s="80">
        <v>335.37</v>
      </c>
      <c r="E21" s="82">
        <v>1.0752999999999999</v>
      </c>
      <c r="F21" s="82"/>
      <c r="G21" s="28"/>
    </row>
    <row r="22" spans="1:7" ht="18.75" customHeight="1" x14ac:dyDescent="0.25">
      <c r="A22" s="7">
        <v>85</v>
      </c>
      <c r="B22" s="79">
        <v>1.03221E-3</v>
      </c>
      <c r="C22" s="80">
        <v>355.84</v>
      </c>
      <c r="D22" s="80">
        <v>356.36</v>
      </c>
      <c r="E22" s="82">
        <v>1.1343000000000001</v>
      </c>
      <c r="F22" s="82"/>
      <c r="G22" s="28"/>
    </row>
    <row r="23" spans="1:7" ht="18.75" customHeight="1" x14ac:dyDescent="0.25">
      <c r="A23" s="7">
        <v>90</v>
      </c>
      <c r="B23" s="79">
        <v>1.0357400000000001E-3</v>
      </c>
      <c r="C23" s="80">
        <v>376.85</v>
      </c>
      <c r="D23" s="80">
        <v>377.37</v>
      </c>
      <c r="E23" s="82">
        <v>1.1926000000000001</v>
      </c>
      <c r="F23" s="82"/>
      <c r="G23" s="28"/>
    </row>
    <row r="24" spans="1:7" ht="18.75" customHeight="1" x14ac:dyDescent="0.25">
      <c r="A24" s="7">
        <v>95</v>
      </c>
      <c r="B24" s="79">
        <v>1.0394200000000001E-3</v>
      </c>
      <c r="C24" s="80">
        <v>397.89</v>
      </c>
      <c r="D24" s="80">
        <v>398.41</v>
      </c>
      <c r="E24" s="82">
        <v>1.2501</v>
      </c>
      <c r="F24" s="82"/>
      <c r="G24" s="28"/>
    </row>
    <row r="25" spans="1:7" ht="18.75" customHeight="1" x14ac:dyDescent="0.25">
      <c r="A25" s="7">
        <v>100</v>
      </c>
      <c r="B25" s="79">
        <v>1.0432600000000001E-3</v>
      </c>
      <c r="C25" s="80">
        <v>418.95</v>
      </c>
      <c r="D25" s="80">
        <v>419.47</v>
      </c>
      <c r="E25" s="82">
        <v>1.3069</v>
      </c>
      <c r="F25" s="82"/>
      <c r="G25" s="28"/>
    </row>
    <row r="26" spans="1:7" ht="18.75" customHeight="1" x14ac:dyDescent="0.25">
      <c r="A26" s="7">
        <v>105</v>
      </c>
      <c r="B26" s="79">
        <v>1.04725E-3</v>
      </c>
      <c r="C26" s="80">
        <v>440.03</v>
      </c>
      <c r="D26" s="80">
        <v>440.55</v>
      </c>
      <c r="E26" s="82">
        <v>1.363</v>
      </c>
      <c r="F26" s="82"/>
      <c r="G26" s="28"/>
    </row>
    <row r="27" spans="1:7" ht="18.75" customHeight="1" x14ac:dyDescent="0.25">
      <c r="A27" s="7">
        <v>110</v>
      </c>
      <c r="B27" s="79">
        <v>1.0513899999999999E-3</v>
      </c>
      <c r="C27" s="80">
        <v>461.14</v>
      </c>
      <c r="D27" s="80">
        <v>461.67</v>
      </c>
      <c r="E27" s="82">
        <v>1.4185000000000001</v>
      </c>
      <c r="F27" s="82"/>
      <c r="G27" s="28"/>
    </row>
    <row r="28" spans="1:7" ht="18.75" customHeight="1" x14ac:dyDescent="0.25">
      <c r="A28" s="7">
        <v>115</v>
      </c>
      <c r="B28" s="79">
        <v>1.05569E-3</v>
      </c>
      <c r="C28" s="80">
        <v>482.3</v>
      </c>
      <c r="D28" s="80">
        <v>482.83</v>
      </c>
      <c r="E28" s="82">
        <v>1.4734</v>
      </c>
      <c r="F28" s="82"/>
      <c r="G28" s="28"/>
    </row>
    <row r="29" spans="1:7" ht="18.75" customHeight="1" x14ac:dyDescent="0.25">
      <c r="A29" s="7">
        <v>120</v>
      </c>
      <c r="B29" s="79">
        <v>1.0601600000000001E-3</v>
      </c>
      <c r="C29" s="80">
        <v>503.49</v>
      </c>
      <c r="D29" s="80">
        <v>504.02</v>
      </c>
      <c r="E29" s="82">
        <v>1.5276000000000001</v>
      </c>
      <c r="F29" s="82"/>
      <c r="G29" s="28"/>
    </row>
    <row r="30" spans="1:7" ht="18.75" customHeight="1" x14ac:dyDescent="0.25">
      <c r="A30" s="7">
        <v>125</v>
      </c>
      <c r="B30" s="79">
        <v>1.06478E-3</v>
      </c>
      <c r="C30" s="80">
        <v>524.73</v>
      </c>
      <c r="D30" s="80">
        <v>525.26</v>
      </c>
      <c r="E30" s="82">
        <v>1.5812999999999999</v>
      </c>
      <c r="F30" s="82"/>
      <c r="G30" s="28"/>
    </row>
    <row r="31" spans="1:7" ht="18.75" customHeight="1" x14ac:dyDescent="0.25">
      <c r="A31" s="7">
        <v>130</v>
      </c>
      <c r="B31" s="79">
        <v>1.0695699999999999E-3</v>
      </c>
      <c r="C31" s="80">
        <v>546.01</v>
      </c>
      <c r="D31" s="80">
        <v>546.54</v>
      </c>
      <c r="E31" s="82">
        <v>1.6344000000000001</v>
      </c>
      <c r="F31" s="82"/>
      <c r="G31" s="28"/>
    </row>
    <row r="32" spans="1:7" ht="18.75" customHeight="1" x14ac:dyDescent="0.25">
      <c r="A32" s="7">
        <v>135</v>
      </c>
      <c r="B32" s="79">
        <v>1.07453E-3</v>
      </c>
      <c r="C32" s="80">
        <v>567.33000000000004</v>
      </c>
      <c r="D32" s="80">
        <v>567.87</v>
      </c>
      <c r="E32" s="82">
        <v>1.6870000000000001</v>
      </c>
      <c r="F32" s="82"/>
      <c r="G32" s="28"/>
    </row>
    <row r="33" spans="1:7" ht="18.75" customHeight="1" x14ac:dyDescent="0.25">
      <c r="A33" s="7">
        <v>140</v>
      </c>
      <c r="B33" s="79">
        <v>1.07967E-3</v>
      </c>
      <c r="C33" s="80">
        <v>588.71</v>
      </c>
      <c r="D33" s="80">
        <v>589.25</v>
      </c>
      <c r="E33" s="82">
        <v>1.7391000000000001</v>
      </c>
      <c r="F33" s="82"/>
      <c r="G33" s="28"/>
    </row>
    <row r="34" spans="1:7" ht="18.75" customHeight="1" x14ac:dyDescent="0.25">
      <c r="A34" s="7">
        <v>145</v>
      </c>
      <c r="B34" s="79">
        <v>1.0849900000000001E-3</v>
      </c>
      <c r="C34" s="80">
        <v>610.15</v>
      </c>
      <c r="D34" s="80">
        <v>610.69000000000005</v>
      </c>
      <c r="E34" s="82">
        <v>1.7907</v>
      </c>
      <c r="F34" s="82"/>
      <c r="G34" s="28"/>
    </row>
    <row r="35" spans="1:7" ht="18.75" customHeight="1" x14ac:dyDescent="0.25">
      <c r="A35" s="7">
        <v>150</v>
      </c>
      <c r="B35" s="79">
        <v>1.0904899999999999E-3</v>
      </c>
      <c r="C35" s="80">
        <v>631.64</v>
      </c>
      <c r="D35" s="80">
        <v>632.19000000000005</v>
      </c>
      <c r="E35" s="82">
        <v>1.8418000000000001</v>
      </c>
      <c r="F35" s="82"/>
      <c r="G35" s="28"/>
    </row>
    <row r="36" spans="1:7" ht="18.75" customHeight="1" x14ac:dyDescent="0.25">
      <c r="A36" s="7">
        <v>155</v>
      </c>
      <c r="B36" s="81">
        <v>0.37827</v>
      </c>
      <c r="C36" s="83">
        <v>2566.6</v>
      </c>
      <c r="D36" s="83">
        <v>2755.7</v>
      </c>
      <c r="E36" s="82">
        <v>6.8384</v>
      </c>
      <c r="F36" s="82"/>
      <c r="G36" s="28"/>
    </row>
    <row r="37" spans="1:7" ht="18.75" customHeight="1" x14ac:dyDescent="0.25">
      <c r="A37" s="7">
        <v>160</v>
      </c>
      <c r="B37" s="81">
        <v>0.38366</v>
      </c>
      <c r="C37" s="83">
        <v>2575.6</v>
      </c>
      <c r="D37" s="83">
        <v>2767.4</v>
      </c>
      <c r="E37" s="82">
        <v>6.8655999999999997</v>
      </c>
      <c r="F37" s="82"/>
      <c r="G37" s="28"/>
    </row>
    <row r="38" spans="1:7" ht="18.75" customHeight="1" x14ac:dyDescent="0.25">
      <c r="A38" s="7">
        <v>165</v>
      </c>
      <c r="B38" s="81">
        <v>0.38899</v>
      </c>
      <c r="C38" s="83">
        <v>2584.4</v>
      </c>
      <c r="D38" s="83">
        <v>2778.9</v>
      </c>
      <c r="E38" s="82">
        <v>6.8918999999999997</v>
      </c>
      <c r="F38" s="82"/>
      <c r="G38" s="28"/>
    </row>
    <row r="39" spans="1:7" ht="18.75" customHeight="1" x14ac:dyDescent="0.25">
      <c r="A39" s="7">
        <v>170</v>
      </c>
      <c r="B39" s="81">
        <v>0.39426</v>
      </c>
      <c r="C39" s="83">
        <v>2593.1</v>
      </c>
      <c r="D39" s="83">
        <v>2790.2</v>
      </c>
      <c r="E39" s="82">
        <v>6.9176000000000002</v>
      </c>
      <c r="F39" s="82"/>
      <c r="G39" s="28"/>
    </row>
    <row r="40" spans="1:7" ht="18.75" customHeight="1" x14ac:dyDescent="0.25">
      <c r="A40" s="7">
        <v>175</v>
      </c>
      <c r="B40" s="81">
        <v>0.39948</v>
      </c>
      <c r="C40" s="83">
        <v>2601.6999999999998</v>
      </c>
      <c r="D40" s="83">
        <v>2801.4</v>
      </c>
      <c r="E40" s="82">
        <v>6.9427000000000003</v>
      </c>
      <c r="F40" s="82"/>
      <c r="G40" s="28"/>
    </row>
    <row r="41" spans="1:7" ht="18.75" customHeight="1" x14ac:dyDescent="0.25">
      <c r="A41" s="7">
        <v>180</v>
      </c>
      <c r="B41" s="81">
        <v>0.40466000000000002</v>
      </c>
      <c r="C41" s="83">
        <v>2610.1</v>
      </c>
      <c r="D41" s="83">
        <v>2812.4</v>
      </c>
      <c r="E41" s="82">
        <v>6.9672999999999998</v>
      </c>
      <c r="F41" s="82"/>
      <c r="G41" s="28"/>
    </row>
    <row r="42" spans="1:7" ht="18.75" customHeight="1" x14ac:dyDescent="0.25">
      <c r="A42" s="7">
        <v>185</v>
      </c>
      <c r="B42" s="81">
        <v>0.4098</v>
      </c>
      <c r="C42" s="83">
        <v>2618.5</v>
      </c>
      <c r="D42" s="83">
        <v>2823.4</v>
      </c>
      <c r="E42" s="82">
        <v>6.9912999999999998</v>
      </c>
      <c r="F42" s="82"/>
      <c r="G42" s="28"/>
    </row>
    <row r="43" spans="1:7" ht="18.75" customHeight="1" x14ac:dyDescent="0.25">
      <c r="A43" s="7">
        <v>190</v>
      </c>
      <c r="B43" s="81">
        <v>0.41491</v>
      </c>
      <c r="C43" s="83">
        <v>2626.8</v>
      </c>
      <c r="D43" s="83">
        <v>2834.3</v>
      </c>
      <c r="E43" s="82">
        <v>7.0149999999999997</v>
      </c>
      <c r="F43" s="82"/>
      <c r="G43" s="28"/>
    </row>
    <row r="44" spans="1:7" ht="18.75" customHeight="1" x14ac:dyDescent="0.25">
      <c r="A44" s="7">
        <v>195</v>
      </c>
      <c r="B44" s="81">
        <v>0.41998000000000002</v>
      </c>
      <c r="C44" s="83">
        <v>2635.1</v>
      </c>
      <c r="D44" s="83">
        <v>2845.1</v>
      </c>
      <c r="E44" s="82">
        <v>7.0381999999999998</v>
      </c>
      <c r="F44" s="82"/>
      <c r="G44" s="28"/>
    </row>
    <row r="45" spans="1:7" ht="18.75" customHeight="1" x14ac:dyDescent="0.25">
      <c r="A45" s="7">
        <v>200</v>
      </c>
      <c r="B45" s="81">
        <v>0.42503000000000002</v>
      </c>
      <c r="C45" s="83">
        <v>2643.3</v>
      </c>
      <c r="D45" s="83">
        <v>2855.8</v>
      </c>
      <c r="E45" s="82">
        <v>7.0609999999999999</v>
      </c>
      <c r="F45" s="82"/>
      <c r="G45" s="28"/>
    </row>
    <row r="46" spans="1:7" ht="18.75" customHeight="1" x14ac:dyDescent="0.25">
      <c r="A46" s="7">
        <v>210</v>
      </c>
      <c r="B46" s="81">
        <v>0.43506</v>
      </c>
      <c r="C46" s="83">
        <v>2659.7</v>
      </c>
      <c r="D46" s="83">
        <v>2877.2</v>
      </c>
      <c r="E46" s="82">
        <v>7.1055999999999999</v>
      </c>
      <c r="F46" s="82"/>
      <c r="G46" s="28"/>
    </row>
    <row r="47" spans="1:7" ht="18.75" customHeight="1" x14ac:dyDescent="0.25">
      <c r="A47" s="7">
        <v>220</v>
      </c>
      <c r="B47" s="81">
        <v>0.44500000000000001</v>
      </c>
      <c r="C47" s="83">
        <v>2675.8</v>
      </c>
      <c r="D47" s="83">
        <v>2898.3</v>
      </c>
      <c r="E47" s="82">
        <v>7.1489000000000003</v>
      </c>
      <c r="F47" s="82"/>
      <c r="G47" s="28"/>
    </row>
    <row r="48" spans="1:7" ht="18.75" customHeight="1" x14ac:dyDescent="0.25">
      <c r="A48" s="7">
        <v>230</v>
      </c>
      <c r="B48" s="81">
        <v>0.45487</v>
      </c>
      <c r="C48" s="83">
        <v>2691.9</v>
      </c>
      <c r="D48" s="83">
        <v>2919.3</v>
      </c>
      <c r="E48" s="82">
        <v>7.1910999999999996</v>
      </c>
      <c r="F48" s="82"/>
      <c r="G48" s="28"/>
    </row>
    <row r="49" spans="1:7" ht="18.75" customHeight="1" x14ac:dyDescent="0.25">
      <c r="A49" s="7">
        <v>240</v>
      </c>
      <c r="B49" s="81">
        <v>0.46467000000000003</v>
      </c>
      <c r="C49" s="83">
        <v>2707.9</v>
      </c>
      <c r="D49" s="83">
        <v>2940.2</v>
      </c>
      <c r="E49" s="82">
        <v>7.2321999999999997</v>
      </c>
      <c r="F49" s="82"/>
      <c r="G49" s="28"/>
    </row>
    <row r="50" spans="1:7" ht="18.75" customHeight="1" x14ac:dyDescent="0.25">
      <c r="A50" s="7">
        <v>250</v>
      </c>
      <c r="B50" s="81">
        <v>0.47443000000000002</v>
      </c>
      <c r="C50" s="83">
        <v>2723.8</v>
      </c>
      <c r="D50" s="83">
        <v>2961</v>
      </c>
      <c r="E50" s="82">
        <v>7.2724000000000002</v>
      </c>
      <c r="F50" s="82"/>
      <c r="G50" s="28"/>
    </row>
    <row r="51" spans="1:7" ht="18.75" customHeight="1" x14ac:dyDescent="0.25">
      <c r="A51" s="7">
        <v>260</v>
      </c>
      <c r="B51" s="81">
        <v>0.48414000000000001</v>
      </c>
      <c r="C51" s="83">
        <v>2739.7</v>
      </c>
      <c r="D51" s="83">
        <v>2981.8</v>
      </c>
      <c r="E51" s="82">
        <v>7.3117000000000001</v>
      </c>
      <c r="F51" s="82"/>
      <c r="G51" s="28"/>
    </row>
    <row r="52" spans="1:7" ht="18.75" customHeight="1" x14ac:dyDescent="0.25">
      <c r="A52" s="7">
        <v>270</v>
      </c>
      <c r="B52" s="81">
        <v>0.49380000000000002</v>
      </c>
      <c r="C52" s="83">
        <v>2755.6</v>
      </c>
      <c r="D52" s="83">
        <v>3002.5</v>
      </c>
      <c r="E52" s="82">
        <v>7.3502000000000001</v>
      </c>
      <c r="F52" s="82"/>
      <c r="G52" s="28"/>
    </row>
    <row r="53" spans="1:7" ht="18.75" customHeight="1" x14ac:dyDescent="0.25">
      <c r="A53" s="7">
        <v>280</v>
      </c>
      <c r="B53" s="81">
        <v>0.50344</v>
      </c>
      <c r="C53" s="83">
        <v>2771.5</v>
      </c>
      <c r="D53" s="83">
        <v>3023.2</v>
      </c>
      <c r="E53" s="82">
        <v>7.3879999999999999</v>
      </c>
      <c r="F53" s="82"/>
      <c r="G53" s="28"/>
    </row>
    <row r="54" spans="1:7" ht="18.75" customHeight="1" x14ac:dyDescent="0.25">
      <c r="A54" s="7">
        <v>290</v>
      </c>
      <c r="B54" s="81">
        <v>0.51304000000000005</v>
      </c>
      <c r="C54" s="83">
        <v>2787.4</v>
      </c>
      <c r="D54" s="83">
        <v>3043.9</v>
      </c>
      <c r="E54" s="82">
        <v>7.4249999999999998</v>
      </c>
      <c r="F54" s="82"/>
      <c r="G54" s="28"/>
    </row>
    <row r="55" spans="1:7" ht="18.75" customHeight="1" x14ac:dyDescent="0.25">
      <c r="A55" s="7">
        <v>300</v>
      </c>
      <c r="B55" s="81">
        <v>0.52261000000000002</v>
      </c>
      <c r="C55" s="83">
        <v>2803.3</v>
      </c>
      <c r="D55" s="83">
        <v>3064.6</v>
      </c>
      <c r="E55" s="82">
        <v>7.4614000000000003</v>
      </c>
      <c r="F55" s="82"/>
      <c r="G55" s="28"/>
    </row>
    <row r="56" spans="1:7" ht="18.75" customHeight="1" x14ac:dyDescent="0.25">
      <c r="A56" s="7">
        <v>310</v>
      </c>
      <c r="B56" s="81">
        <v>0.53215999999999997</v>
      </c>
      <c r="C56" s="83">
        <v>2819.1</v>
      </c>
      <c r="D56" s="83">
        <v>3085.2</v>
      </c>
      <c r="E56" s="82">
        <v>7.4972000000000003</v>
      </c>
      <c r="F56" s="82"/>
      <c r="G56" s="28"/>
    </row>
    <row r="57" spans="1:7" ht="18.75" customHeight="1" x14ac:dyDescent="0.25">
      <c r="A57" s="7">
        <v>320</v>
      </c>
      <c r="B57" s="81">
        <v>0.54169</v>
      </c>
      <c r="C57" s="83">
        <v>2835.1</v>
      </c>
      <c r="D57" s="83">
        <v>3105.9</v>
      </c>
      <c r="E57" s="82">
        <v>7.5323000000000002</v>
      </c>
      <c r="F57" s="82"/>
      <c r="G57" s="28"/>
    </row>
    <row r="58" spans="1:7" ht="18.75" customHeight="1" x14ac:dyDescent="0.25">
      <c r="A58" s="7">
        <v>330</v>
      </c>
      <c r="B58" s="81">
        <v>0.55118999999999996</v>
      </c>
      <c r="C58" s="83">
        <v>2851</v>
      </c>
      <c r="D58" s="83">
        <v>3126.6</v>
      </c>
      <c r="E58" s="82">
        <v>7.5669000000000004</v>
      </c>
      <c r="F58" s="82"/>
      <c r="G58" s="28"/>
    </row>
    <row r="59" spans="1:7" ht="18.75" customHeight="1" x14ac:dyDescent="0.25">
      <c r="A59" s="7">
        <v>340</v>
      </c>
      <c r="B59" s="81">
        <v>0.56067999999999996</v>
      </c>
      <c r="C59" s="83">
        <v>2867</v>
      </c>
      <c r="D59" s="83">
        <v>3147.3</v>
      </c>
      <c r="E59" s="82">
        <v>7.601</v>
      </c>
      <c r="F59" s="82"/>
      <c r="G59" s="28"/>
    </row>
    <row r="60" spans="1:7" ht="18.75" customHeight="1" x14ac:dyDescent="0.25">
      <c r="A60" s="7">
        <v>350</v>
      </c>
      <c r="B60" s="81">
        <v>0.57015000000000005</v>
      </c>
      <c r="C60" s="83">
        <v>2883</v>
      </c>
      <c r="D60" s="83">
        <v>3168.1</v>
      </c>
      <c r="E60" s="82">
        <v>7.6345999999999998</v>
      </c>
      <c r="F60" s="82"/>
      <c r="G60" s="28"/>
    </row>
    <row r="61" spans="1:7" ht="18.75" customHeight="1" x14ac:dyDescent="0.25">
      <c r="A61" s="7">
        <v>360</v>
      </c>
      <c r="B61" s="81">
        <v>0.57960999999999996</v>
      </c>
      <c r="C61" s="83">
        <v>2899.1</v>
      </c>
      <c r="D61" s="83">
        <v>3188.9</v>
      </c>
      <c r="E61" s="82">
        <v>7.6677</v>
      </c>
      <c r="F61" s="82"/>
      <c r="G61" s="28"/>
    </row>
    <row r="62" spans="1:7" ht="18.75" customHeight="1" x14ac:dyDescent="0.25">
      <c r="A62" s="7">
        <v>370</v>
      </c>
      <c r="B62" s="81">
        <v>0.58904999999999996</v>
      </c>
      <c r="C62" s="83">
        <v>2915.2</v>
      </c>
      <c r="D62" s="83">
        <v>3209.7</v>
      </c>
      <c r="E62" s="82">
        <v>7.7003000000000004</v>
      </c>
      <c r="F62" s="82"/>
      <c r="G62" s="28"/>
    </row>
    <row r="63" spans="1:7" ht="18.75" customHeight="1" x14ac:dyDescent="0.25">
      <c r="A63" s="7">
        <v>380</v>
      </c>
      <c r="B63" s="81">
        <v>0.59848000000000001</v>
      </c>
      <c r="C63" s="83">
        <v>2931.3</v>
      </c>
      <c r="D63" s="83">
        <v>3230.5</v>
      </c>
      <c r="E63" s="82">
        <v>7.7324999999999999</v>
      </c>
      <c r="F63" s="82"/>
      <c r="G63" s="28"/>
    </row>
    <row r="64" spans="1:7" ht="18.75" customHeight="1" x14ac:dyDescent="0.25">
      <c r="A64" s="7">
        <v>390</v>
      </c>
      <c r="B64" s="81">
        <v>0.6079</v>
      </c>
      <c r="C64" s="83">
        <v>2947.4</v>
      </c>
      <c r="D64" s="83">
        <v>3251.4</v>
      </c>
      <c r="E64" s="82">
        <v>7.7641999999999998</v>
      </c>
      <c r="F64" s="82"/>
      <c r="G64" s="28"/>
    </row>
    <row r="65" spans="1:7" ht="18.75" customHeight="1" x14ac:dyDescent="0.25">
      <c r="A65" s="7">
        <v>400</v>
      </c>
      <c r="B65" s="81">
        <v>0.61729999999999996</v>
      </c>
      <c r="C65" s="83">
        <v>2963.7</v>
      </c>
      <c r="D65" s="83">
        <v>3272.3</v>
      </c>
      <c r="E65" s="82">
        <v>7.7954999999999997</v>
      </c>
      <c r="F65" s="82"/>
      <c r="G65" s="28"/>
    </row>
    <row r="66" spans="1:7" ht="18.75" customHeight="1" x14ac:dyDescent="0.25">
      <c r="A66" s="7">
        <v>410</v>
      </c>
      <c r="B66" s="81">
        <v>0.62670000000000003</v>
      </c>
      <c r="C66" s="83">
        <v>2979.9</v>
      </c>
      <c r="D66" s="83">
        <v>3293.3</v>
      </c>
      <c r="E66" s="82">
        <v>7.8265000000000002</v>
      </c>
      <c r="F66" s="82"/>
      <c r="G66" s="28"/>
    </row>
    <row r="67" spans="1:7" ht="18.75" customHeight="1" x14ac:dyDescent="0.25">
      <c r="A67" s="7">
        <v>420</v>
      </c>
      <c r="B67" s="81">
        <v>0.63609000000000004</v>
      </c>
      <c r="C67" s="83">
        <v>2996.4</v>
      </c>
      <c r="D67" s="83">
        <v>3314.4</v>
      </c>
      <c r="E67" s="82">
        <v>7.8570000000000002</v>
      </c>
      <c r="F67" s="82"/>
      <c r="G67" s="28"/>
    </row>
    <row r="68" spans="1:7" ht="18.75" customHeight="1" x14ac:dyDescent="0.25">
      <c r="A68" s="7">
        <v>430</v>
      </c>
      <c r="B68" s="81">
        <v>0.64546999999999999</v>
      </c>
      <c r="C68" s="83">
        <v>3012.7</v>
      </c>
      <c r="D68" s="83">
        <v>3335.4</v>
      </c>
      <c r="E68" s="82">
        <v>7.8872</v>
      </c>
      <c r="F68" s="82"/>
      <c r="G68" s="28"/>
    </row>
    <row r="69" spans="1:7" ht="18.75" customHeight="1" x14ac:dyDescent="0.25">
      <c r="A69" s="7">
        <v>440</v>
      </c>
      <c r="B69" s="81">
        <v>0.65483999999999998</v>
      </c>
      <c r="C69" s="83">
        <v>3029.2</v>
      </c>
      <c r="D69" s="83">
        <v>3356.6</v>
      </c>
      <c r="E69" s="82">
        <v>7.9169999999999998</v>
      </c>
      <c r="F69" s="82"/>
      <c r="G69" s="28"/>
    </row>
    <row r="70" spans="1:7" ht="18.75" customHeight="1" x14ac:dyDescent="0.25">
      <c r="A70" s="7">
        <v>450</v>
      </c>
      <c r="B70" s="81">
        <v>0.66420999999999997</v>
      </c>
      <c r="C70" s="83">
        <v>3045.6</v>
      </c>
      <c r="D70" s="83">
        <v>3377.7</v>
      </c>
      <c r="E70" s="82">
        <v>7.9465000000000003</v>
      </c>
      <c r="F70" s="82"/>
      <c r="G70" s="28"/>
    </row>
    <row r="71" spans="1:7" ht="18.75" customHeight="1" x14ac:dyDescent="0.25">
      <c r="A71" s="7">
        <v>460</v>
      </c>
      <c r="B71" s="81">
        <v>0.67357</v>
      </c>
      <c r="C71" s="83">
        <v>3062.2</v>
      </c>
      <c r="D71" s="83">
        <v>3399</v>
      </c>
      <c r="E71" s="82">
        <v>7.9756999999999998</v>
      </c>
      <c r="F71" s="82"/>
      <c r="G71" s="28"/>
    </row>
    <row r="72" spans="1:7" ht="18.75" customHeight="1" x14ac:dyDescent="0.25">
      <c r="A72" s="7">
        <v>470</v>
      </c>
      <c r="B72" s="81">
        <v>0.68291999999999997</v>
      </c>
      <c r="C72" s="83">
        <v>3078.8</v>
      </c>
      <c r="D72" s="83">
        <v>3420.3</v>
      </c>
      <c r="E72" s="82">
        <v>8.0045000000000002</v>
      </c>
      <c r="F72" s="82"/>
      <c r="G72" s="28"/>
    </row>
    <row r="73" spans="1:7" ht="18.75" customHeight="1" x14ac:dyDescent="0.25">
      <c r="A73" s="7">
        <v>480</v>
      </c>
      <c r="B73" s="81">
        <v>0.69227000000000005</v>
      </c>
      <c r="C73" s="83">
        <v>3095.5</v>
      </c>
      <c r="D73" s="83">
        <v>3441.6</v>
      </c>
      <c r="E73" s="82">
        <v>8.0330999999999992</v>
      </c>
      <c r="F73" s="82"/>
      <c r="G73" s="28"/>
    </row>
    <row r="74" spans="1:7" ht="18.75" customHeight="1" x14ac:dyDescent="0.25">
      <c r="A74" s="7">
        <v>490</v>
      </c>
      <c r="B74" s="81">
        <v>0.70160999999999996</v>
      </c>
      <c r="C74" s="83">
        <v>3112.2</v>
      </c>
      <c r="D74" s="83">
        <v>3463</v>
      </c>
      <c r="E74" s="82">
        <v>8.0612999999999992</v>
      </c>
      <c r="F74" s="82"/>
      <c r="G74" s="28"/>
    </row>
    <row r="75" spans="1:7" ht="18.75" customHeight="1" x14ac:dyDescent="0.25">
      <c r="A75" s="7">
        <v>500</v>
      </c>
      <c r="B75" s="81">
        <v>0.71094000000000002</v>
      </c>
      <c r="C75" s="83">
        <v>3129</v>
      </c>
      <c r="D75" s="83">
        <v>3484.5</v>
      </c>
      <c r="E75" s="82">
        <v>8.0891999999999999</v>
      </c>
      <c r="F75" s="82"/>
      <c r="G75" s="28"/>
    </row>
    <row r="76" spans="1:7" ht="18.75" customHeight="1" x14ac:dyDescent="0.25">
      <c r="A76" s="7">
        <v>520</v>
      </c>
      <c r="B76" s="81">
        <v>0.72960000000000003</v>
      </c>
      <c r="C76" s="83">
        <v>3162.8</v>
      </c>
      <c r="D76" s="83">
        <v>3527.6</v>
      </c>
      <c r="E76" s="82">
        <v>8.1442999999999994</v>
      </c>
      <c r="F76" s="82"/>
      <c r="G76" s="28"/>
    </row>
    <row r="77" spans="1:7" ht="18.75" customHeight="1" x14ac:dyDescent="0.25">
      <c r="A77" s="7">
        <v>540</v>
      </c>
      <c r="B77" s="81">
        <v>0.74824000000000002</v>
      </c>
      <c r="C77" s="83">
        <v>3196.8</v>
      </c>
      <c r="D77" s="83">
        <v>3570.9</v>
      </c>
      <c r="E77" s="82">
        <v>8.1982999999999997</v>
      </c>
      <c r="F77" s="82"/>
      <c r="G77" s="28"/>
    </row>
    <row r="78" spans="1:7" ht="18.75" customHeight="1" x14ac:dyDescent="0.25">
      <c r="A78" s="7">
        <v>560</v>
      </c>
      <c r="B78" s="81">
        <v>0.76687000000000005</v>
      </c>
      <c r="C78" s="83">
        <v>3231.1</v>
      </c>
      <c r="D78" s="83">
        <v>3614.5</v>
      </c>
      <c r="E78" s="82">
        <v>8.2512000000000008</v>
      </c>
      <c r="F78" s="82"/>
      <c r="G78" s="28"/>
    </row>
    <row r="79" spans="1:7" ht="18.75" customHeight="1" x14ac:dyDescent="0.25">
      <c r="A79" s="7">
        <v>580</v>
      </c>
      <c r="B79" s="81">
        <v>0.78547999999999996</v>
      </c>
      <c r="C79" s="83">
        <v>3265.7</v>
      </c>
      <c r="D79" s="83">
        <v>3658.4</v>
      </c>
      <c r="E79" s="82">
        <v>8.3032000000000004</v>
      </c>
      <c r="F79" s="82"/>
      <c r="G79" s="28"/>
    </row>
    <row r="80" spans="1:7" ht="18.75" customHeight="1" x14ac:dyDescent="0.25">
      <c r="A80" s="7">
        <v>600</v>
      </c>
      <c r="B80" s="81">
        <v>0.80408999999999997</v>
      </c>
      <c r="C80" s="83">
        <v>3300.5</v>
      </c>
      <c r="D80" s="83">
        <v>3702.5</v>
      </c>
      <c r="E80" s="82">
        <v>8.3543000000000003</v>
      </c>
      <c r="F80" s="82"/>
      <c r="G80" s="28"/>
    </row>
    <row r="81" spans="1:7" ht="18.75" customHeight="1" x14ac:dyDescent="0.25">
      <c r="A81" s="7">
        <v>620</v>
      </c>
      <c r="B81" s="81">
        <v>0.82267999999999997</v>
      </c>
      <c r="C81" s="83">
        <v>3335.5</v>
      </c>
      <c r="D81" s="83">
        <v>3746.8</v>
      </c>
      <c r="E81" s="82">
        <v>8.4046000000000003</v>
      </c>
      <c r="F81" s="82"/>
      <c r="G81" s="28"/>
    </row>
    <row r="82" spans="1:7" ht="18.75" customHeight="1" x14ac:dyDescent="0.25">
      <c r="A82" s="7">
        <v>640</v>
      </c>
      <c r="B82" s="81">
        <v>0.84126000000000001</v>
      </c>
      <c r="C82" s="83">
        <v>3370.9</v>
      </c>
      <c r="D82" s="83">
        <v>3791.5</v>
      </c>
      <c r="E82" s="82">
        <v>8.4540000000000006</v>
      </c>
      <c r="F82" s="82"/>
      <c r="G82" s="28"/>
    </row>
    <row r="83" spans="1:7" ht="18.75" customHeight="1" x14ac:dyDescent="0.25">
      <c r="A83" s="7">
        <v>660</v>
      </c>
      <c r="B83" s="81">
        <v>0.85982999999999998</v>
      </c>
      <c r="C83" s="83">
        <v>3406.5</v>
      </c>
      <c r="D83" s="83">
        <v>3836.4</v>
      </c>
      <c r="E83" s="82">
        <v>8.5027000000000008</v>
      </c>
      <c r="F83" s="82"/>
      <c r="G83" s="28"/>
    </row>
    <row r="84" spans="1:7" ht="18.75" customHeight="1" x14ac:dyDescent="0.25">
      <c r="A84" s="7">
        <v>680</v>
      </c>
      <c r="B84" s="81">
        <v>0.87839999999999996</v>
      </c>
      <c r="C84" s="83">
        <v>3442.4</v>
      </c>
      <c r="D84" s="83">
        <v>3881.6</v>
      </c>
      <c r="E84" s="82">
        <v>8.5505999999999993</v>
      </c>
      <c r="F84" s="82"/>
      <c r="G84" s="28"/>
    </row>
    <row r="85" spans="1:7" ht="18.75" customHeight="1" x14ac:dyDescent="0.25">
      <c r="A85" s="7">
        <v>700</v>
      </c>
      <c r="B85" s="81">
        <v>0.89695999999999998</v>
      </c>
      <c r="C85" s="83">
        <v>3478.5</v>
      </c>
      <c r="D85" s="83">
        <v>3927</v>
      </c>
      <c r="E85" s="82">
        <v>8.5976999999999997</v>
      </c>
      <c r="F85" s="82"/>
      <c r="G85" s="28"/>
    </row>
    <row r="86" spans="1:7" ht="18.75" customHeight="1" x14ac:dyDescent="0.25">
      <c r="A86" s="7">
        <v>720</v>
      </c>
      <c r="B86" s="81">
        <v>0.91551000000000005</v>
      </c>
      <c r="C86" s="83">
        <v>3514.9</v>
      </c>
      <c r="D86" s="83">
        <v>3972.7</v>
      </c>
      <c r="E86" s="82">
        <v>8.6442999999999994</v>
      </c>
      <c r="F86" s="82"/>
      <c r="G86" s="28"/>
    </row>
    <row r="87" spans="1:7" ht="18.75" customHeight="1" x14ac:dyDescent="0.25">
      <c r="A87" s="7">
        <v>740</v>
      </c>
      <c r="B87" s="81">
        <v>0.93405000000000005</v>
      </c>
      <c r="C87" s="83">
        <v>3551.7</v>
      </c>
      <c r="D87" s="83">
        <v>4018.7</v>
      </c>
      <c r="E87" s="82">
        <v>8.6900999999999993</v>
      </c>
      <c r="F87" s="82"/>
      <c r="G87" s="28"/>
    </row>
    <row r="88" spans="1:7" ht="18.75" customHeight="1" x14ac:dyDescent="0.25">
      <c r="A88" s="7">
        <v>760</v>
      </c>
      <c r="B88" s="81">
        <v>0.95259000000000005</v>
      </c>
      <c r="C88" s="83">
        <v>3588.7</v>
      </c>
      <c r="D88" s="83">
        <v>4065</v>
      </c>
      <c r="E88" s="82">
        <v>8.7353000000000005</v>
      </c>
      <c r="F88" s="82"/>
      <c r="G88" s="28"/>
    </row>
    <row r="89" spans="1:7" ht="18.75" customHeight="1" x14ac:dyDescent="0.25">
      <c r="A89" s="7">
        <v>780</v>
      </c>
      <c r="B89" s="81">
        <v>0.97113000000000005</v>
      </c>
      <c r="C89" s="83">
        <v>3626</v>
      </c>
      <c r="D89" s="83">
        <v>4111.6000000000004</v>
      </c>
      <c r="E89" s="82">
        <v>8.7799999999999994</v>
      </c>
      <c r="F89" s="82"/>
      <c r="G89" s="28"/>
    </row>
    <row r="90" spans="1:7" ht="18.75" customHeight="1" x14ac:dyDescent="0.25">
      <c r="A90" s="7">
        <v>800</v>
      </c>
      <c r="B90" s="81">
        <v>0.98965999999999998</v>
      </c>
      <c r="C90" s="83">
        <v>3663.6</v>
      </c>
      <c r="D90" s="83">
        <v>4158.3999999999996</v>
      </c>
      <c r="E90" s="82">
        <v>8.8239999999999998</v>
      </c>
      <c r="F90" s="82"/>
      <c r="G90" s="28"/>
    </row>
    <row r="91" spans="1:7" ht="18.75" customHeight="1" x14ac:dyDescent="0.25">
      <c r="A91" s="7">
        <v>820</v>
      </c>
      <c r="B91" s="82">
        <v>1.0082</v>
      </c>
      <c r="C91" s="83">
        <v>3701.4</v>
      </c>
      <c r="D91" s="83">
        <v>4205.5</v>
      </c>
      <c r="E91" s="82">
        <v>8.8674999999999997</v>
      </c>
      <c r="F91" s="82"/>
      <c r="G91" s="28"/>
    </row>
    <row r="92" spans="1:7" ht="18.75" customHeight="1" x14ac:dyDescent="0.25">
      <c r="A92" s="7">
        <v>840</v>
      </c>
      <c r="B92" s="82">
        <v>1.0266999999999999</v>
      </c>
      <c r="C92" s="83">
        <v>3739.4</v>
      </c>
      <c r="D92" s="83">
        <v>4252.8</v>
      </c>
      <c r="E92" s="82">
        <v>8.9103999999999992</v>
      </c>
      <c r="F92" s="82"/>
      <c r="G92" s="28"/>
    </row>
    <row r="93" spans="1:7" ht="18.75" customHeight="1" x14ac:dyDescent="0.25">
      <c r="A93" s="7">
        <v>860</v>
      </c>
      <c r="B93" s="82">
        <v>1.0451999999999999</v>
      </c>
      <c r="C93" s="83">
        <v>3777.9</v>
      </c>
      <c r="D93" s="83">
        <v>4300.5</v>
      </c>
      <c r="E93" s="82">
        <v>8.9527999999999999</v>
      </c>
      <c r="F93" s="82"/>
      <c r="G93" s="28"/>
    </row>
    <row r="94" spans="1:7" ht="18.75" customHeight="1" x14ac:dyDescent="0.25">
      <c r="A94" s="7">
        <v>880</v>
      </c>
      <c r="B94" s="82">
        <v>1.0637000000000001</v>
      </c>
      <c r="C94" s="83">
        <v>3816.5</v>
      </c>
      <c r="D94" s="83">
        <v>4348.3999999999996</v>
      </c>
      <c r="E94" s="82">
        <v>8.9946999999999999</v>
      </c>
      <c r="F94" s="82"/>
      <c r="G94" s="28"/>
    </row>
    <row r="95" spans="1:7" ht="18.75" customHeight="1" x14ac:dyDescent="0.25">
      <c r="A95" s="7">
        <v>900</v>
      </c>
      <c r="B95" s="82">
        <v>1.0823</v>
      </c>
      <c r="C95" s="83">
        <v>3855.5</v>
      </c>
      <c r="D95" s="83">
        <v>4396.6000000000004</v>
      </c>
      <c r="E95" s="82">
        <v>9.0361999999999991</v>
      </c>
      <c r="F95" s="82"/>
      <c r="G95" s="28"/>
    </row>
    <row r="96" spans="1:7" ht="18.75" customHeight="1" x14ac:dyDescent="0.25">
      <c r="A96" s="7">
        <v>920</v>
      </c>
      <c r="B96" s="82">
        <v>1.1008</v>
      </c>
      <c r="C96" s="83">
        <v>3894.6</v>
      </c>
      <c r="D96" s="83">
        <v>4445</v>
      </c>
      <c r="E96" s="82">
        <v>9.0770999999999997</v>
      </c>
      <c r="F96" s="82"/>
      <c r="G96" s="28"/>
    </row>
    <row r="97" spans="1:7" ht="18.75" customHeight="1" x14ac:dyDescent="0.25">
      <c r="A97" s="7">
        <v>940</v>
      </c>
      <c r="B97" s="82">
        <v>1.1193</v>
      </c>
      <c r="C97" s="83">
        <v>3934.1</v>
      </c>
      <c r="D97" s="83">
        <v>4493.7</v>
      </c>
      <c r="E97" s="82">
        <v>9.1175999999999995</v>
      </c>
      <c r="F97" s="82"/>
      <c r="G97" s="28"/>
    </row>
    <row r="98" spans="1:7" ht="18.75" customHeight="1" x14ac:dyDescent="0.25">
      <c r="A98" s="7">
        <v>960</v>
      </c>
      <c r="B98" s="82">
        <v>1.1377999999999999</v>
      </c>
      <c r="C98" s="83">
        <v>3973.8</v>
      </c>
      <c r="D98" s="83">
        <v>4542.7</v>
      </c>
      <c r="E98" s="82">
        <v>9.1576000000000004</v>
      </c>
      <c r="F98" s="82"/>
      <c r="G98" s="28"/>
    </row>
    <row r="99" spans="1:7" ht="18.75" customHeight="1" x14ac:dyDescent="0.25">
      <c r="A99" s="7">
        <v>980</v>
      </c>
      <c r="B99" s="82">
        <v>1.1563000000000001</v>
      </c>
      <c r="C99" s="83">
        <v>4013.8</v>
      </c>
      <c r="D99" s="83">
        <v>4591.8999999999996</v>
      </c>
      <c r="E99" s="82">
        <v>9.1972000000000005</v>
      </c>
      <c r="F99" s="82"/>
      <c r="G99" s="28"/>
    </row>
    <row r="100" spans="1:7" ht="13.8" x14ac:dyDescent="0.25">
      <c r="A100" s="7">
        <v>1000</v>
      </c>
      <c r="B100" s="82">
        <v>1.1748000000000001</v>
      </c>
      <c r="C100" s="83">
        <v>4054</v>
      </c>
      <c r="D100" s="83">
        <v>4641.3999999999996</v>
      </c>
      <c r="E100" s="82">
        <v>9.2363999999999997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H100"/>
  <sheetViews>
    <sheetView topLeftCell="A19" workbookViewId="0">
      <selection activeCell="A37" sqref="A37:XFD37"/>
    </sheetView>
  </sheetViews>
  <sheetFormatPr defaultRowHeight="13.2" x14ac:dyDescent="0.25"/>
  <cols>
    <col min="1" max="1" width="6.21875" customWidth="1"/>
    <col min="2" max="2" width="11.2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59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550</v>
      </c>
      <c r="G2" s="28"/>
      <c r="H2" s="28"/>
    </row>
    <row r="3" spans="1:8" ht="18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9.9993E-4</v>
      </c>
      <c r="C5" s="80">
        <v>-0.03</v>
      </c>
      <c r="D5" s="80">
        <v>0.52</v>
      </c>
      <c r="E5" s="81">
        <v>-1.2E-4</v>
      </c>
      <c r="F5" s="81"/>
      <c r="G5" s="28"/>
      <c r="H5" s="28"/>
    </row>
    <row r="6" spans="1:8" ht="18.75" customHeight="1" x14ac:dyDescent="0.25">
      <c r="A6" s="7">
        <v>5</v>
      </c>
      <c r="B6" s="79">
        <v>9.9981000000000006E-4</v>
      </c>
      <c r="C6" s="80">
        <v>21.02</v>
      </c>
      <c r="D6" s="80">
        <v>21.57</v>
      </c>
      <c r="E6" s="81">
        <v>7.6240000000000002E-2</v>
      </c>
      <c r="F6" s="81"/>
      <c r="G6" s="28"/>
      <c r="H6" s="28"/>
    </row>
    <row r="7" spans="1:8" ht="18.75" customHeight="1" x14ac:dyDescent="0.25">
      <c r="A7" s="7">
        <v>10</v>
      </c>
      <c r="B7" s="79">
        <v>1.00008E-3</v>
      </c>
      <c r="C7" s="80">
        <v>42.01</v>
      </c>
      <c r="D7" s="80">
        <v>42.56</v>
      </c>
      <c r="E7" s="81">
        <v>0.15104000000000001</v>
      </c>
      <c r="F7" s="81"/>
      <c r="G7" s="28"/>
    </row>
    <row r="8" spans="1:8" ht="18.75" customHeight="1" x14ac:dyDescent="0.25">
      <c r="A8" s="7">
        <v>15</v>
      </c>
      <c r="B8" s="79">
        <v>1.00069E-3</v>
      </c>
      <c r="C8" s="80">
        <v>62.96</v>
      </c>
      <c r="D8" s="80">
        <v>63.51</v>
      </c>
      <c r="E8" s="81">
        <v>0.22438</v>
      </c>
      <c r="F8" s="81"/>
      <c r="G8" s="28"/>
    </row>
    <row r="9" spans="1:8" ht="18.75" customHeight="1" x14ac:dyDescent="0.25">
      <c r="A9" s="7">
        <v>20</v>
      </c>
      <c r="B9" s="79">
        <v>1.0015899999999999E-3</v>
      </c>
      <c r="C9" s="80">
        <v>83.88</v>
      </c>
      <c r="D9" s="80">
        <v>84.43</v>
      </c>
      <c r="E9" s="81">
        <v>0.29637000000000002</v>
      </c>
      <c r="F9" s="81"/>
      <c r="G9" s="28"/>
    </row>
    <row r="10" spans="1:8" ht="18.75" customHeight="1" x14ac:dyDescent="0.25">
      <c r="A10" s="7">
        <v>25</v>
      </c>
      <c r="B10" s="79">
        <v>1.0027599999999999E-3</v>
      </c>
      <c r="C10" s="80">
        <v>104.79</v>
      </c>
      <c r="D10" s="80">
        <v>105.34</v>
      </c>
      <c r="E10" s="81">
        <v>0.36708000000000002</v>
      </c>
      <c r="F10" s="81"/>
      <c r="G10" s="28"/>
    </row>
    <row r="11" spans="1:8" ht="18.75" customHeight="1" x14ac:dyDescent="0.25">
      <c r="A11" s="7">
        <v>30</v>
      </c>
      <c r="B11" s="79">
        <v>1.00417E-3</v>
      </c>
      <c r="C11" s="80">
        <v>125.68</v>
      </c>
      <c r="D11" s="80">
        <v>126.23</v>
      </c>
      <c r="E11" s="81">
        <v>0.43658999999999998</v>
      </c>
      <c r="F11" s="81"/>
      <c r="G11" s="28"/>
    </row>
    <row r="12" spans="1:8" ht="18.75" customHeight="1" x14ac:dyDescent="0.25">
      <c r="A12" s="7">
        <v>35</v>
      </c>
      <c r="B12" s="79">
        <v>1.0058000000000001E-3</v>
      </c>
      <c r="C12" s="80">
        <v>146.57</v>
      </c>
      <c r="D12" s="80">
        <v>147.12</v>
      </c>
      <c r="E12" s="81">
        <v>0.50494000000000006</v>
      </c>
      <c r="F12" s="81"/>
      <c r="G12" s="28"/>
    </row>
    <row r="13" spans="1:8" ht="18.75" customHeight="1" x14ac:dyDescent="0.25">
      <c r="A13" s="7">
        <v>40</v>
      </c>
      <c r="B13" s="79">
        <v>1.00764E-3</v>
      </c>
      <c r="C13" s="80">
        <v>167.46</v>
      </c>
      <c r="D13" s="80">
        <v>168.01</v>
      </c>
      <c r="E13" s="81">
        <v>0.57218999999999998</v>
      </c>
      <c r="F13" s="81"/>
      <c r="G13" s="28"/>
    </row>
    <row r="14" spans="1:8" ht="18.75" customHeight="1" x14ac:dyDescent="0.25">
      <c r="A14" s="7">
        <v>45</v>
      </c>
      <c r="B14" s="79">
        <v>1.00968E-3</v>
      </c>
      <c r="C14" s="80">
        <v>188.35</v>
      </c>
      <c r="D14" s="80">
        <v>188.91</v>
      </c>
      <c r="E14" s="81">
        <v>0.63837999999999995</v>
      </c>
      <c r="F14" s="81"/>
      <c r="G14" s="28"/>
    </row>
    <row r="15" spans="1:8" ht="18.75" customHeight="1" x14ac:dyDescent="0.25">
      <c r="A15" s="7">
        <v>50</v>
      </c>
      <c r="B15" s="79">
        <v>1.01191E-3</v>
      </c>
      <c r="C15" s="80">
        <v>209.25</v>
      </c>
      <c r="D15" s="80">
        <v>209.81</v>
      </c>
      <c r="E15" s="81">
        <v>0.70355999999999996</v>
      </c>
      <c r="F15" s="81"/>
      <c r="G15" s="28"/>
    </row>
    <row r="16" spans="1:8" ht="18.75" customHeight="1" x14ac:dyDescent="0.25">
      <c r="A16" s="7">
        <v>55</v>
      </c>
      <c r="B16" s="79">
        <v>1.01431E-3</v>
      </c>
      <c r="C16" s="80">
        <v>230.15</v>
      </c>
      <c r="D16" s="80">
        <v>230.71</v>
      </c>
      <c r="E16" s="81">
        <v>0.76776</v>
      </c>
      <c r="F16" s="81"/>
      <c r="G16" s="28"/>
    </row>
    <row r="17" spans="1:7" ht="18.75" customHeight="1" x14ac:dyDescent="0.25">
      <c r="A17" s="7">
        <v>60</v>
      </c>
      <c r="B17" s="79">
        <v>1.0168899999999999E-3</v>
      </c>
      <c r="C17" s="80">
        <v>251.07</v>
      </c>
      <c r="D17" s="80">
        <v>251.63</v>
      </c>
      <c r="E17" s="81">
        <v>0.83101000000000003</v>
      </c>
      <c r="F17" s="81"/>
      <c r="G17" s="28"/>
    </row>
    <row r="18" spans="1:7" ht="18.75" customHeight="1" x14ac:dyDescent="0.25">
      <c r="A18" s="7">
        <v>65</v>
      </c>
      <c r="B18" s="79">
        <v>1.0196300000000001E-3</v>
      </c>
      <c r="C18" s="80">
        <v>271.99</v>
      </c>
      <c r="D18" s="80">
        <v>272.55</v>
      </c>
      <c r="E18" s="81">
        <v>0.89336000000000004</v>
      </c>
      <c r="F18" s="81"/>
      <c r="G18" s="28"/>
    </row>
    <row r="19" spans="1:7" ht="18.75" customHeight="1" x14ac:dyDescent="0.25">
      <c r="A19" s="7">
        <v>70</v>
      </c>
      <c r="B19" s="79">
        <v>1.02253E-3</v>
      </c>
      <c r="C19" s="80">
        <v>292.93</v>
      </c>
      <c r="D19" s="80">
        <v>293.49</v>
      </c>
      <c r="E19" s="81">
        <v>0.95482</v>
      </c>
      <c r="F19" s="81"/>
      <c r="G19" s="28"/>
    </row>
    <row r="20" spans="1:7" ht="18.75" customHeight="1" x14ac:dyDescent="0.25">
      <c r="A20" s="7">
        <v>75</v>
      </c>
      <c r="B20" s="79">
        <v>1.0256E-3</v>
      </c>
      <c r="C20" s="80">
        <v>313.88</v>
      </c>
      <c r="D20" s="80">
        <v>314.44</v>
      </c>
      <c r="E20" s="82">
        <v>1.0154000000000001</v>
      </c>
      <c r="F20" s="82"/>
      <c r="G20" s="28"/>
    </row>
    <row r="21" spans="1:7" ht="18.75" customHeight="1" x14ac:dyDescent="0.25">
      <c r="A21" s="7">
        <v>80</v>
      </c>
      <c r="B21" s="79">
        <v>1.02882E-3</v>
      </c>
      <c r="C21" s="80">
        <v>334.84</v>
      </c>
      <c r="D21" s="80">
        <v>335.41</v>
      </c>
      <c r="E21" s="82">
        <v>1.0751999999999999</v>
      </c>
      <c r="F21" s="82"/>
      <c r="G21" s="28"/>
    </row>
    <row r="22" spans="1:7" ht="18.75" customHeight="1" x14ac:dyDescent="0.25">
      <c r="A22" s="7">
        <v>85</v>
      </c>
      <c r="B22" s="79">
        <v>1.0321900000000001E-3</v>
      </c>
      <c r="C22" s="80">
        <v>355.83</v>
      </c>
      <c r="D22" s="80">
        <v>356.4</v>
      </c>
      <c r="E22" s="82">
        <v>1.1343000000000001</v>
      </c>
      <c r="F22" s="82"/>
      <c r="G22" s="28"/>
    </row>
    <row r="23" spans="1:7" ht="18.75" customHeight="1" x14ac:dyDescent="0.25">
      <c r="A23" s="7">
        <v>90</v>
      </c>
      <c r="B23" s="79">
        <v>1.03572E-3</v>
      </c>
      <c r="C23" s="80">
        <v>376.84</v>
      </c>
      <c r="D23" s="80">
        <v>377.41</v>
      </c>
      <c r="E23" s="82">
        <v>1.1924999999999999</v>
      </c>
      <c r="F23" s="82"/>
      <c r="G23" s="28"/>
    </row>
    <row r="24" spans="1:7" ht="18.75" customHeight="1" x14ac:dyDescent="0.25">
      <c r="A24" s="7">
        <v>95</v>
      </c>
      <c r="B24" s="79">
        <v>1.0394E-3</v>
      </c>
      <c r="C24" s="80">
        <v>397.87</v>
      </c>
      <c r="D24" s="80">
        <v>398.44</v>
      </c>
      <c r="E24" s="82">
        <v>1.25</v>
      </c>
      <c r="F24" s="82"/>
      <c r="G24" s="28"/>
    </row>
    <row r="25" spans="1:7" ht="18.75" customHeight="1" x14ac:dyDescent="0.25">
      <c r="A25" s="7">
        <v>100</v>
      </c>
      <c r="B25" s="79">
        <v>1.04323E-3</v>
      </c>
      <c r="C25" s="80">
        <v>418.93</v>
      </c>
      <c r="D25" s="80">
        <v>419.5</v>
      </c>
      <c r="E25" s="82">
        <v>1.3069</v>
      </c>
      <c r="F25" s="82"/>
      <c r="G25" s="28"/>
    </row>
    <row r="26" spans="1:7" ht="18.75" customHeight="1" x14ac:dyDescent="0.25">
      <c r="A26" s="7">
        <v>105</v>
      </c>
      <c r="B26" s="79">
        <v>1.04722E-3</v>
      </c>
      <c r="C26" s="80">
        <v>440.01</v>
      </c>
      <c r="D26" s="80">
        <v>440.59</v>
      </c>
      <c r="E26" s="82">
        <v>1.363</v>
      </c>
      <c r="F26" s="82"/>
      <c r="G26" s="28"/>
    </row>
    <row r="27" spans="1:7" ht="18.75" customHeight="1" x14ac:dyDescent="0.25">
      <c r="A27" s="7">
        <v>110</v>
      </c>
      <c r="B27" s="79">
        <v>1.0513600000000001E-3</v>
      </c>
      <c r="C27" s="80">
        <v>461.13</v>
      </c>
      <c r="D27" s="80">
        <v>461.71</v>
      </c>
      <c r="E27" s="82">
        <v>1.4185000000000001</v>
      </c>
      <c r="F27" s="82"/>
      <c r="G27" s="28"/>
    </row>
    <row r="28" spans="1:7" ht="18.75" customHeight="1" x14ac:dyDescent="0.25">
      <c r="A28" s="7">
        <v>115</v>
      </c>
      <c r="B28" s="79">
        <v>1.0556700000000001E-3</v>
      </c>
      <c r="C28" s="80">
        <v>482.29</v>
      </c>
      <c r="D28" s="80">
        <v>482.87</v>
      </c>
      <c r="E28" s="82">
        <v>1.4733000000000001</v>
      </c>
      <c r="F28" s="82"/>
      <c r="G28" s="28"/>
    </row>
    <row r="29" spans="1:7" ht="18.75" customHeight="1" x14ac:dyDescent="0.25">
      <c r="A29" s="7">
        <v>120</v>
      </c>
      <c r="B29" s="79">
        <v>1.0601300000000001E-3</v>
      </c>
      <c r="C29" s="80">
        <v>503.48</v>
      </c>
      <c r="D29" s="80">
        <v>504.06</v>
      </c>
      <c r="E29" s="82">
        <v>1.5276000000000001</v>
      </c>
      <c r="F29" s="82"/>
      <c r="G29" s="28"/>
    </row>
    <row r="30" spans="1:7" ht="18.75" customHeight="1" x14ac:dyDescent="0.25">
      <c r="A30" s="7">
        <v>125</v>
      </c>
      <c r="B30" s="79">
        <v>1.0647499999999999E-3</v>
      </c>
      <c r="C30" s="80">
        <v>524.70000000000005</v>
      </c>
      <c r="D30" s="80">
        <v>525.29</v>
      </c>
      <c r="E30" s="82">
        <v>1.5812999999999999</v>
      </c>
      <c r="F30" s="82"/>
      <c r="G30" s="28"/>
    </row>
    <row r="31" spans="1:7" ht="18.75" customHeight="1" x14ac:dyDescent="0.25">
      <c r="A31" s="7">
        <v>130</v>
      </c>
      <c r="B31" s="79">
        <v>1.0695399999999999E-3</v>
      </c>
      <c r="C31" s="80">
        <v>545.98</v>
      </c>
      <c r="D31" s="80">
        <v>546.57000000000005</v>
      </c>
      <c r="E31" s="82">
        <v>1.6344000000000001</v>
      </c>
      <c r="F31" s="82"/>
      <c r="G31" s="28"/>
    </row>
    <row r="32" spans="1:7" ht="18.75" customHeight="1" x14ac:dyDescent="0.25">
      <c r="A32" s="7">
        <v>135</v>
      </c>
      <c r="B32" s="79">
        <v>1.0744999999999999E-3</v>
      </c>
      <c r="C32" s="80">
        <v>567.30999999999995</v>
      </c>
      <c r="D32" s="80">
        <v>567.9</v>
      </c>
      <c r="E32" s="82">
        <v>1.6870000000000001</v>
      </c>
      <c r="F32" s="82"/>
      <c r="G32" s="28"/>
    </row>
    <row r="33" spans="1:7" ht="18.75" customHeight="1" x14ac:dyDescent="0.25">
      <c r="A33" s="7">
        <v>140</v>
      </c>
      <c r="B33" s="79">
        <v>1.07964E-3</v>
      </c>
      <c r="C33" s="80">
        <v>588.69000000000005</v>
      </c>
      <c r="D33" s="80">
        <v>589.28</v>
      </c>
      <c r="E33" s="82">
        <v>1.7390000000000001</v>
      </c>
      <c r="F33" s="82"/>
      <c r="G33" s="28"/>
    </row>
    <row r="34" spans="1:7" ht="18.75" customHeight="1" x14ac:dyDescent="0.25">
      <c r="A34" s="7">
        <v>145</v>
      </c>
      <c r="B34" s="79">
        <v>1.0849500000000001E-3</v>
      </c>
      <c r="C34" s="80">
        <v>610.12</v>
      </c>
      <c r="D34" s="80">
        <v>610.72</v>
      </c>
      <c r="E34" s="82">
        <v>1.7906</v>
      </c>
      <c r="F34" s="82"/>
      <c r="G34" s="28"/>
    </row>
    <row r="35" spans="1:7" ht="18.75" customHeight="1" x14ac:dyDescent="0.25">
      <c r="A35" s="7">
        <v>150</v>
      </c>
      <c r="B35" s="79">
        <v>1.09045E-3</v>
      </c>
      <c r="C35" s="80">
        <v>631.62</v>
      </c>
      <c r="D35" s="80">
        <v>632.22</v>
      </c>
      <c r="E35" s="82">
        <v>1.8416999999999999</v>
      </c>
      <c r="F35" s="82"/>
      <c r="G35" s="28"/>
    </row>
    <row r="36" spans="1:7" ht="18.75" customHeight="1" x14ac:dyDescent="0.25">
      <c r="A36" s="7">
        <v>155</v>
      </c>
      <c r="B36" s="79">
        <v>1.0961499999999999E-3</v>
      </c>
      <c r="C36" s="80">
        <v>653.19000000000005</v>
      </c>
      <c r="D36" s="80">
        <v>653.79</v>
      </c>
      <c r="E36" s="82">
        <v>1.8924000000000001</v>
      </c>
      <c r="F36" s="82"/>
      <c r="G36" s="28"/>
    </row>
    <row r="37" spans="1:7" ht="18.75" customHeight="1" x14ac:dyDescent="0.25">
      <c r="A37" s="7">
        <v>160</v>
      </c>
      <c r="B37" s="81">
        <v>0.34715000000000001</v>
      </c>
      <c r="C37" s="83">
        <v>2572.4</v>
      </c>
      <c r="D37" s="83">
        <v>2763.3</v>
      </c>
      <c r="E37" s="82">
        <v>6.8140000000000001</v>
      </c>
      <c r="F37" s="82"/>
      <c r="G37" s="28"/>
    </row>
    <row r="38" spans="1:7" ht="18.75" customHeight="1" x14ac:dyDescent="0.25">
      <c r="A38" s="7">
        <v>165</v>
      </c>
      <c r="B38" s="81">
        <v>0.35208</v>
      </c>
      <c r="C38" s="83">
        <v>2581.5</v>
      </c>
      <c r="D38" s="83">
        <v>2775.1</v>
      </c>
      <c r="E38" s="82">
        <v>6.8410000000000002</v>
      </c>
      <c r="F38" s="82"/>
      <c r="G38" s="28"/>
    </row>
    <row r="39" spans="1:7" ht="18.75" customHeight="1" x14ac:dyDescent="0.25">
      <c r="A39" s="7">
        <v>170</v>
      </c>
      <c r="B39" s="81">
        <v>0.35694999999999999</v>
      </c>
      <c r="C39" s="83">
        <v>2590.3000000000002</v>
      </c>
      <c r="D39" s="83">
        <v>2786.6</v>
      </c>
      <c r="E39" s="82">
        <v>6.8673000000000002</v>
      </c>
      <c r="F39" s="82"/>
      <c r="G39" s="28"/>
    </row>
    <row r="40" spans="1:7" ht="18.75" customHeight="1" x14ac:dyDescent="0.25">
      <c r="A40" s="7">
        <v>175</v>
      </c>
      <c r="B40" s="81">
        <v>0.36176999999999998</v>
      </c>
      <c r="C40" s="83">
        <v>2599</v>
      </c>
      <c r="D40" s="83">
        <v>2798</v>
      </c>
      <c r="E40" s="82">
        <v>6.8928000000000003</v>
      </c>
      <c r="F40" s="82"/>
      <c r="G40" s="28"/>
    </row>
    <row r="41" spans="1:7" ht="18.75" customHeight="1" x14ac:dyDescent="0.25">
      <c r="A41" s="7">
        <v>180</v>
      </c>
      <c r="B41" s="81">
        <v>0.36653999999999998</v>
      </c>
      <c r="C41" s="83">
        <v>2607.6999999999998</v>
      </c>
      <c r="D41" s="83">
        <v>2809.3</v>
      </c>
      <c r="E41" s="82">
        <v>6.9177999999999997</v>
      </c>
      <c r="F41" s="82"/>
      <c r="G41" s="28"/>
    </row>
    <row r="42" spans="1:7" ht="18.75" customHeight="1" x14ac:dyDescent="0.25">
      <c r="A42" s="7">
        <v>185</v>
      </c>
      <c r="B42" s="81">
        <v>0.37126999999999999</v>
      </c>
      <c r="C42" s="83">
        <v>2616.1999999999998</v>
      </c>
      <c r="D42" s="83">
        <v>2820.4</v>
      </c>
      <c r="E42" s="82">
        <v>6.9421999999999997</v>
      </c>
      <c r="F42" s="82"/>
      <c r="G42" s="28"/>
    </row>
    <row r="43" spans="1:7" ht="18.75" customHeight="1" x14ac:dyDescent="0.25">
      <c r="A43" s="7">
        <v>190</v>
      </c>
      <c r="B43" s="81">
        <v>0.37597000000000003</v>
      </c>
      <c r="C43" s="83">
        <v>2624.6</v>
      </c>
      <c r="D43" s="83">
        <v>2831.4</v>
      </c>
      <c r="E43" s="82">
        <v>6.9661999999999997</v>
      </c>
      <c r="F43" s="82"/>
      <c r="G43" s="28"/>
    </row>
    <row r="44" spans="1:7" ht="18.75" customHeight="1" x14ac:dyDescent="0.25">
      <c r="A44" s="7">
        <v>195</v>
      </c>
      <c r="B44" s="81">
        <v>0.38063000000000002</v>
      </c>
      <c r="C44" s="83">
        <v>2633.1</v>
      </c>
      <c r="D44" s="83">
        <v>2842.4</v>
      </c>
      <c r="E44" s="82">
        <v>6.9897</v>
      </c>
      <c r="F44" s="82"/>
      <c r="G44" s="28"/>
    </row>
    <row r="45" spans="1:7" ht="18.75" customHeight="1" x14ac:dyDescent="0.25">
      <c r="A45" s="7">
        <v>200</v>
      </c>
      <c r="B45" s="81">
        <v>0.38527</v>
      </c>
      <c r="C45" s="83">
        <v>2641.3</v>
      </c>
      <c r="D45" s="83">
        <v>2853.2</v>
      </c>
      <c r="E45" s="82">
        <v>7.0128000000000004</v>
      </c>
      <c r="F45" s="82"/>
      <c r="G45" s="28"/>
    </row>
    <row r="46" spans="1:7" ht="18.75" customHeight="1" x14ac:dyDescent="0.25">
      <c r="A46" s="7">
        <v>210</v>
      </c>
      <c r="B46" s="81">
        <v>0.39446999999999999</v>
      </c>
      <c r="C46" s="83">
        <v>2657.8</v>
      </c>
      <c r="D46" s="83">
        <v>2874.8</v>
      </c>
      <c r="E46" s="82">
        <v>7.0579000000000001</v>
      </c>
      <c r="F46" s="82"/>
      <c r="G46" s="28"/>
    </row>
    <row r="47" spans="1:7" ht="18.75" customHeight="1" x14ac:dyDescent="0.25">
      <c r="A47" s="7">
        <v>220</v>
      </c>
      <c r="B47" s="81">
        <v>0.40357999999999999</v>
      </c>
      <c r="C47" s="83">
        <v>2674.1</v>
      </c>
      <c r="D47" s="83">
        <v>2896.1</v>
      </c>
      <c r="E47" s="82">
        <v>7.1016000000000004</v>
      </c>
      <c r="F47" s="82"/>
      <c r="G47" s="28"/>
    </row>
    <row r="48" spans="1:7" ht="18.75" customHeight="1" x14ac:dyDescent="0.25">
      <c r="A48" s="7">
        <v>230</v>
      </c>
      <c r="B48" s="81">
        <v>0.41260999999999998</v>
      </c>
      <c r="C48" s="83">
        <v>2690.4</v>
      </c>
      <c r="D48" s="83">
        <v>2917.3</v>
      </c>
      <c r="E48" s="82">
        <v>7.1440999999999999</v>
      </c>
      <c r="F48" s="82"/>
      <c r="G48" s="28"/>
    </row>
    <row r="49" spans="1:7" ht="18.75" customHeight="1" x14ac:dyDescent="0.25">
      <c r="A49" s="7">
        <v>240</v>
      </c>
      <c r="B49" s="81">
        <v>0.42159000000000002</v>
      </c>
      <c r="C49" s="83">
        <v>2706.4</v>
      </c>
      <c r="D49" s="83">
        <v>2938.3</v>
      </c>
      <c r="E49" s="82">
        <v>7.1855000000000002</v>
      </c>
      <c r="F49" s="82"/>
      <c r="G49" s="28"/>
    </row>
    <row r="50" spans="1:7" ht="18.75" customHeight="1" x14ac:dyDescent="0.25">
      <c r="A50" s="7">
        <v>250</v>
      </c>
      <c r="B50" s="81">
        <v>0.43051</v>
      </c>
      <c r="C50" s="83">
        <v>2722.5</v>
      </c>
      <c r="D50" s="83">
        <v>2959.3</v>
      </c>
      <c r="E50" s="82">
        <v>7.2259000000000002</v>
      </c>
      <c r="F50" s="82"/>
      <c r="G50" s="28"/>
    </row>
    <row r="51" spans="1:7" ht="18.75" customHeight="1" x14ac:dyDescent="0.25">
      <c r="A51" s="7">
        <v>260</v>
      </c>
      <c r="B51" s="81">
        <v>0.43937999999999999</v>
      </c>
      <c r="C51" s="83">
        <v>2738.5</v>
      </c>
      <c r="D51" s="83">
        <v>2980.2</v>
      </c>
      <c r="E51" s="82">
        <v>7.2655000000000003</v>
      </c>
      <c r="F51" s="82"/>
      <c r="G51" s="28"/>
    </row>
    <row r="52" spans="1:7" ht="18.75" customHeight="1" x14ac:dyDescent="0.25">
      <c r="A52" s="7">
        <v>270</v>
      </c>
      <c r="B52" s="81">
        <v>0.44821</v>
      </c>
      <c r="C52" s="83">
        <v>2754.5</v>
      </c>
      <c r="D52" s="83">
        <v>3001</v>
      </c>
      <c r="E52" s="82">
        <v>7.3041</v>
      </c>
      <c r="F52" s="82"/>
      <c r="G52" s="28"/>
    </row>
    <row r="53" spans="1:7" ht="18.75" customHeight="1" x14ac:dyDescent="0.25">
      <c r="A53" s="7">
        <v>280</v>
      </c>
      <c r="B53" s="81">
        <v>0.45701000000000003</v>
      </c>
      <c r="C53" s="83">
        <v>2770.4</v>
      </c>
      <c r="D53" s="83">
        <v>3021.8</v>
      </c>
      <c r="E53" s="82">
        <v>7.3421000000000003</v>
      </c>
      <c r="F53" s="82"/>
      <c r="G53" s="28"/>
    </row>
    <row r="54" spans="1:7" ht="18.75" customHeight="1" x14ac:dyDescent="0.25">
      <c r="A54" s="7">
        <v>290</v>
      </c>
      <c r="B54" s="81">
        <v>0.46577000000000002</v>
      </c>
      <c r="C54" s="83">
        <v>2786.3</v>
      </c>
      <c r="D54" s="83">
        <v>3042.5</v>
      </c>
      <c r="E54" s="82">
        <v>7.3792999999999997</v>
      </c>
      <c r="F54" s="82"/>
      <c r="G54" s="28"/>
    </row>
    <row r="55" spans="1:7" ht="18.75" customHeight="1" x14ac:dyDescent="0.25">
      <c r="A55" s="7">
        <v>300</v>
      </c>
      <c r="B55" s="81">
        <v>0.47450999999999999</v>
      </c>
      <c r="C55" s="83">
        <v>2802.3</v>
      </c>
      <c r="D55" s="83">
        <v>3063.3</v>
      </c>
      <c r="E55" s="82">
        <v>7.4157999999999999</v>
      </c>
      <c r="F55" s="82"/>
      <c r="G55" s="28"/>
    </row>
    <row r="56" spans="1:7" ht="18.75" customHeight="1" x14ac:dyDescent="0.25">
      <c r="A56" s="7">
        <v>310</v>
      </c>
      <c r="B56" s="81">
        <v>0.48321999999999998</v>
      </c>
      <c r="C56" s="83">
        <v>2818.2</v>
      </c>
      <c r="D56" s="83">
        <v>3084</v>
      </c>
      <c r="E56" s="82">
        <v>7.4516999999999998</v>
      </c>
      <c r="F56" s="82"/>
      <c r="G56" s="28"/>
    </row>
    <row r="57" spans="1:7" ht="18.75" customHeight="1" x14ac:dyDescent="0.25">
      <c r="A57" s="7">
        <v>320</v>
      </c>
      <c r="B57" s="81">
        <v>0.49191000000000001</v>
      </c>
      <c r="C57" s="83">
        <v>2834.2</v>
      </c>
      <c r="D57" s="83">
        <v>3104.8</v>
      </c>
      <c r="E57" s="82">
        <v>7.4869000000000003</v>
      </c>
      <c r="F57" s="82"/>
      <c r="G57" s="28"/>
    </row>
    <row r="58" spans="1:7" ht="18.75" customHeight="1" x14ac:dyDescent="0.25">
      <c r="A58" s="7">
        <v>330</v>
      </c>
      <c r="B58" s="81">
        <v>0.50056999999999996</v>
      </c>
      <c r="C58" s="83">
        <v>2850.2</v>
      </c>
      <c r="D58" s="83">
        <v>3125.5</v>
      </c>
      <c r="E58" s="82">
        <v>7.5216000000000003</v>
      </c>
      <c r="F58" s="82"/>
      <c r="G58" s="28"/>
    </row>
    <row r="59" spans="1:7" ht="18.75" customHeight="1" x14ac:dyDescent="0.25">
      <c r="A59" s="7">
        <v>340</v>
      </c>
      <c r="B59" s="81">
        <v>0.50922000000000001</v>
      </c>
      <c r="C59" s="83">
        <v>2866.2</v>
      </c>
      <c r="D59" s="83">
        <v>3146.3</v>
      </c>
      <c r="E59" s="82">
        <v>7.5557999999999996</v>
      </c>
      <c r="F59" s="82"/>
      <c r="G59" s="28"/>
    </row>
    <row r="60" spans="1:7" ht="18.75" customHeight="1" x14ac:dyDescent="0.25">
      <c r="A60" s="7">
        <v>350</v>
      </c>
      <c r="B60" s="81">
        <v>0.51785999999999999</v>
      </c>
      <c r="C60" s="83">
        <v>2882.3</v>
      </c>
      <c r="D60" s="83">
        <v>3167.1</v>
      </c>
      <c r="E60" s="82">
        <v>7.5894000000000004</v>
      </c>
      <c r="F60" s="82"/>
      <c r="G60" s="28"/>
    </row>
    <row r="61" spans="1:7" ht="18.75" customHeight="1" x14ac:dyDescent="0.25">
      <c r="A61" s="7">
        <v>360</v>
      </c>
      <c r="B61" s="81">
        <v>0.52646999999999999</v>
      </c>
      <c r="C61" s="83">
        <v>2898.3</v>
      </c>
      <c r="D61" s="83">
        <v>3187.9</v>
      </c>
      <c r="E61" s="82">
        <v>7.6226000000000003</v>
      </c>
      <c r="F61" s="82"/>
      <c r="G61" s="28"/>
    </row>
    <row r="62" spans="1:7" ht="18.75" customHeight="1" x14ac:dyDescent="0.25">
      <c r="A62" s="7">
        <v>370</v>
      </c>
      <c r="B62" s="81">
        <v>0.53508</v>
      </c>
      <c r="C62" s="83">
        <v>2914.5</v>
      </c>
      <c r="D62" s="83">
        <v>3208.8</v>
      </c>
      <c r="E62" s="82">
        <v>7.6553000000000004</v>
      </c>
      <c r="F62" s="82"/>
      <c r="G62" s="28"/>
    </row>
    <row r="63" spans="1:7" ht="18.75" customHeight="1" x14ac:dyDescent="0.25">
      <c r="A63" s="7">
        <v>380</v>
      </c>
      <c r="B63" s="81">
        <v>0.54366999999999999</v>
      </c>
      <c r="C63" s="83">
        <v>2930.7</v>
      </c>
      <c r="D63" s="83">
        <v>3229.7</v>
      </c>
      <c r="E63" s="82">
        <v>7.6875</v>
      </c>
      <c r="F63" s="82"/>
      <c r="G63" s="28"/>
    </row>
    <row r="64" spans="1:7" ht="18.75" customHeight="1" x14ac:dyDescent="0.25">
      <c r="A64" s="7">
        <v>390</v>
      </c>
      <c r="B64" s="81">
        <v>0.55225000000000002</v>
      </c>
      <c r="C64" s="83">
        <v>2946.9</v>
      </c>
      <c r="D64" s="83">
        <v>3250.6</v>
      </c>
      <c r="E64" s="82">
        <v>7.7192999999999996</v>
      </c>
      <c r="F64" s="82"/>
      <c r="G64" s="28"/>
    </row>
    <row r="65" spans="1:7" ht="18.75" customHeight="1" x14ac:dyDescent="0.25">
      <c r="A65" s="7">
        <v>400</v>
      </c>
      <c r="B65" s="81">
        <v>0.56081999999999999</v>
      </c>
      <c r="C65" s="83">
        <v>2963.1</v>
      </c>
      <c r="D65" s="83">
        <v>3271.6</v>
      </c>
      <c r="E65" s="82">
        <v>7.7507000000000001</v>
      </c>
      <c r="F65" s="82"/>
      <c r="G65" s="28"/>
    </row>
    <row r="66" spans="1:7" ht="18.75" customHeight="1" x14ac:dyDescent="0.25">
      <c r="A66" s="7">
        <v>410</v>
      </c>
      <c r="B66" s="81">
        <v>0.56937000000000004</v>
      </c>
      <c r="C66" s="83">
        <v>2979.4</v>
      </c>
      <c r="D66" s="83">
        <v>3292.6</v>
      </c>
      <c r="E66" s="82">
        <v>7.7816999999999998</v>
      </c>
      <c r="F66" s="82"/>
      <c r="G66" s="28"/>
    </row>
    <row r="67" spans="1:7" ht="18.75" customHeight="1" x14ac:dyDescent="0.25">
      <c r="A67" s="7">
        <v>420</v>
      </c>
      <c r="B67" s="81">
        <v>0.57791999999999999</v>
      </c>
      <c r="C67" s="83">
        <v>2995.7</v>
      </c>
      <c r="D67" s="83">
        <v>3313.6</v>
      </c>
      <c r="E67" s="82">
        <v>7.8122999999999996</v>
      </c>
      <c r="F67" s="82"/>
      <c r="G67" s="28"/>
    </row>
    <row r="68" spans="1:7" ht="18.75" customHeight="1" x14ac:dyDescent="0.25">
      <c r="A68" s="7">
        <v>430</v>
      </c>
      <c r="B68" s="81">
        <v>0.58647000000000005</v>
      </c>
      <c r="C68" s="83">
        <v>3012.1</v>
      </c>
      <c r="D68" s="83">
        <v>3334.7</v>
      </c>
      <c r="E68" s="82">
        <v>7.8425000000000002</v>
      </c>
      <c r="F68" s="82"/>
      <c r="G68" s="28"/>
    </row>
    <row r="69" spans="1:7" ht="18.75" customHeight="1" x14ac:dyDescent="0.25">
      <c r="A69" s="7">
        <v>440</v>
      </c>
      <c r="B69" s="81">
        <v>0.59499999999999997</v>
      </c>
      <c r="C69" s="83">
        <v>3028.6</v>
      </c>
      <c r="D69" s="83">
        <v>3355.9</v>
      </c>
      <c r="E69" s="82">
        <v>7.8723999999999998</v>
      </c>
      <c r="F69" s="82"/>
      <c r="G69" s="28"/>
    </row>
    <row r="70" spans="1:7" ht="18.75" customHeight="1" x14ac:dyDescent="0.25">
      <c r="A70" s="7">
        <v>450</v>
      </c>
      <c r="B70" s="81">
        <v>0.60353000000000001</v>
      </c>
      <c r="C70" s="83">
        <v>3045.2</v>
      </c>
      <c r="D70" s="83">
        <v>3377.1</v>
      </c>
      <c r="E70" s="82">
        <v>7.9019000000000004</v>
      </c>
      <c r="F70" s="82"/>
      <c r="G70" s="28"/>
    </row>
    <row r="71" spans="1:7" ht="18.75" customHeight="1" x14ac:dyDescent="0.25">
      <c r="A71" s="7">
        <v>460</v>
      </c>
      <c r="B71" s="81">
        <v>0.61204999999999998</v>
      </c>
      <c r="C71" s="83">
        <v>3061.8</v>
      </c>
      <c r="D71" s="83">
        <v>3398.4</v>
      </c>
      <c r="E71" s="82">
        <v>7.9310999999999998</v>
      </c>
      <c r="F71" s="82"/>
      <c r="G71" s="28"/>
    </row>
    <row r="72" spans="1:7" ht="18.75" customHeight="1" x14ac:dyDescent="0.25">
      <c r="A72" s="7">
        <v>470</v>
      </c>
      <c r="B72" s="81">
        <v>0.62056</v>
      </c>
      <c r="C72" s="83">
        <v>3078.4</v>
      </c>
      <c r="D72" s="83">
        <v>3419.7</v>
      </c>
      <c r="E72" s="82">
        <v>7.96</v>
      </c>
      <c r="F72" s="82"/>
      <c r="G72" s="28"/>
    </row>
    <row r="73" spans="1:7" ht="18.75" customHeight="1" x14ac:dyDescent="0.25">
      <c r="A73" s="7">
        <v>480</v>
      </c>
      <c r="B73" s="81">
        <v>0.62907000000000002</v>
      </c>
      <c r="C73" s="83">
        <v>3095</v>
      </c>
      <c r="D73" s="83">
        <v>3441</v>
      </c>
      <c r="E73" s="82">
        <v>7.9885000000000002</v>
      </c>
      <c r="F73" s="82"/>
      <c r="G73" s="28"/>
    </row>
    <row r="74" spans="1:7" ht="18.75" customHeight="1" x14ac:dyDescent="0.25">
      <c r="A74" s="7">
        <v>490</v>
      </c>
      <c r="B74" s="81">
        <v>0.63756999999999997</v>
      </c>
      <c r="C74" s="83">
        <v>3111.8</v>
      </c>
      <c r="D74" s="83">
        <v>3462.5</v>
      </c>
      <c r="E74" s="82">
        <v>8.0167999999999999</v>
      </c>
      <c r="F74" s="82"/>
      <c r="G74" s="28"/>
    </row>
    <row r="75" spans="1:7" ht="18.75" customHeight="1" x14ac:dyDescent="0.25">
      <c r="A75" s="7">
        <v>500</v>
      </c>
      <c r="B75" s="81">
        <v>0.64607000000000003</v>
      </c>
      <c r="C75" s="83">
        <v>3128.6</v>
      </c>
      <c r="D75" s="83">
        <v>3483.9</v>
      </c>
      <c r="E75" s="82">
        <v>8.0447000000000006</v>
      </c>
      <c r="F75" s="82"/>
      <c r="G75" s="28"/>
    </row>
    <row r="76" spans="1:7" ht="18.75" customHeight="1" x14ac:dyDescent="0.25">
      <c r="A76" s="7">
        <v>520</v>
      </c>
      <c r="B76" s="81">
        <v>0.66305000000000003</v>
      </c>
      <c r="C76" s="83">
        <v>3162.4</v>
      </c>
      <c r="D76" s="83">
        <v>3527.1</v>
      </c>
      <c r="E76" s="82">
        <v>8.0998000000000001</v>
      </c>
      <c r="F76" s="82"/>
      <c r="G76" s="28"/>
    </row>
    <row r="77" spans="1:7" ht="18.75" customHeight="1" x14ac:dyDescent="0.25">
      <c r="A77" s="7">
        <v>540</v>
      </c>
      <c r="B77" s="81">
        <v>0.68001</v>
      </c>
      <c r="C77" s="83">
        <v>3196.4</v>
      </c>
      <c r="D77" s="83">
        <v>3570.4</v>
      </c>
      <c r="E77" s="82">
        <v>8.1538000000000004</v>
      </c>
      <c r="F77" s="82"/>
      <c r="G77" s="28"/>
    </row>
    <row r="78" spans="1:7" ht="18.75" customHeight="1" x14ac:dyDescent="0.25">
      <c r="A78" s="7">
        <v>560</v>
      </c>
      <c r="B78" s="81">
        <v>0.69696000000000002</v>
      </c>
      <c r="C78" s="83">
        <v>3230.8</v>
      </c>
      <c r="D78" s="83">
        <v>3614.1</v>
      </c>
      <c r="E78" s="82">
        <v>8.2067999999999994</v>
      </c>
      <c r="F78" s="82"/>
      <c r="G78" s="28"/>
    </row>
    <row r="79" spans="1:7" ht="18.75" customHeight="1" x14ac:dyDescent="0.25">
      <c r="A79" s="7">
        <v>580</v>
      </c>
      <c r="B79" s="81">
        <v>0.71389000000000002</v>
      </c>
      <c r="C79" s="83">
        <v>3265.3</v>
      </c>
      <c r="D79" s="83">
        <v>3657.9</v>
      </c>
      <c r="E79" s="82">
        <v>8.2589000000000006</v>
      </c>
      <c r="F79" s="82"/>
      <c r="G79" s="28"/>
    </row>
    <row r="80" spans="1:7" ht="18.75" customHeight="1" x14ac:dyDescent="0.25">
      <c r="A80" s="7">
        <v>600</v>
      </c>
      <c r="B80" s="81">
        <v>0.73082000000000003</v>
      </c>
      <c r="C80" s="83">
        <v>3300.1</v>
      </c>
      <c r="D80" s="83">
        <v>3702.1</v>
      </c>
      <c r="E80" s="82">
        <v>8.31</v>
      </c>
      <c r="F80" s="82"/>
      <c r="G80" s="28"/>
    </row>
    <row r="81" spans="1:7" ht="18.75" customHeight="1" x14ac:dyDescent="0.25">
      <c r="A81" s="7">
        <v>620</v>
      </c>
      <c r="B81" s="81">
        <v>0.74773000000000001</v>
      </c>
      <c r="C81" s="83">
        <v>3335.2</v>
      </c>
      <c r="D81" s="83">
        <v>3746.5</v>
      </c>
      <c r="E81" s="82">
        <v>8.3603000000000005</v>
      </c>
      <c r="F81" s="82"/>
      <c r="G81" s="28"/>
    </row>
    <row r="82" spans="1:7" ht="18.75" customHeight="1" x14ac:dyDescent="0.25">
      <c r="A82" s="7">
        <v>640</v>
      </c>
      <c r="B82" s="81">
        <v>0.76463000000000003</v>
      </c>
      <c r="C82" s="83">
        <v>3370.6</v>
      </c>
      <c r="D82" s="83">
        <v>3791.1</v>
      </c>
      <c r="E82" s="82">
        <v>8.4097000000000008</v>
      </c>
      <c r="F82" s="82"/>
      <c r="G82" s="28"/>
    </row>
    <row r="83" spans="1:7" ht="18.75" customHeight="1" x14ac:dyDescent="0.25">
      <c r="A83" s="7">
        <v>660</v>
      </c>
      <c r="B83" s="81">
        <v>0.78152999999999995</v>
      </c>
      <c r="C83" s="83">
        <v>3406.3</v>
      </c>
      <c r="D83" s="83">
        <v>3836.1</v>
      </c>
      <c r="E83" s="82">
        <v>8.4583999999999993</v>
      </c>
      <c r="F83" s="82"/>
      <c r="G83" s="28"/>
    </row>
    <row r="84" spans="1:7" ht="18.75" customHeight="1" x14ac:dyDescent="0.25">
      <c r="A84" s="7">
        <v>680</v>
      </c>
      <c r="B84" s="81">
        <v>0.79842000000000002</v>
      </c>
      <c r="C84" s="83">
        <v>3442.2</v>
      </c>
      <c r="D84" s="83">
        <v>3881.3</v>
      </c>
      <c r="E84" s="82">
        <v>8.5062999999999995</v>
      </c>
      <c r="F84" s="82"/>
      <c r="G84" s="28"/>
    </row>
    <row r="85" spans="1:7" ht="18.75" customHeight="1" x14ac:dyDescent="0.25">
      <c r="A85" s="7">
        <v>700</v>
      </c>
      <c r="B85" s="81">
        <v>0.81530000000000002</v>
      </c>
      <c r="C85" s="83">
        <v>3478.3</v>
      </c>
      <c r="D85" s="83">
        <v>3926.7</v>
      </c>
      <c r="E85" s="82">
        <v>8.5534999999999997</v>
      </c>
      <c r="F85" s="82"/>
      <c r="G85" s="28"/>
    </row>
    <row r="86" spans="1:7" ht="18.75" customHeight="1" x14ac:dyDescent="0.25">
      <c r="A86" s="7">
        <v>720</v>
      </c>
      <c r="B86" s="81">
        <v>0.83216999999999997</v>
      </c>
      <c r="C86" s="83">
        <v>3514.8</v>
      </c>
      <c r="D86" s="83">
        <v>3972.5</v>
      </c>
      <c r="E86" s="82">
        <v>8.6</v>
      </c>
      <c r="F86" s="82"/>
      <c r="G86" s="28"/>
    </row>
    <row r="87" spans="1:7" ht="18.75" customHeight="1" x14ac:dyDescent="0.25">
      <c r="A87" s="7">
        <v>740</v>
      </c>
      <c r="B87" s="81">
        <v>0.84904000000000002</v>
      </c>
      <c r="C87" s="83">
        <v>3551.5</v>
      </c>
      <c r="D87" s="83">
        <v>4018.5</v>
      </c>
      <c r="E87" s="82">
        <v>8.6458999999999993</v>
      </c>
      <c r="F87" s="82"/>
      <c r="G87" s="28"/>
    </row>
    <row r="88" spans="1:7" ht="18.75" customHeight="1" x14ac:dyDescent="0.25">
      <c r="A88" s="7">
        <v>760</v>
      </c>
      <c r="B88" s="81">
        <v>0.8659</v>
      </c>
      <c r="C88" s="83">
        <v>3588.6</v>
      </c>
      <c r="D88" s="83">
        <v>4064.8</v>
      </c>
      <c r="E88" s="82">
        <v>8.6912000000000003</v>
      </c>
      <c r="F88" s="82"/>
      <c r="G88" s="28"/>
    </row>
    <row r="89" spans="1:7" ht="18.75" customHeight="1" x14ac:dyDescent="0.25">
      <c r="A89" s="7">
        <v>780</v>
      </c>
      <c r="B89" s="81">
        <v>0.88275999999999999</v>
      </c>
      <c r="C89" s="83">
        <v>3625.8</v>
      </c>
      <c r="D89" s="83">
        <v>4111.3</v>
      </c>
      <c r="E89" s="82">
        <v>8.7357999999999993</v>
      </c>
      <c r="F89" s="82"/>
      <c r="G89" s="28"/>
    </row>
    <row r="90" spans="1:7" ht="18.75" customHeight="1" x14ac:dyDescent="0.25">
      <c r="A90" s="7">
        <v>800</v>
      </c>
      <c r="B90" s="81">
        <v>0.89961000000000002</v>
      </c>
      <c r="C90" s="83">
        <v>3663.4</v>
      </c>
      <c r="D90" s="83">
        <v>4158.2</v>
      </c>
      <c r="E90" s="82">
        <v>8.7797999999999998</v>
      </c>
      <c r="F90" s="82"/>
      <c r="G90" s="28"/>
    </row>
    <row r="91" spans="1:7" ht="18.75" customHeight="1" x14ac:dyDescent="0.25">
      <c r="A91" s="7">
        <v>820</v>
      </c>
      <c r="B91" s="81">
        <v>0.91646000000000005</v>
      </c>
      <c r="C91" s="83">
        <v>3701.2</v>
      </c>
      <c r="D91" s="83">
        <v>4205.3</v>
      </c>
      <c r="E91" s="82">
        <v>8.8232999999999997</v>
      </c>
      <c r="F91" s="82"/>
      <c r="G91" s="28"/>
    </row>
    <row r="92" spans="1:7" ht="18.75" customHeight="1" x14ac:dyDescent="0.25">
      <c r="A92" s="7">
        <v>840</v>
      </c>
      <c r="B92" s="81">
        <v>0.93330000000000002</v>
      </c>
      <c r="C92" s="83">
        <v>3739.3</v>
      </c>
      <c r="D92" s="83">
        <v>4252.6000000000004</v>
      </c>
      <c r="E92" s="82">
        <v>8.8663000000000007</v>
      </c>
      <c r="F92" s="82"/>
      <c r="G92" s="28"/>
    </row>
    <row r="93" spans="1:7" ht="18.75" customHeight="1" x14ac:dyDescent="0.25">
      <c r="A93" s="7">
        <v>860</v>
      </c>
      <c r="B93" s="81">
        <v>0.95015000000000005</v>
      </c>
      <c r="C93" s="83">
        <v>3777.7</v>
      </c>
      <c r="D93" s="83">
        <v>4300.3</v>
      </c>
      <c r="E93" s="82">
        <v>8.9086999999999996</v>
      </c>
      <c r="F93" s="82"/>
      <c r="G93" s="28"/>
    </row>
    <row r="94" spans="1:7" ht="18.75" customHeight="1" x14ac:dyDescent="0.25">
      <c r="A94" s="7">
        <v>880</v>
      </c>
      <c r="B94" s="81">
        <v>0.96697999999999995</v>
      </c>
      <c r="C94" s="83">
        <v>3816.4</v>
      </c>
      <c r="D94" s="83">
        <v>4348.2</v>
      </c>
      <c r="E94" s="82">
        <v>8.9505999999999997</v>
      </c>
      <c r="F94" s="82"/>
      <c r="G94" s="28"/>
    </row>
    <row r="95" spans="1:7" ht="18.75" customHeight="1" x14ac:dyDescent="0.25">
      <c r="A95" s="7">
        <v>900</v>
      </c>
      <c r="B95" s="81">
        <v>0.98382000000000003</v>
      </c>
      <c r="C95" s="83">
        <v>3855.3</v>
      </c>
      <c r="D95" s="83">
        <v>4396.3999999999996</v>
      </c>
      <c r="E95" s="82">
        <v>8.9920000000000009</v>
      </c>
      <c r="F95" s="82"/>
      <c r="G95" s="28"/>
    </row>
    <row r="96" spans="1:7" ht="18.75" customHeight="1" x14ac:dyDescent="0.25">
      <c r="A96" s="7">
        <v>920</v>
      </c>
      <c r="B96" s="82">
        <v>1.0006999999999999</v>
      </c>
      <c r="C96" s="83">
        <v>3894.4</v>
      </c>
      <c r="D96" s="83">
        <v>4444.8</v>
      </c>
      <c r="E96" s="82">
        <v>9.0329999999999995</v>
      </c>
      <c r="F96" s="82"/>
      <c r="G96" s="28"/>
    </row>
    <row r="97" spans="1:7" ht="18.75" customHeight="1" x14ac:dyDescent="0.25">
      <c r="A97" s="7">
        <v>940</v>
      </c>
      <c r="B97" s="82">
        <v>1.0175000000000001</v>
      </c>
      <c r="C97" s="83">
        <v>3933.9</v>
      </c>
      <c r="D97" s="83">
        <v>4493.5</v>
      </c>
      <c r="E97" s="82">
        <v>9.0734999999999992</v>
      </c>
      <c r="F97" s="82"/>
      <c r="G97" s="28"/>
    </row>
    <row r="98" spans="1:7" ht="18.75" customHeight="1" x14ac:dyDescent="0.25">
      <c r="A98" s="7">
        <v>960</v>
      </c>
      <c r="B98" s="82">
        <v>1.0343</v>
      </c>
      <c r="C98" s="83">
        <v>3973.6</v>
      </c>
      <c r="D98" s="83">
        <v>4542.5</v>
      </c>
      <c r="E98" s="82">
        <v>9.1135000000000002</v>
      </c>
      <c r="F98" s="82"/>
      <c r="G98" s="28"/>
    </row>
    <row r="99" spans="1:7" ht="18.75" customHeight="1" x14ac:dyDescent="0.25">
      <c r="A99" s="7">
        <v>980</v>
      </c>
      <c r="B99" s="82">
        <v>1.0510999999999999</v>
      </c>
      <c r="C99" s="83">
        <v>4013.7</v>
      </c>
      <c r="D99" s="83">
        <v>4591.8</v>
      </c>
      <c r="E99" s="82">
        <v>9.1531000000000002</v>
      </c>
      <c r="F99" s="82"/>
      <c r="G99" s="28"/>
    </row>
    <row r="100" spans="1:7" ht="13.8" x14ac:dyDescent="0.25">
      <c r="A100" s="7">
        <v>1000</v>
      </c>
      <c r="B100" s="82">
        <v>1.0680000000000001</v>
      </c>
      <c r="C100" s="83">
        <v>4053.9</v>
      </c>
      <c r="D100" s="83">
        <v>4641.3</v>
      </c>
      <c r="E100" s="82">
        <v>9.1922999999999995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H100"/>
  <sheetViews>
    <sheetView topLeftCell="A22" workbookViewId="0">
      <selection activeCell="A37" sqref="A37:XFD37"/>
    </sheetView>
  </sheetViews>
  <sheetFormatPr defaultRowHeight="13.2" x14ac:dyDescent="0.25"/>
  <cols>
    <col min="1" max="1" width="11.21875" customWidth="1"/>
    <col min="2" max="2" width="13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206" t="s">
        <v>60</v>
      </c>
      <c r="B1" s="206"/>
      <c r="C1" s="206"/>
      <c r="D1" s="206"/>
      <c r="E1" s="206"/>
      <c r="F1" s="206"/>
      <c r="G1" s="206"/>
      <c r="H1" s="206"/>
    </row>
    <row r="2" spans="1:8" ht="15.75" customHeight="1" x14ac:dyDescent="0.25">
      <c r="A2" s="89" t="s">
        <v>126</v>
      </c>
      <c r="B2" s="90">
        <v>600</v>
      </c>
      <c r="G2" s="47"/>
      <c r="H2" s="47"/>
    </row>
    <row r="3" spans="1:8" ht="18.75" customHeight="1" x14ac:dyDescent="0.25">
      <c r="A3" s="77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7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86">
        <v>0</v>
      </c>
      <c r="B5" s="79">
        <v>9.9989999999999996E-4</v>
      </c>
      <c r="C5" s="80">
        <v>-0.03</v>
      </c>
      <c r="D5" s="80">
        <v>0.56999999999999995</v>
      </c>
      <c r="E5" s="81">
        <v>-1.1E-4</v>
      </c>
      <c r="F5" s="81"/>
      <c r="G5" s="47"/>
      <c r="H5" s="47"/>
    </row>
    <row r="6" spans="1:8" ht="18.75" customHeight="1" x14ac:dyDescent="0.25">
      <c r="A6" s="86">
        <v>5</v>
      </c>
      <c r="B6" s="79">
        <v>9.9978999999999997E-4</v>
      </c>
      <c r="C6" s="80">
        <v>21.02</v>
      </c>
      <c r="D6" s="80">
        <v>21.62</v>
      </c>
      <c r="E6" s="81">
        <v>7.6240000000000002E-2</v>
      </c>
      <c r="F6" s="81"/>
      <c r="G6" s="47"/>
      <c r="H6" s="47"/>
    </row>
    <row r="7" spans="1:8" ht="18.75" customHeight="1" x14ac:dyDescent="0.25">
      <c r="A7" s="86">
        <v>10</v>
      </c>
      <c r="B7" s="79">
        <v>1.0000600000000001E-3</v>
      </c>
      <c r="C7" s="80">
        <v>42.01</v>
      </c>
      <c r="D7" s="80">
        <v>42.61</v>
      </c>
      <c r="E7" s="81">
        <v>0.15103</v>
      </c>
      <c r="F7" s="81"/>
      <c r="G7" s="47"/>
      <c r="H7" s="47"/>
    </row>
    <row r="8" spans="1:8" ht="18.75" customHeight="1" x14ac:dyDescent="0.25">
      <c r="A8" s="86">
        <v>15</v>
      </c>
      <c r="B8" s="79">
        <v>1.0006699999999999E-3</v>
      </c>
      <c r="C8" s="80">
        <v>62.95</v>
      </c>
      <c r="D8" s="80">
        <v>63.55</v>
      </c>
      <c r="E8" s="81">
        <v>0.22437000000000001</v>
      </c>
      <c r="F8" s="81"/>
      <c r="G8" s="47"/>
      <c r="H8" s="47"/>
    </row>
    <row r="9" spans="1:8" ht="18.75" customHeight="1" x14ac:dyDescent="0.25">
      <c r="A9" s="86">
        <v>20</v>
      </c>
      <c r="B9" s="79">
        <v>1.00157E-3</v>
      </c>
      <c r="C9" s="80">
        <v>83.88</v>
      </c>
      <c r="D9" s="80">
        <v>84.48</v>
      </c>
      <c r="E9" s="81">
        <v>0.29636000000000001</v>
      </c>
      <c r="F9" s="81"/>
      <c r="G9" s="47"/>
      <c r="H9" s="47"/>
    </row>
    <row r="10" spans="1:8" ht="18.75" customHeight="1" x14ac:dyDescent="0.25">
      <c r="A10" s="86">
        <v>25</v>
      </c>
      <c r="B10" s="79">
        <v>1.0027300000000001E-3</v>
      </c>
      <c r="C10" s="80">
        <v>104.78</v>
      </c>
      <c r="D10" s="80">
        <v>105.38</v>
      </c>
      <c r="E10" s="81">
        <v>0.36707000000000001</v>
      </c>
      <c r="F10" s="81"/>
      <c r="G10" s="47"/>
    </row>
    <row r="11" spans="1:8" ht="18.75" customHeight="1" x14ac:dyDescent="0.25">
      <c r="A11" s="86">
        <v>30</v>
      </c>
      <c r="B11" s="79">
        <v>1.0041500000000001E-3</v>
      </c>
      <c r="C11" s="80">
        <v>125.68</v>
      </c>
      <c r="D11" s="80">
        <v>126.28</v>
      </c>
      <c r="E11" s="81">
        <v>0.43657000000000001</v>
      </c>
      <c r="F11" s="81"/>
      <c r="G11" s="47"/>
    </row>
    <row r="12" spans="1:8" ht="18.75" customHeight="1" x14ac:dyDescent="0.25">
      <c r="A12" s="86">
        <v>35</v>
      </c>
      <c r="B12" s="79">
        <v>1.00578E-3</v>
      </c>
      <c r="C12" s="80">
        <v>146.57</v>
      </c>
      <c r="D12" s="80">
        <v>147.16999999999999</v>
      </c>
      <c r="E12" s="81">
        <v>0.50492000000000004</v>
      </c>
      <c r="F12" s="81"/>
      <c r="G12" s="47"/>
    </row>
    <row r="13" spans="1:8" ht="18.75" customHeight="1" x14ac:dyDescent="0.25">
      <c r="A13" s="86">
        <v>40</v>
      </c>
      <c r="B13" s="79">
        <v>1.0076200000000001E-3</v>
      </c>
      <c r="C13" s="80">
        <v>167.46</v>
      </c>
      <c r="D13" s="80">
        <v>168.06</v>
      </c>
      <c r="E13" s="81">
        <v>0.57216999999999996</v>
      </c>
      <c r="F13" s="81"/>
      <c r="G13" s="47"/>
    </row>
    <row r="14" spans="1:8" ht="18.75" customHeight="1" x14ac:dyDescent="0.25">
      <c r="A14" s="86">
        <v>45</v>
      </c>
      <c r="B14" s="79">
        <v>1.0096599999999999E-3</v>
      </c>
      <c r="C14" s="80">
        <v>188.34</v>
      </c>
      <c r="D14" s="80">
        <v>188.95</v>
      </c>
      <c r="E14" s="81">
        <v>0.63836000000000004</v>
      </c>
      <c r="F14" s="81"/>
      <c r="G14" s="47"/>
    </row>
    <row r="15" spans="1:8" ht="18.75" customHeight="1" x14ac:dyDescent="0.25">
      <c r="A15" s="86">
        <v>50</v>
      </c>
      <c r="B15" s="79">
        <v>1.0118900000000001E-3</v>
      </c>
      <c r="C15" s="80">
        <v>209.24</v>
      </c>
      <c r="D15" s="80">
        <v>209.85</v>
      </c>
      <c r="E15" s="81">
        <v>0.70354000000000005</v>
      </c>
      <c r="F15" s="81"/>
      <c r="G15" s="47"/>
    </row>
    <row r="16" spans="1:8" ht="18.75" customHeight="1" x14ac:dyDescent="0.25">
      <c r="A16" s="86">
        <v>55</v>
      </c>
      <c r="B16" s="79">
        <v>1.0142899999999999E-3</v>
      </c>
      <c r="C16" s="80">
        <v>230.14</v>
      </c>
      <c r="D16" s="80">
        <v>230.75</v>
      </c>
      <c r="E16" s="81">
        <v>0.76773000000000002</v>
      </c>
      <c r="F16" s="81"/>
      <c r="G16" s="47"/>
    </row>
    <row r="17" spans="1:7" ht="18.75" customHeight="1" x14ac:dyDescent="0.25">
      <c r="A17" s="86">
        <v>60</v>
      </c>
      <c r="B17" s="79">
        <v>1.01687E-3</v>
      </c>
      <c r="C17" s="80">
        <v>251.06</v>
      </c>
      <c r="D17" s="80">
        <v>251.67</v>
      </c>
      <c r="E17" s="81">
        <v>0.83098000000000005</v>
      </c>
      <c r="F17" s="81"/>
      <c r="G17" s="47"/>
    </row>
    <row r="18" spans="1:7" ht="18.75" customHeight="1" x14ac:dyDescent="0.25">
      <c r="A18" s="86">
        <v>65</v>
      </c>
      <c r="B18" s="79">
        <v>1.01961E-3</v>
      </c>
      <c r="C18" s="80">
        <v>271.98</v>
      </c>
      <c r="D18" s="80">
        <v>272.58999999999997</v>
      </c>
      <c r="E18" s="81">
        <v>0.89332999999999996</v>
      </c>
      <c r="F18" s="81"/>
      <c r="G18" s="47"/>
    </row>
    <row r="19" spans="1:7" ht="18.75" customHeight="1" x14ac:dyDescent="0.25">
      <c r="A19" s="86">
        <v>70</v>
      </c>
      <c r="B19" s="79">
        <v>1.0225099999999999E-3</v>
      </c>
      <c r="C19" s="80">
        <v>292.92</v>
      </c>
      <c r="D19" s="80">
        <v>293.52999999999997</v>
      </c>
      <c r="E19" s="81">
        <v>0.95479000000000003</v>
      </c>
      <c r="F19" s="81"/>
      <c r="G19" s="47"/>
    </row>
    <row r="20" spans="1:7" ht="18.75" customHeight="1" x14ac:dyDescent="0.25">
      <c r="A20" s="86">
        <v>75</v>
      </c>
      <c r="B20" s="79">
        <v>1.02557E-3</v>
      </c>
      <c r="C20" s="80">
        <v>313.86</v>
      </c>
      <c r="D20" s="80">
        <v>314.48</v>
      </c>
      <c r="E20" s="82">
        <v>1.0154000000000001</v>
      </c>
      <c r="F20" s="82"/>
      <c r="G20" s="47"/>
    </row>
    <row r="21" spans="1:7" ht="18.75" customHeight="1" x14ac:dyDescent="0.25">
      <c r="A21" s="86">
        <v>80</v>
      </c>
      <c r="B21" s="79">
        <v>1.0287899999999999E-3</v>
      </c>
      <c r="C21" s="80">
        <v>334.83</v>
      </c>
      <c r="D21" s="80">
        <v>335.45</v>
      </c>
      <c r="E21" s="82">
        <v>1.0751999999999999</v>
      </c>
      <c r="F21" s="82"/>
      <c r="G21" s="47"/>
    </row>
    <row r="22" spans="1:7" ht="18.75" customHeight="1" x14ac:dyDescent="0.25">
      <c r="A22" s="86">
        <v>85</v>
      </c>
      <c r="B22" s="79">
        <v>1.03217E-3</v>
      </c>
      <c r="C22" s="80">
        <v>355.82</v>
      </c>
      <c r="D22" s="80">
        <v>356.44</v>
      </c>
      <c r="E22" s="82">
        <v>1.1342000000000001</v>
      </c>
      <c r="F22" s="82"/>
      <c r="G22" s="47"/>
    </row>
    <row r="23" spans="1:7" ht="18.75" customHeight="1" x14ac:dyDescent="0.25">
      <c r="A23" s="86">
        <v>90</v>
      </c>
      <c r="B23" s="79">
        <v>1.0356899999999999E-3</v>
      </c>
      <c r="C23" s="80">
        <v>376.83</v>
      </c>
      <c r="D23" s="80">
        <v>377.45</v>
      </c>
      <c r="E23" s="82">
        <v>1.1924999999999999</v>
      </c>
      <c r="F23" s="82"/>
      <c r="G23" s="47"/>
    </row>
    <row r="24" spans="1:7" ht="18.75" customHeight="1" x14ac:dyDescent="0.25">
      <c r="A24" s="86">
        <v>95</v>
      </c>
      <c r="B24" s="79">
        <v>1.03937E-3</v>
      </c>
      <c r="C24" s="80">
        <v>397.86</v>
      </c>
      <c r="D24" s="80">
        <v>398.48</v>
      </c>
      <c r="E24" s="82">
        <v>1.25</v>
      </c>
      <c r="F24" s="82"/>
      <c r="G24" s="47"/>
    </row>
    <row r="25" spans="1:7" ht="18.75" customHeight="1" x14ac:dyDescent="0.25">
      <c r="A25" s="86">
        <v>100</v>
      </c>
      <c r="B25" s="79">
        <v>1.0432099999999999E-3</v>
      </c>
      <c r="C25" s="80">
        <v>418.91</v>
      </c>
      <c r="D25" s="80">
        <v>419.54</v>
      </c>
      <c r="E25" s="82">
        <v>1.3068</v>
      </c>
      <c r="F25" s="82"/>
      <c r="G25" s="47"/>
    </row>
    <row r="26" spans="1:7" ht="18.75" customHeight="1" x14ac:dyDescent="0.25">
      <c r="A26" s="86">
        <v>105</v>
      </c>
      <c r="B26" s="79">
        <v>1.0471899999999999E-3</v>
      </c>
      <c r="C26" s="80">
        <v>440</v>
      </c>
      <c r="D26" s="80">
        <v>440.63</v>
      </c>
      <c r="E26" s="82">
        <v>1.363</v>
      </c>
      <c r="F26" s="82"/>
      <c r="G26" s="47"/>
    </row>
    <row r="27" spans="1:7" ht="18.75" customHeight="1" x14ac:dyDescent="0.25">
      <c r="A27" s="86">
        <v>110</v>
      </c>
      <c r="B27" s="79">
        <v>1.05134E-3</v>
      </c>
      <c r="C27" s="80">
        <v>461.12</v>
      </c>
      <c r="D27" s="80">
        <v>461.75</v>
      </c>
      <c r="E27" s="82">
        <v>1.4184000000000001</v>
      </c>
      <c r="F27" s="82"/>
      <c r="G27" s="47"/>
    </row>
    <row r="28" spans="1:7" ht="18.75" customHeight="1" x14ac:dyDescent="0.25">
      <c r="A28" s="86">
        <v>115</v>
      </c>
      <c r="B28" s="79">
        <v>1.0556400000000001E-3</v>
      </c>
      <c r="C28" s="80">
        <v>482.27</v>
      </c>
      <c r="D28" s="80">
        <v>482.9</v>
      </c>
      <c r="E28" s="82">
        <v>1.4733000000000001</v>
      </c>
      <c r="F28" s="82"/>
      <c r="G28" s="47"/>
    </row>
    <row r="29" spans="1:7" ht="18.75" customHeight="1" x14ac:dyDescent="0.25">
      <c r="A29" s="86">
        <v>120</v>
      </c>
      <c r="B29" s="79">
        <v>1.0601E-3</v>
      </c>
      <c r="C29" s="80">
        <v>503.45</v>
      </c>
      <c r="D29" s="80">
        <v>504.09</v>
      </c>
      <c r="E29" s="82">
        <v>1.5275000000000001</v>
      </c>
      <c r="F29" s="82"/>
      <c r="G29" s="47"/>
    </row>
    <row r="30" spans="1:7" ht="18.75" customHeight="1" x14ac:dyDescent="0.25">
      <c r="A30" s="86">
        <v>125</v>
      </c>
      <c r="B30" s="79">
        <v>1.0647199999999999E-3</v>
      </c>
      <c r="C30" s="80">
        <v>524.69000000000005</v>
      </c>
      <c r="D30" s="80">
        <v>525.33000000000004</v>
      </c>
      <c r="E30" s="82">
        <v>1.5811999999999999</v>
      </c>
      <c r="F30" s="82"/>
      <c r="G30" s="47"/>
    </row>
    <row r="31" spans="1:7" ht="18.75" customHeight="1" x14ac:dyDescent="0.25">
      <c r="A31" s="86">
        <v>130</v>
      </c>
      <c r="B31" s="79">
        <v>1.0695100000000001E-3</v>
      </c>
      <c r="C31" s="80">
        <v>545.97</v>
      </c>
      <c r="D31" s="80">
        <v>546.61</v>
      </c>
      <c r="E31" s="82">
        <v>1.6343000000000001</v>
      </c>
      <c r="F31" s="82"/>
      <c r="G31" s="47"/>
    </row>
    <row r="32" spans="1:7" ht="18.75" customHeight="1" x14ac:dyDescent="0.25">
      <c r="A32" s="86">
        <v>135</v>
      </c>
      <c r="B32" s="79">
        <v>1.0744699999999999E-3</v>
      </c>
      <c r="C32" s="80">
        <v>567.29</v>
      </c>
      <c r="D32" s="80">
        <v>567.92999999999995</v>
      </c>
      <c r="E32" s="82">
        <v>1.6869000000000001</v>
      </c>
      <c r="F32" s="82"/>
      <c r="G32" s="47"/>
    </row>
    <row r="33" spans="1:7" ht="18.75" customHeight="1" x14ac:dyDescent="0.25">
      <c r="A33" s="86">
        <v>140</v>
      </c>
      <c r="B33" s="79">
        <v>1.0796099999999999E-3</v>
      </c>
      <c r="C33" s="80">
        <v>588.66999999999996</v>
      </c>
      <c r="D33" s="80">
        <v>589.32000000000005</v>
      </c>
      <c r="E33" s="82">
        <v>1.7390000000000001</v>
      </c>
      <c r="F33" s="82"/>
      <c r="G33" s="47"/>
    </row>
    <row r="34" spans="1:7" ht="18.75" customHeight="1" x14ac:dyDescent="0.25">
      <c r="A34" s="86">
        <v>145</v>
      </c>
      <c r="B34" s="79">
        <v>1.0849200000000001E-3</v>
      </c>
      <c r="C34" s="80">
        <v>610.11</v>
      </c>
      <c r="D34" s="80">
        <v>610.76</v>
      </c>
      <c r="E34" s="82">
        <v>1.7905</v>
      </c>
      <c r="F34" s="82"/>
      <c r="G34" s="47"/>
    </row>
    <row r="35" spans="1:7" ht="18.75" customHeight="1" x14ac:dyDescent="0.25">
      <c r="A35" s="86">
        <v>150</v>
      </c>
      <c r="B35" s="79">
        <v>1.0904199999999999E-3</v>
      </c>
      <c r="C35" s="80">
        <v>631.61</v>
      </c>
      <c r="D35" s="80">
        <v>632.26</v>
      </c>
      <c r="E35" s="82">
        <v>1.8416999999999999</v>
      </c>
      <c r="F35" s="82"/>
      <c r="G35" s="47"/>
    </row>
    <row r="36" spans="1:7" ht="18.75" customHeight="1" x14ac:dyDescent="0.25">
      <c r="A36" s="86">
        <v>155</v>
      </c>
      <c r="B36" s="79">
        <v>1.09611E-3</v>
      </c>
      <c r="C36" s="80">
        <v>653.16</v>
      </c>
      <c r="D36" s="80">
        <v>653.82000000000005</v>
      </c>
      <c r="E36" s="82">
        <v>1.8923000000000001</v>
      </c>
      <c r="F36" s="82"/>
      <c r="G36" s="47"/>
    </row>
    <row r="37" spans="1:7" ht="18.75" customHeight="1" x14ac:dyDescent="0.25">
      <c r="A37" s="86">
        <v>160</v>
      </c>
      <c r="B37" s="81">
        <v>0.31668000000000002</v>
      </c>
      <c r="C37" s="83">
        <v>2569</v>
      </c>
      <c r="D37" s="83">
        <v>2759</v>
      </c>
      <c r="E37" s="82">
        <v>6.7659000000000002</v>
      </c>
      <c r="F37" s="82"/>
      <c r="G37" s="47"/>
    </row>
    <row r="38" spans="1:7" ht="18.75" customHeight="1" x14ac:dyDescent="0.25">
      <c r="A38" s="86">
        <v>165</v>
      </c>
      <c r="B38" s="81">
        <v>0.32129000000000002</v>
      </c>
      <c r="C38" s="83">
        <v>2578.3000000000002</v>
      </c>
      <c r="D38" s="83">
        <v>2771.1</v>
      </c>
      <c r="E38" s="82">
        <v>6.7937000000000003</v>
      </c>
      <c r="F38" s="82"/>
      <c r="G38" s="47"/>
    </row>
    <row r="39" spans="1:7" ht="18.75" customHeight="1" x14ac:dyDescent="0.25">
      <c r="A39" s="86">
        <v>170</v>
      </c>
      <c r="B39" s="81">
        <v>0.32583000000000001</v>
      </c>
      <c r="C39" s="83">
        <v>2587.5</v>
      </c>
      <c r="D39" s="83">
        <v>2783</v>
      </c>
      <c r="E39" s="82">
        <v>6.8205999999999998</v>
      </c>
      <c r="F39" s="82"/>
      <c r="G39" s="47"/>
    </row>
    <row r="40" spans="1:7" ht="18.75" customHeight="1" x14ac:dyDescent="0.25">
      <c r="A40" s="86">
        <v>175</v>
      </c>
      <c r="B40" s="81">
        <v>0.33032</v>
      </c>
      <c r="C40" s="83">
        <v>2596.4</v>
      </c>
      <c r="D40" s="83">
        <v>2794.6</v>
      </c>
      <c r="E40" s="82">
        <v>6.8465999999999996</v>
      </c>
      <c r="F40" s="82"/>
      <c r="G40" s="47"/>
    </row>
    <row r="41" spans="1:7" ht="18.75" customHeight="1" x14ac:dyDescent="0.25">
      <c r="A41" s="86">
        <v>180</v>
      </c>
      <c r="B41" s="81">
        <v>0.33474999999999999</v>
      </c>
      <c r="C41" s="83">
        <v>2605.1</v>
      </c>
      <c r="D41" s="83">
        <v>2806</v>
      </c>
      <c r="E41" s="82">
        <v>6.8719999999999999</v>
      </c>
      <c r="F41" s="82"/>
      <c r="G41" s="47"/>
    </row>
    <row r="42" spans="1:7" ht="18.75" customHeight="1" x14ac:dyDescent="0.25">
      <c r="A42" s="86">
        <v>185</v>
      </c>
      <c r="B42" s="81">
        <v>0.33915000000000001</v>
      </c>
      <c r="C42" s="83">
        <v>2613.8000000000002</v>
      </c>
      <c r="D42" s="83">
        <v>2817.3</v>
      </c>
      <c r="E42" s="82">
        <v>6.8967999999999998</v>
      </c>
      <c r="F42" s="82"/>
      <c r="G42" s="47"/>
    </row>
    <row r="43" spans="1:7" ht="18.75" customHeight="1" x14ac:dyDescent="0.25">
      <c r="A43" s="86">
        <v>190</v>
      </c>
      <c r="B43" s="81">
        <v>0.34350000000000003</v>
      </c>
      <c r="C43" s="83">
        <v>2622.4</v>
      </c>
      <c r="D43" s="83">
        <v>2828.5</v>
      </c>
      <c r="E43" s="82">
        <v>6.9211</v>
      </c>
      <c r="F43" s="82"/>
      <c r="G43" s="47"/>
    </row>
    <row r="44" spans="1:7" ht="18.75" customHeight="1" x14ac:dyDescent="0.25">
      <c r="A44" s="86">
        <v>195</v>
      </c>
      <c r="B44" s="81">
        <v>0.34782999999999997</v>
      </c>
      <c r="C44" s="83">
        <v>2630.9</v>
      </c>
      <c r="D44" s="83">
        <v>2839.6</v>
      </c>
      <c r="E44" s="82">
        <v>6.9448999999999996</v>
      </c>
      <c r="F44" s="82"/>
      <c r="G44" s="47"/>
    </row>
    <row r="45" spans="1:7" ht="18.75" customHeight="1" x14ac:dyDescent="0.25">
      <c r="A45" s="86">
        <v>200</v>
      </c>
      <c r="B45" s="81">
        <v>0.35211999999999999</v>
      </c>
      <c r="C45" s="83">
        <v>2639.3</v>
      </c>
      <c r="D45" s="83">
        <v>2850.6</v>
      </c>
      <c r="E45" s="82">
        <v>6.9683000000000002</v>
      </c>
      <c r="F45" s="82"/>
      <c r="G45" s="47"/>
    </row>
    <row r="46" spans="1:7" ht="18.75" customHeight="1" x14ac:dyDescent="0.25">
      <c r="A46" s="86">
        <v>210</v>
      </c>
      <c r="B46" s="81">
        <v>0.36063000000000001</v>
      </c>
      <c r="C46" s="83">
        <v>2656</v>
      </c>
      <c r="D46" s="83">
        <v>2872.4</v>
      </c>
      <c r="E46" s="82">
        <v>7.0138999999999996</v>
      </c>
      <c r="F46" s="82"/>
      <c r="G46" s="47"/>
    </row>
    <row r="47" spans="1:7" ht="18.75" customHeight="1" x14ac:dyDescent="0.25">
      <c r="A47" s="86">
        <v>220</v>
      </c>
      <c r="B47" s="81">
        <v>0.36904999999999999</v>
      </c>
      <c r="C47" s="83">
        <v>2672.5</v>
      </c>
      <c r="D47" s="83">
        <v>2893.9</v>
      </c>
      <c r="E47" s="82">
        <v>7.0579999999999998</v>
      </c>
      <c r="F47" s="82"/>
      <c r="G47" s="47"/>
    </row>
    <row r="48" spans="1:7" ht="18.75" customHeight="1" x14ac:dyDescent="0.25">
      <c r="A48" s="86">
        <v>230</v>
      </c>
      <c r="B48" s="81">
        <v>0.37740000000000001</v>
      </c>
      <c r="C48" s="83">
        <v>2688.9</v>
      </c>
      <c r="D48" s="83">
        <v>2915.3</v>
      </c>
      <c r="E48" s="82">
        <v>7.1007999999999996</v>
      </c>
      <c r="F48" s="82"/>
      <c r="G48" s="47"/>
    </row>
    <row r="49" spans="1:7" ht="18.75" customHeight="1" x14ac:dyDescent="0.25">
      <c r="A49" s="86">
        <v>240</v>
      </c>
      <c r="B49" s="81">
        <v>0.38568000000000002</v>
      </c>
      <c r="C49" s="83">
        <v>2705.1</v>
      </c>
      <c r="D49" s="83">
        <v>2936.5</v>
      </c>
      <c r="E49" s="82">
        <v>7.1425999999999998</v>
      </c>
      <c r="F49" s="82"/>
      <c r="G49" s="47"/>
    </row>
    <row r="50" spans="1:7" ht="18.75" customHeight="1" x14ac:dyDescent="0.25">
      <c r="A50" s="86">
        <v>250</v>
      </c>
      <c r="B50" s="81">
        <v>0.39389999999999997</v>
      </c>
      <c r="C50" s="83">
        <v>2721.3</v>
      </c>
      <c r="D50" s="83">
        <v>2957.6</v>
      </c>
      <c r="E50" s="82">
        <v>7.1832000000000003</v>
      </c>
      <c r="F50" s="82"/>
      <c r="G50" s="47"/>
    </row>
    <row r="51" spans="1:7" ht="18.75" customHeight="1" x14ac:dyDescent="0.25">
      <c r="A51" s="86">
        <v>260</v>
      </c>
      <c r="B51" s="81">
        <v>0.40207999999999999</v>
      </c>
      <c r="C51" s="83">
        <v>2737.3</v>
      </c>
      <c r="D51" s="83">
        <v>2978.5</v>
      </c>
      <c r="E51" s="82">
        <v>7.2229999999999999</v>
      </c>
      <c r="F51" s="82"/>
      <c r="G51" s="47"/>
    </row>
    <row r="52" spans="1:7" ht="18.75" customHeight="1" x14ac:dyDescent="0.25">
      <c r="A52" s="86">
        <v>270</v>
      </c>
      <c r="B52" s="81">
        <v>0.41021000000000002</v>
      </c>
      <c r="C52" s="83">
        <v>2753.4</v>
      </c>
      <c r="D52" s="83">
        <v>2999.5</v>
      </c>
      <c r="E52" s="82">
        <v>7.2618999999999998</v>
      </c>
      <c r="F52" s="82"/>
      <c r="G52" s="47"/>
    </row>
    <row r="53" spans="1:7" ht="18.75" customHeight="1" x14ac:dyDescent="0.25">
      <c r="A53" s="86">
        <v>280</v>
      </c>
      <c r="B53" s="81">
        <v>0.41831000000000002</v>
      </c>
      <c r="C53" s="83">
        <v>2769.3</v>
      </c>
      <c r="D53" s="83">
        <v>3020.3</v>
      </c>
      <c r="E53" s="82">
        <v>7.3</v>
      </c>
      <c r="F53" s="82"/>
      <c r="G53" s="47"/>
    </row>
    <row r="54" spans="1:7" ht="18.75" customHeight="1" x14ac:dyDescent="0.25">
      <c r="A54" s="86">
        <v>290</v>
      </c>
      <c r="B54" s="81">
        <v>0.42637999999999998</v>
      </c>
      <c r="C54" s="83">
        <v>2785.4</v>
      </c>
      <c r="D54" s="83">
        <v>3041.2</v>
      </c>
      <c r="E54" s="82">
        <v>7.3372999999999999</v>
      </c>
      <c r="F54" s="82"/>
      <c r="G54" s="47"/>
    </row>
    <row r="55" spans="1:7" ht="18.75" customHeight="1" x14ac:dyDescent="0.25">
      <c r="A55" s="86">
        <v>300</v>
      </c>
      <c r="B55" s="81">
        <v>0.43441999999999997</v>
      </c>
      <c r="C55" s="83">
        <v>2801.3</v>
      </c>
      <c r="D55" s="83">
        <v>3062</v>
      </c>
      <c r="E55" s="82">
        <v>7.3739999999999997</v>
      </c>
      <c r="F55" s="82"/>
      <c r="G55" s="47"/>
    </row>
    <row r="56" spans="1:7" ht="18.75" customHeight="1" x14ac:dyDescent="0.25">
      <c r="A56" s="86">
        <v>310</v>
      </c>
      <c r="B56" s="81">
        <v>0.44242999999999999</v>
      </c>
      <c r="C56" s="83">
        <v>2817.3</v>
      </c>
      <c r="D56" s="83">
        <v>3082.8</v>
      </c>
      <c r="E56" s="82">
        <v>7.41</v>
      </c>
      <c r="F56" s="82"/>
      <c r="G56" s="47"/>
    </row>
    <row r="57" spans="1:7" ht="18.75" customHeight="1" x14ac:dyDescent="0.25">
      <c r="A57" s="86">
        <v>320</v>
      </c>
      <c r="B57" s="81">
        <v>0.45041999999999999</v>
      </c>
      <c r="C57" s="83">
        <v>2833.3</v>
      </c>
      <c r="D57" s="83">
        <v>3103.6</v>
      </c>
      <c r="E57" s="82">
        <v>7.4452999999999996</v>
      </c>
      <c r="F57" s="82"/>
      <c r="G57" s="47"/>
    </row>
    <row r="58" spans="1:7" ht="18.75" customHeight="1" x14ac:dyDescent="0.25">
      <c r="A58" s="86">
        <v>330</v>
      </c>
      <c r="B58" s="81">
        <v>0.45839000000000002</v>
      </c>
      <c r="C58" s="83">
        <v>2849.4</v>
      </c>
      <c r="D58" s="83">
        <v>3124.4</v>
      </c>
      <c r="E58" s="82">
        <v>7.4801000000000002</v>
      </c>
      <c r="F58" s="82"/>
      <c r="G58" s="47"/>
    </row>
    <row r="59" spans="1:7" ht="18.75" customHeight="1" x14ac:dyDescent="0.25">
      <c r="A59" s="86">
        <v>340</v>
      </c>
      <c r="B59" s="81">
        <v>0.46633999999999998</v>
      </c>
      <c r="C59" s="83">
        <v>2865.5</v>
      </c>
      <c r="D59" s="83">
        <v>3145.3</v>
      </c>
      <c r="E59" s="82">
        <v>7.5144000000000002</v>
      </c>
      <c r="F59" s="82"/>
      <c r="G59" s="47"/>
    </row>
    <row r="60" spans="1:7" ht="18.75" customHeight="1" x14ac:dyDescent="0.25">
      <c r="A60" s="86">
        <v>350</v>
      </c>
      <c r="B60" s="81">
        <v>0.47427000000000002</v>
      </c>
      <c r="C60" s="83">
        <v>2881.5</v>
      </c>
      <c r="D60" s="83">
        <v>3166.1</v>
      </c>
      <c r="E60" s="82">
        <v>7.5480999999999998</v>
      </c>
      <c r="F60" s="82"/>
      <c r="G60" s="47"/>
    </row>
    <row r="61" spans="1:7" ht="18.75" customHeight="1" x14ac:dyDescent="0.25">
      <c r="A61" s="86">
        <v>360</v>
      </c>
      <c r="B61" s="81">
        <v>0.48219000000000001</v>
      </c>
      <c r="C61" s="83">
        <v>2897.7</v>
      </c>
      <c r="D61" s="83">
        <v>3187</v>
      </c>
      <c r="E61" s="82">
        <v>7.5812999999999997</v>
      </c>
      <c r="F61" s="82"/>
      <c r="G61" s="47"/>
    </row>
    <row r="62" spans="1:7" ht="18.75" customHeight="1" x14ac:dyDescent="0.25">
      <c r="A62" s="86">
        <v>370</v>
      </c>
      <c r="B62" s="81">
        <v>0.49009999999999998</v>
      </c>
      <c r="C62" s="83">
        <v>2913.8</v>
      </c>
      <c r="D62" s="83">
        <v>3207.9</v>
      </c>
      <c r="E62" s="82">
        <v>7.6140999999999996</v>
      </c>
      <c r="F62" s="82"/>
      <c r="G62" s="47"/>
    </row>
    <row r="63" spans="1:7" ht="18.75" customHeight="1" x14ac:dyDescent="0.25">
      <c r="A63" s="86">
        <v>380</v>
      </c>
      <c r="B63" s="81">
        <v>0.49798999999999999</v>
      </c>
      <c r="C63" s="83">
        <v>2930</v>
      </c>
      <c r="D63" s="83">
        <v>3228.8</v>
      </c>
      <c r="E63" s="82">
        <v>7.6463999999999999</v>
      </c>
      <c r="F63" s="82"/>
      <c r="G63" s="47"/>
    </row>
    <row r="64" spans="1:7" ht="18.75" customHeight="1" x14ac:dyDescent="0.25">
      <c r="A64" s="86">
        <v>390</v>
      </c>
      <c r="B64" s="81">
        <v>0.50587000000000004</v>
      </c>
      <c r="C64" s="83">
        <v>2946.3</v>
      </c>
      <c r="D64" s="83">
        <v>3249.8</v>
      </c>
      <c r="E64" s="82">
        <v>7.6782000000000004</v>
      </c>
      <c r="F64" s="82"/>
      <c r="G64" s="47"/>
    </row>
    <row r="65" spans="1:7" ht="18.75" customHeight="1" x14ac:dyDescent="0.25">
      <c r="A65" s="86">
        <v>400</v>
      </c>
      <c r="B65" s="81">
        <v>0.51373999999999997</v>
      </c>
      <c r="C65" s="83">
        <v>2962.6</v>
      </c>
      <c r="D65" s="83">
        <v>3270.8</v>
      </c>
      <c r="E65" s="82">
        <v>7.7096999999999998</v>
      </c>
      <c r="F65" s="82"/>
      <c r="G65" s="47"/>
    </row>
    <row r="66" spans="1:7" ht="18.75" customHeight="1" x14ac:dyDescent="0.25">
      <c r="A66" s="86">
        <v>410</v>
      </c>
      <c r="B66" s="81">
        <v>0.52159999999999995</v>
      </c>
      <c r="C66" s="83">
        <v>2978.8</v>
      </c>
      <c r="D66" s="83">
        <v>3291.8</v>
      </c>
      <c r="E66" s="82">
        <v>7.7407000000000004</v>
      </c>
      <c r="F66" s="82"/>
      <c r="G66" s="47"/>
    </row>
    <row r="67" spans="1:7" ht="18.75" customHeight="1" x14ac:dyDescent="0.25">
      <c r="A67" s="86">
        <v>420</v>
      </c>
      <c r="B67" s="81">
        <v>0.52944999999999998</v>
      </c>
      <c r="C67" s="83">
        <v>2995.2</v>
      </c>
      <c r="D67" s="83">
        <v>3312.9</v>
      </c>
      <c r="E67" s="82">
        <v>7.7713000000000001</v>
      </c>
      <c r="F67" s="82"/>
      <c r="G67" s="47"/>
    </row>
    <row r="68" spans="1:7" ht="18.75" customHeight="1" x14ac:dyDescent="0.25">
      <c r="A68" s="86">
        <v>430</v>
      </c>
      <c r="B68" s="81">
        <v>0.53729000000000005</v>
      </c>
      <c r="C68" s="83">
        <v>3011.6</v>
      </c>
      <c r="D68" s="83">
        <v>3334</v>
      </c>
      <c r="E68" s="82">
        <v>7.8015999999999996</v>
      </c>
      <c r="F68" s="82"/>
      <c r="G68" s="47"/>
    </row>
    <row r="69" spans="1:7" ht="18.75" customHeight="1" x14ac:dyDescent="0.25">
      <c r="A69" s="86">
        <v>440</v>
      </c>
      <c r="B69" s="81">
        <v>0.54513</v>
      </c>
      <c r="C69" s="83">
        <v>3028.1</v>
      </c>
      <c r="D69" s="83">
        <v>3355.2</v>
      </c>
      <c r="E69" s="82">
        <v>7.8315000000000001</v>
      </c>
      <c r="F69" s="82"/>
      <c r="G69" s="47"/>
    </row>
    <row r="70" spans="1:7" ht="18.75" customHeight="1" x14ac:dyDescent="0.25">
      <c r="A70" s="86">
        <v>450</v>
      </c>
      <c r="B70" s="81">
        <v>0.55296000000000001</v>
      </c>
      <c r="C70" s="83">
        <v>3044.7</v>
      </c>
      <c r="D70" s="83">
        <v>3376.5</v>
      </c>
      <c r="E70" s="82">
        <v>7.8611000000000004</v>
      </c>
      <c r="F70" s="82"/>
      <c r="G70" s="47"/>
    </row>
    <row r="71" spans="1:7" ht="18.75" customHeight="1" x14ac:dyDescent="0.25">
      <c r="A71" s="86">
        <v>460</v>
      </c>
      <c r="B71" s="81">
        <v>0.56077999999999995</v>
      </c>
      <c r="C71" s="83">
        <v>3061.2</v>
      </c>
      <c r="D71" s="83">
        <v>3397.7</v>
      </c>
      <c r="E71" s="82">
        <v>7.8902999999999999</v>
      </c>
      <c r="F71" s="82"/>
      <c r="G71" s="47"/>
    </row>
    <row r="72" spans="1:7" ht="18.75" customHeight="1" x14ac:dyDescent="0.25">
      <c r="A72" s="86">
        <v>470</v>
      </c>
      <c r="B72" s="81">
        <v>0.56859000000000004</v>
      </c>
      <c r="C72" s="83">
        <v>3077.9</v>
      </c>
      <c r="D72" s="83">
        <v>3419.1</v>
      </c>
      <c r="E72" s="82">
        <v>7.9192</v>
      </c>
      <c r="F72" s="82"/>
      <c r="G72" s="47"/>
    </row>
    <row r="73" spans="1:7" ht="18.75" customHeight="1" x14ac:dyDescent="0.25">
      <c r="A73" s="86">
        <v>480</v>
      </c>
      <c r="B73" s="81">
        <v>0.57640000000000002</v>
      </c>
      <c r="C73" s="83">
        <v>3094.7</v>
      </c>
      <c r="D73" s="83">
        <v>3440.5</v>
      </c>
      <c r="E73" s="82">
        <v>7.9478</v>
      </c>
      <c r="F73" s="82"/>
      <c r="G73" s="47"/>
    </row>
    <row r="74" spans="1:7" ht="18.75" customHeight="1" x14ac:dyDescent="0.25">
      <c r="A74" s="86">
        <v>490</v>
      </c>
      <c r="B74" s="81">
        <v>0.58420000000000005</v>
      </c>
      <c r="C74" s="83">
        <v>3111.4</v>
      </c>
      <c r="D74" s="83">
        <v>3461.9</v>
      </c>
      <c r="E74" s="82">
        <v>7.9760999999999997</v>
      </c>
      <c r="F74" s="82"/>
      <c r="G74" s="47"/>
    </row>
    <row r="75" spans="1:7" ht="18.75" customHeight="1" x14ac:dyDescent="0.25">
      <c r="A75" s="86">
        <v>500</v>
      </c>
      <c r="B75" s="81">
        <v>0.59199999999999997</v>
      </c>
      <c r="C75" s="83">
        <v>3128.2</v>
      </c>
      <c r="D75" s="83">
        <v>3483.4</v>
      </c>
      <c r="E75" s="82">
        <v>8.0040999999999993</v>
      </c>
      <c r="F75" s="82"/>
      <c r="G75" s="47"/>
    </row>
    <row r="76" spans="1:7" ht="18.75" customHeight="1" x14ac:dyDescent="0.25">
      <c r="A76" s="86">
        <v>520</v>
      </c>
      <c r="B76" s="81">
        <v>0.60758000000000001</v>
      </c>
      <c r="C76" s="83">
        <v>3162.1</v>
      </c>
      <c r="D76" s="83">
        <v>3526.6</v>
      </c>
      <c r="E76" s="82">
        <v>8.0592000000000006</v>
      </c>
      <c r="F76" s="82"/>
      <c r="G76" s="47"/>
    </row>
    <row r="77" spans="1:7" ht="18.75" customHeight="1" x14ac:dyDescent="0.25">
      <c r="A77" s="86">
        <v>540</v>
      </c>
      <c r="B77" s="81">
        <v>0.62314999999999998</v>
      </c>
      <c r="C77" s="83">
        <v>3196.1</v>
      </c>
      <c r="D77" s="83">
        <v>3570</v>
      </c>
      <c r="E77" s="82">
        <v>8.1132000000000009</v>
      </c>
      <c r="F77" s="82"/>
      <c r="G77" s="47"/>
    </row>
    <row r="78" spans="1:7" ht="18.75" customHeight="1" x14ac:dyDescent="0.25">
      <c r="A78" s="86">
        <v>560</v>
      </c>
      <c r="B78" s="81">
        <v>0.63870000000000005</v>
      </c>
      <c r="C78" s="83">
        <v>3230.4</v>
      </c>
      <c r="D78" s="83">
        <v>3613.6</v>
      </c>
      <c r="E78" s="82">
        <v>8.1662999999999997</v>
      </c>
      <c r="F78" s="82"/>
      <c r="G78" s="47"/>
    </row>
    <row r="79" spans="1:7" ht="18.75" customHeight="1" x14ac:dyDescent="0.25">
      <c r="A79" s="86">
        <v>580</v>
      </c>
      <c r="B79" s="81">
        <v>0.65424000000000004</v>
      </c>
      <c r="C79" s="83">
        <v>3265</v>
      </c>
      <c r="D79" s="83">
        <v>3657.5</v>
      </c>
      <c r="E79" s="82">
        <v>8.2182999999999993</v>
      </c>
      <c r="F79" s="82"/>
      <c r="G79" s="47"/>
    </row>
    <row r="80" spans="1:7" ht="18.75" customHeight="1" x14ac:dyDescent="0.25">
      <c r="A80" s="86">
        <v>600</v>
      </c>
      <c r="B80" s="81">
        <v>0.66976000000000002</v>
      </c>
      <c r="C80" s="83">
        <v>3299.8</v>
      </c>
      <c r="D80" s="83">
        <v>3701.7</v>
      </c>
      <c r="E80" s="82">
        <v>8.2695000000000007</v>
      </c>
      <c r="F80" s="82"/>
      <c r="G80" s="47"/>
    </row>
    <row r="81" spans="1:7" ht="18.75" customHeight="1" x14ac:dyDescent="0.25">
      <c r="A81" s="86">
        <v>620</v>
      </c>
      <c r="B81" s="81">
        <v>0.68528</v>
      </c>
      <c r="C81" s="83">
        <v>3334.9</v>
      </c>
      <c r="D81" s="83">
        <v>3746.1</v>
      </c>
      <c r="E81" s="82">
        <v>8.3198000000000008</v>
      </c>
      <c r="F81" s="82"/>
      <c r="G81" s="47"/>
    </row>
    <row r="82" spans="1:7" ht="18.75" customHeight="1" x14ac:dyDescent="0.25">
      <c r="A82" s="86">
        <v>640</v>
      </c>
      <c r="B82" s="81">
        <v>0.70077999999999996</v>
      </c>
      <c r="C82" s="83">
        <v>3370.3</v>
      </c>
      <c r="D82" s="83">
        <v>3790.8</v>
      </c>
      <c r="E82" s="82">
        <v>8.3693000000000008</v>
      </c>
      <c r="F82" s="82"/>
      <c r="G82" s="47"/>
    </row>
    <row r="83" spans="1:7" ht="18.75" customHeight="1" x14ac:dyDescent="0.25">
      <c r="A83" s="86">
        <v>660</v>
      </c>
      <c r="B83" s="81">
        <v>0.71628000000000003</v>
      </c>
      <c r="C83" s="83">
        <v>3405.9</v>
      </c>
      <c r="D83" s="83">
        <v>3835.7</v>
      </c>
      <c r="E83" s="82">
        <v>8.4179999999999993</v>
      </c>
      <c r="F83" s="82"/>
      <c r="G83" s="47"/>
    </row>
    <row r="84" spans="1:7" ht="18.75" customHeight="1" x14ac:dyDescent="0.25">
      <c r="A84" s="86">
        <v>680</v>
      </c>
      <c r="B84" s="81">
        <v>0.73175999999999997</v>
      </c>
      <c r="C84" s="83">
        <v>3441.8</v>
      </c>
      <c r="D84" s="83">
        <v>3880.9</v>
      </c>
      <c r="E84" s="82">
        <v>8.4658999999999995</v>
      </c>
      <c r="F84" s="82"/>
      <c r="G84" s="47"/>
    </row>
    <row r="85" spans="1:7" ht="18.75" customHeight="1" x14ac:dyDescent="0.25">
      <c r="A85" s="86">
        <v>700</v>
      </c>
      <c r="B85" s="81">
        <v>0.74724999999999997</v>
      </c>
      <c r="C85" s="83">
        <v>3478</v>
      </c>
      <c r="D85" s="83">
        <v>3926.4</v>
      </c>
      <c r="E85" s="82">
        <v>8.5130999999999997</v>
      </c>
      <c r="F85" s="82"/>
      <c r="G85" s="47"/>
    </row>
    <row r="86" spans="1:7" ht="18.75" customHeight="1" x14ac:dyDescent="0.25">
      <c r="A86" s="86">
        <v>720</v>
      </c>
      <c r="B86" s="81">
        <v>0.76271999999999995</v>
      </c>
      <c r="C86" s="83">
        <v>3514.6</v>
      </c>
      <c r="D86" s="83">
        <v>3972.2</v>
      </c>
      <c r="E86" s="82">
        <v>8.5596999999999994</v>
      </c>
      <c r="F86" s="82"/>
      <c r="G86" s="47"/>
    </row>
    <row r="87" spans="1:7" ht="18.75" customHeight="1" x14ac:dyDescent="0.25">
      <c r="A87" s="86">
        <v>740</v>
      </c>
      <c r="B87" s="81">
        <v>0.77819000000000005</v>
      </c>
      <c r="C87" s="83">
        <v>3551.3</v>
      </c>
      <c r="D87" s="83">
        <v>4018.2</v>
      </c>
      <c r="E87" s="82">
        <v>8.6056000000000008</v>
      </c>
      <c r="F87" s="82"/>
      <c r="G87" s="47"/>
    </row>
    <row r="88" spans="1:7" ht="18.75" customHeight="1" x14ac:dyDescent="0.25">
      <c r="A88" s="86">
        <v>760</v>
      </c>
      <c r="B88" s="81">
        <v>0.79364999999999997</v>
      </c>
      <c r="C88" s="83">
        <v>3588.3</v>
      </c>
      <c r="D88" s="83">
        <v>4064.5</v>
      </c>
      <c r="E88" s="82">
        <v>8.6508000000000003</v>
      </c>
      <c r="F88" s="82"/>
      <c r="G88" s="47"/>
    </row>
    <row r="89" spans="1:7" ht="18.75" customHeight="1" x14ac:dyDescent="0.25">
      <c r="A89" s="86">
        <v>780</v>
      </c>
      <c r="B89" s="81">
        <v>0.80911</v>
      </c>
      <c r="C89" s="83">
        <v>3625.6</v>
      </c>
      <c r="D89" s="83">
        <v>4111.1000000000004</v>
      </c>
      <c r="E89" s="82">
        <v>8.6953999999999994</v>
      </c>
      <c r="F89" s="82"/>
      <c r="G89" s="47"/>
    </row>
    <row r="90" spans="1:7" ht="18.75" customHeight="1" x14ac:dyDescent="0.25">
      <c r="A90" s="86">
        <v>800</v>
      </c>
      <c r="B90" s="81">
        <v>0.82457000000000003</v>
      </c>
      <c r="C90" s="83">
        <v>3663.2</v>
      </c>
      <c r="D90" s="83">
        <v>4157.8999999999996</v>
      </c>
      <c r="E90" s="82">
        <v>8.7394999999999996</v>
      </c>
      <c r="F90" s="82"/>
      <c r="G90" s="47"/>
    </row>
    <row r="91" spans="1:7" ht="18.75" customHeight="1" x14ac:dyDescent="0.25">
      <c r="A91" s="86">
        <v>820</v>
      </c>
      <c r="B91" s="81">
        <v>0.84001999999999999</v>
      </c>
      <c r="C91" s="83">
        <v>3701</v>
      </c>
      <c r="D91" s="83">
        <v>4205</v>
      </c>
      <c r="E91" s="82">
        <v>8.7829999999999995</v>
      </c>
      <c r="F91" s="82"/>
      <c r="G91" s="47"/>
    </row>
    <row r="92" spans="1:7" ht="18.75" customHeight="1" x14ac:dyDescent="0.25">
      <c r="A92" s="86">
        <v>840</v>
      </c>
      <c r="B92" s="81">
        <v>0.85546999999999995</v>
      </c>
      <c r="C92" s="83">
        <v>3739.1</v>
      </c>
      <c r="D92" s="83">
        <v>4252.3999999999996</v>
      </c>
      <c r="E92" s="82">
        <v>8.8260000000000005</v>
      </c>
      <c r="F92" s="82"/>
      <c r="G92" s="47"/>
    </row>
    <row r="93" spans="1:7" ht="18.75" customHeight="1" x14ac:dyDescent="0.25">
      <c r="A93" s="86">
        <v>860</v>
      </c>
      <c r="B93" s="81">
        <v>0.87090999999999996</v>
      </c>
      <c r="C93" s="83">
        <v>3777.6</v>
      </c>
      <c r="D93" s="83">
        <v>4300.1000000000004</v>
      </c>
      <c r="E93" s="82">
        <v>8.8683999999999994</v>
      </c>
      <c r="F93" s="82"/>
      <c r="G93" s="47"/>
    </row>
    <row r="94" spans="1:7" ht="18.75" customHeight="1" x14ac:dyDescent="0.25">
      <c r="A94" s="86">
        <v>880</v>
      </c>
      <c r="B94" s="81">
        <v>0.88634999999999997</v>
      </c>
      <c r="C94" s="83">
        <v>3816.2</v>
      </c>
      <c r="D94" s="83">
        <v>4348</v>
      </c>
      <c r="E94" s="82">
        <v>8.9102999999999994</v>
      </c>
      <c r="F94" s="82"/>
      <c r="G94" s="47"/>
    </row>
    <row r="95" spans="1:7" ht="18.75" customHeight="1" x14ac:dyDescent="0.25">
      <c r="A95" s="86">
        <v>900</v>
      </c>
      <c r="B95" s="81">
        <v>0.90178000000000003</v>
      </c>
      <c r="C95" s="83">
        <v>3855.1</v>
      </c>
      <c r="D95" s="83">
        <v>4396.2</v>
      </c>
      <c r="E95" s="82">
        <v>8.9518000000000004</v>
      </c>
      <c r="F95" s="82"/>
      <c r="G95" s="47"/>
    </row>
    <row r="96" spans="1:7" ht="18.75" customHeight="1" x14ac:dyDescent="0.25">
      <c r="A96" s="86">
        <v>920</v>
      </c>
      <c r="B96" s="81">
        <v>0.91722000000000004</v>
      </c>
      <c r="C96" s="83">
        <v>3894.4</v>
      </c>
      <c r="D96" s="83">
        <v>4444.7</v>
      </c>
      <c r="E96" s="82">
        <v>8.9926999999999992</v>
      </c>
      <c r="F96" s="82"/>
      <c r="G96" s="47"/>
    </row>
    <row r="97" spans="1:7" ht="18.75" customHeight="1" x14ac:dyDescent="0.25">
      <c r="A97" s="86">
        <v>940</v>
      </c>
      <c r="B97" s="81">
        <v>0.93264999999999998</v>
      </c>
      <c r="C97" s="83">
        <v>3933.8</v>
      </c>
      <c r="D97" s="83">
        <v>4493.3999999999996</v>
      </c>
      <c r="E97" s="82">
        <v>9.0332000000000008</v>
      </c>
      <c r="F97" s="82"/>
      <c r="G97" s="47"/>
    </row>
    <row r="98" spans="1:7" ht="18.75" customHeight="1" x14ac:dyDescent="0.25">
      <c r="A98" s="86">
        <v>960</v>
      </c>
      <c r="B98" s="81">
        <v>0.94808000000000003</v>
      </c>
      <c r="C98" s="83">
        <v>3973.6</v>
      </c>
      <c r="D98" s="83">
        <v>4542.3999999999996</v>
      </c>
      <c r="E98" s="82">
        <v>9.0732999999999997</v>
      </c>
      <c r="F98" s="82"/>
      <c r="G98" s="47"/>
    </row>
    <row r="99" spans="1:7" ht="18.75" customHeight="1" x14ac:dyDescent="0.25">
      <c r="A99" s="86">
        <v>980</v>
      </c>
      <c r="B99" s="81">
        <v>0.96350999999999998</v>
      </c>
      <c r="C99" s="83">
        <v>4013.5</v>
      </c>
      <c r="D99" s="83">
        <v>4591.6000000000004</v>
      </c>
      <c r="E99" s="82">
        <v>9.1128999999999998</v>
      </c>
      <c r="F99" s="82"/>
      <c r="G99" s="47"/>
    </row>
    <row r="100" spans="1:7" ht="13.8" x14ac:dyDescent="0.25">
      <c r="A100" s="86">
        <v>1000</v>
      </c>
      <c r="B100" s="81">
        <v>0.97892999999999997</v>
      </c>
      <c r="C100" s="83">
        <v>4053.7</v>
      </c>
      <c r="D100" s="83">
        <v>4641.1000000000004</v>
      </c>
      <c r="E100" s="82">
        <v>9.1521000000000008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H100"/>
  <sheetViews>
    <sheetView topLeftCell="A20" workbookViewId="0">
      <selection activeCell="A38" sqref="A38:XFD38"/>
    </sheetView>
  </sheetViews>
  <sheetFormatPr defaultRowHeight="13.2" x14ac:dyDescent="0.25"/>
  <cols>
    <col min="1" max="1" width="8.88671875" customWidth="1"/>
    <col min="2" max="2" width="13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206" t="s">
        <v>61</v>
      </c>
      <c r="B1" s="206"/>
      <c r="C1" s="206"/>
      <c r="D1" s="206"/>
      <c r="E1" s="206"/>
      <c r="F1" s="206"/>
      <c r="G1" s="206"/>
      <c r="H1" s="206"/>
    </row>
    <row r="2" spans="1:8" ht="15.75" customHeight="1" x14ac:dyDescent="0.25">
      <c r="A2" s="89" t="s">
        <v>126</v>
      </c>
      <c r="B2" s="90">
        <v>650</v>
      </c>
      <c r="G2" s="47"/>
      <c r="H2" s="47"/>
    </row>
    <row r="3" spans="1:8" ht="18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9.9988000000000008E-4</v>
      </c>
      <c r="C5" s="80">
        <v>-0.03</v>
      </c>
      <c r="D5" s="80">
        <v>0.62</v>
      </c>
      <c r="E5" s="81">
        <v>-1.1E-4</v>
      </c>
      <c r="F5" s="81"/>
      <c r="G5" s="47"/>
      <c r="H5" s="47"/>
    </row>
    <row r="6" spans="1:8" ht="18.75" customHeight="1" x14ac:dyDescent="0.25">
      <c r="A6" s="45">
        <v>5</v>
      </c>
      <c r="B6" s="79">
        <v>9.9975999999999993E-4</v>
      </c>
      <c r="C6" s="80">
        <v>21.02</v>
      </c>
      <c r="D6" s="80">
        <v>21.67</v>
      </c>
      <c r="E6" s="81">
        <v>7.6240000000000002E-2</v>
      </c>
      <c r="F6" s="81"/>
      <c r="G6" s="47"/>
      <c r="H6" s="47"/>
    </row>
    <row r="7" spans="1:8" ht="18.75" customHeight="1" x14ac:dyDescent="0.25">
      <c r="A7" s="45">
        <v>10</v>
      </c>
      <c r="B7" s="79">
        <v>1.00004E-3</v>
      </c>
      <c r="C7" s="80">
        <v>42</v>
      </c>
      <c r="D7" s="80">
        <v>42.65</v>
      </c>
      <c r="E7" s="81">
        <v>0.15103</v>
      </c>
      <c r="F7" s="81"/>
      <c r="G7" s="47"/>
      <c r="H7" s="47"/>
    </row>
    <row r="8" spans="1:8" ht="18.75" customHeight="1" x14ac:dyDescent="0.25">
      <c r="A8" s="45">
        <v>15</v>
      </c>
      <c r="B8" s="79">
        <v>1.0006399999999999E-3</v>
      </c>
      <c r="C8" s="80">
        <v>62.95</v>
      </c>
      <c r="D8" s="80">
        <v>63.6</v>
      </c>
      <c r="E8" s="81">
        <v>0.22437000000000001</v>
      </c>
      <c r="F8" s="81"/>
      <c r="G8" s="47"/>
    </row>
    <row r="9" spans="1:8" ht="18.75" customHeight="1" x14ac:dyDescent="0.25">
      <c r="A9" s="45">
        <v>20</v>
      </c>
      <c r="B9" s="79">
        <v>1.00154E-3</v>
      </c>
      <c r="C9" s="80">
        <v>83.87</v>
      </c>
      <c r="D9" s="80">
        <v>84.52</v>
      </c>
      <c r="E9" s="81">
        <v>0.29635</v>
      </c>
      <c r="F9" s="81"/>
      <c r="G9" s="47"/>
    </row>
    <row r="10" spans="1:8" ht="18.75" customHeight="1" x14ac:dyDescent="0.25">
      <c r="A10" s="45">
        <v>25</v>
      </c>
      <c r="B10" s="79">
        <v>1.00271E-3</v>
      </c>
      <c r="C10" s="80">
        <v>104.78</v>
      </c>
      <c r="D10" s="80">
        <v>105.43</v>
      </c>
      <c r="E10" s="81">
        <v>0.36706</v>
      </c>
      <c r="F10" s="81"/>
      <c r="G10" s="47"/>
    </row>
    <row r="11" spans="1:8" ht="18.75" customHeight="1" x14ac:dyDescent="0.25">
      <c r="A11" s="45">
        <v>30</v>
      </c>
      <c r="B11" s="79">
        <v>1.0041200000000001E-3</v>
      </c>
      <c r="C11" s="80">
        <v>125.67</v>
      </c>
      <c r="D11" s="80">
        <v>126.32</v>
      </c>
      <c r="E11" s="81">
        <v>0.43656</v>
      </c>
      <c r="F11" s="81"/>
      <c r="G11" s="47"/>
    </row>
    <row r="12" spans="1:8" ht="18.75" customHeight="1" x14ac:dyDescent="0.25">
      <c r="A12" s="45">
        <v>35</v>
      </c>
      <c r="B12" s="79">
        <v>1.0057600000000001E-3</v>
      </c>
      <c r="C12" s="80">
        <v>146.56</v>
      </c>
      <c r="D12" s="80">
        <v>147.21</v>
      </c>
      <c r="E12" s="81">
        <v>0.50490999999999997</v>
      </c>
      <c r="F12" s="81"/>
      <c r="G12" s="47"/>
    </row>
    <row r="13" spans="1:8" ht="18.75" customHeight="1" x14ac:dyDescent="0.25">
      <c r="A13" s="45">
        <v>40</v>
      </c>
      <c r="B13" s="79">
        <v>1.0076E-3</v>
      </c>
      <c r="C13" s="80">
        <v>167.45</v>
      </c>
      <c r="D13" s="80">
        <v>168.1</v>
      </c>
      <c r="E13" s="81">
        <v>0.57215000000000005</v>
      </c>
      <c r="F13" s="81"/>
      <c r="G13" s="47"/>
    </row>
    <row r="14" spans="1:8" ht="18.75" customHeight="1" x14ac:dyDescent="0.25">
      <c r="A14" s="45">
        <v>45</v>
      </c>
      <c r="B14" s="79">
        <v>1.00964E-3</v>
      </c>
      <c r="C14" s="80">
        <v>188.33</v>
      </c>
      <c r="D14" s="80">
        <v>188.99</v>
      </c>
      <c r="E14" s="81">
        <v>0.63834000000000002</v>
      </c>
      <c r="F14" s="81"/>
      <c r="G14" s="47"/>
    </row>
    <row r="15" spans="1:8" ht="18.75" customHeight="1" x14ac:dyDescent="0.25">
      <c r="A15" s="45">
        <v>50</v>
      </c>
      <c r="B15" s="79">
        <v>1.0118600000000001E-3</v>
      </c>
      <c r="C15" s="80">
        <v>209.23</v>
      </c>
      <c r="D15" s="80">
        <v>209.89</v>
      </c>
      <c r="E15" s="81">
        <v>0.70350999999999997</v>
      </c>
      <c r="F15" s="81"/>
      <c r="G15" s="47"/>
    </row>
    <row r="16" spans="1:8" ht="18.75" customHeight="1" x14ac:dyDescent="0.25">
      <c r="A16" s="45">
        <v>55</v>
      </c>
      <c r="B16" s="79">
        <v>1.0142700000000001E-3</v>
      </c>
      <c r="C16" s="80">
        <v>230.14</v>
      </c>
      <c r="D16" s="80">
        <v>230.8</v>
      </c>
      <c r="E16" s="81">
        <v>0.76771</v>
      </c>
      <c r="F16" s="81"/>
      <c r="G16" s="47"/>
    </row>
    <row r="17" spans="1:7" ht="18.75" customHeight="1" x14ac:dyDescent="0.25">
      <c r="A17" s="45">
        <v>60</v>
      </c>
      <c r="B17" s="79">
        <v>1.01684E-3</v>
      </c>
      <c r="C17" s="80">
        <v>251.05</v>
      </c>
      <c r="D17" s="80">
        <v>251.71</v>
      </c>
      <c r="E17" s="81">
        <v>0.83096000000000003</v>
      </c>
      <c r="F17" s="81"/>
      <c r="G17" s="47"/>
    </row>
    <row r="18" spans="1:7" ht="18.75" customHeight="1" x14ac:dyDescent="0.25">
      <c r="A18" s="45">
        <v>65</v>
      </c>
      <c r="B18" s="79">
        <v>1.01958E-3</v>
      </c>
      <c r="C18" s="80">
        <v>271.97000000000003</v>
      </c>
      <c r="D18" s="80">
        <v>272.63</v>
      </c>
      <c r="E18" s="81">
        <v>0.89329999999999998</v>
      </c>
      <c r="F18" s="81"/>
      <c r="G18" s="47"/>
    </row>
    <row r="19" spans="1:7" ht="18.75" customHeight="1" x14ac:dyDescent="0.25">
      <c r="A19" s="45">
        <v>70</v>
      </c>
      <c r="B19" s="79">
        <v>1.02249E-3</v>
      </c>
      <c r="C19" s="80">
        <v>292.91000000000003</v>
      </c>
      <c r="D19" s="80">
        <v>293.57</v>
      </c>
      <c r="E19" s="81">
        <v>0.95476000000000005</v>
      </c>
      <c r="F19" s="81"/>
      <c r="G19" s="47"/>
    </row>
    <row r="20" spans="1:7" ht="18.75" customHeight="1" x14ac:dyDescent="0.25">
      <c r="A20" s="45">
        <v>75</v>
      </c>
      <c r="B20" s="79">
        <v>1.0255500000000001E-3</v>
      </c>
      <c r="C20" s="80">
        <v>313.85000000000002</v>
      </c>
      <c r="D20" s="80">
        <v>314.52</v>
      </c>
      <c r="E20" s="82">
        <v>1.0154000000000001</v>
      </c>
      <c r="F20" s="82"/>
      <c r="G20" s="47"/>
    </row>
    <row r="21" spans="1:7" ht="18.75" customHeight="1" x14ac:dyDescent="0.25">
      <c r="A21" s="45">
        <v>80</v>
      </c>
      <c r="B21" s="79">
        <v>1.02877E-3</v>
      </c>
      <c r="C21" s="80">
        <v>334.82</v>
      </c>
      <c r="D21" s="80">
        <v>335.49</v>
      </c>
      <c r="E21" s="82">
        <v>1.0751999999999999</v>
      </c>
      <c r="F21" s="82"/>
      <c r="G21" s="47"/>
    </row>
    <row r="22" spans="1:7" ht="18.75" customHeight="1" x14ac:dyDescent="0.25">
      <c r="A22" s="45">
        <v>85</v>
      </c>
      <c r="B22" s="79">
        <v>1.03214E-3</v>
      </c>
      <c r="C22" s="80">
        <v>355.81</v>
      </c>
      <c r="D22" s="80">
        <v>356.48</v>
      </c>
      <c r="E22" s="82">
        <v>1.1342000000000001</v>
      </c>
      <c r="F22" s="82"/>
      <c r="G22" s="47"/>
    </row>
    <row r="23" spans="1:7" ht="18.75" customHeight="1" x14ac:dyDescent="0.25">
      <c r="A23" s="45">
        <v>90</v>
      </c>
      <c r="B23" s="79">
        <v>1.03567E-3</v>
      </c>
      <c r="C23" s="80">
        <v>376.82</v>
      </c>
      <c r="D23" s="80">
        <v>377.49</v>
      </c>
      <c r="E23" s="82">
        <v>1.1923999999999999</v>
      </c>
      <c r="F23" s="82"/>
      <c r="G23" s="47"/>
    </row>
    <row r="24" spans="1:7" ht="18.75" customHeight="1" x14ac:dyDescent="0.25">
      <c r="A24" s="45">
        <v>95</v>
      </c>
      <c r="B24" s="79">
        <v>1.0393500000000001E-3</v>
      </c>
      <c r="C24" s="80">
        <v>397.84</v>
      </c>
      <c r="D24" s="80">
        <v>398.52</v>
      </c>
      <c r="E24" s="82">
        <v>1.25</v>
      </c>
      <c r="F24" s="82"/>
      <c r="G24" s="47"/>
    </row>
    <row r="25" spans="1:7" ht="18.75" customHeight="1" x14ac:dyDescent="0.25">
      <c r="A25" s="45">
        <v>100</v>
      </c>
      <c r="B25" s="79">
        <v>1.0431800000000001E-3</v>
      </c>
      <c r="C25" s="80">
        <v>418.9</v>
      </c>
      <c r="D25" s="80">
        <v>419.58</v>
      </c>
      <c r="E25" s="82">
        <v>1.3068</v>
      </c>
      <c r="F25" s="82"/>
      <c r="G25" s="47"/>
    </row>
    <row r="26" spans="1:7" ht="18.75" customHeight="1" x14ac:dyDescent="0.25">
      <c r="A26" s="45">
        <v>105</v>
      </c>
      <c r="B26" s="79">
        <v>1.04717E-3</v>
      </c>
      <c r="C26" s="80">
        <v>439.99</v>
      </c>
      <c r="D26" s="80">
        <v>440.67</v>
      </c>
      <c r="E26" s="82">
        <v>1.3629</v>
      </c>
      <c r="F26" s="82"/>
      <c r="G26" s="47"/>
    </row>
    <row r="27" spans="1:7" ht="18.75" customHeight="1" x14ac:dyDescent="0.25">
      <c r="A27" s="45">
        <v>110</v>
      </c>
      <c r="B27" s="79">
        <v>1.05131E-3</v>
      </c>
      <c r="C27" s="80">
        <v>461.1</v>
      </c>
      <c r="D27" s="80">
        <v>461.78</v>
      </c>
      <c r="E27" s="82">
        <v>1.4184000000000001</v>
      </c>
      <c r="F27" s="82"/>
      <c r="G27" s="47"/>
    </row>
    <row r="28" spans="1:7" ht="18.75" customHeight="1" x14ac:dyDescent="0.25">
      <c r="A28" s="45">
        <v>115</v>
      </c>
      <c r="B28" s="79">
        <v>1.05561E-3</v>
      </c>
      <c r="C28" s="80">
        <v>482.25</v>
      </c>
      <c r="D28" s="80">
        <v>482.94</v>
      </c>
      <c r="E28" s="82">
        <v>1.4733000000000001</v>
      </c>
      <c r="F28" s="82"/>
      <c r="G28" s="47"/>
    </row>
    <row r="29" spans="1:7" ht="18.75" customHeight="1" x14ac:dyDescent="0.25">
      <c r="A29" s="45">
        <v>120</v>
      </c>
      <c r="B29" s="79">
        <v>1.06007E-3</v>
      </c>
      <c r="C29" s="80">
        <v>503.44</v>
      </c>
      <c r="D29" s="80">
        <v>504.13</v>
      </c>
      <c r="E29" s="82">
        <v>1.5275000000000001</v>
      </c>
      <c r="F29" s="82"/>
      <c r="G29" s="47"/>
    </row>
    <row r="30" spans="1:7" ht="18.75" customHeight="1" x14ac:dyDescent="0.25">
      <c r="A30" s="45">
        <v>125</v>
      </c>
      <c r="B30" s="79">
        <v>1.0646900000000001E-3</v>
      </c>
      <c r="C30" s="80">
        <v>524.66999999999996</v>
      </c>
      <c r="D30" s="80">
        <v>525.36</v>
      </c>
      <c r="E30" s="82">
        <v>1.5811999999999999</v>
      </c>
      <c r="F30" s="82"/>
      <c r="G30" s="47"/>
    </row>
    <row r="31" spans="1:7" ht="18.75" customHeight="1" x14ac:dyDescent="0.25">
      <c r="A31" s="45">
        <v>130</v>
      </c>
      <c r="B31" s="79">
        <v>1.06948E-3</v>
      </c>
      <c r="C31" s="80">
        <v>545.94000000000005</v>
      </c>
      <c r="D31" s="80">
        <v>546.64</v>
      </c>
      <c r="E31" s="82">
        <v>1.6343000000000001</v>
      </c>
      <c r="F31" s="82"/>
      <c r="G31" s="47"/>
    </row>
    <row r="32" spans="1:7" ht="18.75" customHeight="1" x14ac:dyDescent="0.25">
      <c r="A32" s="45">
        <v>135</v>
      </c>
      <c r="B32" s="79">
        <v>1.0744400000000001E-3</v>
      </c>
      <c r="C32" s="80">
        <v>567.27</v>
      </c>
      <c r="D32" s="80">
        <v>567.97</v>
      </c>
      <c r="E32" s="82">
        <v>1.6869000000000001</v>
      </c>
      <c r="F32" s="82"/>
      <c r="G32" s="47"/>
    </row>
    <row r="33" spans="1:7" ht="18.75" customHeight="1" x14ac:dyDescent="0.25">
      <c r="A33" s="45">
        <v>140</v>
      </c>
      <c r="B33" s="79">
        <v>1.07957E-3</v>
      </c>
      <c r="C33" s="80">
        <v>588.65</v>
      </c>
      <c r="D33" s="80">
        <v>589.35</v>
      </c>
      <c r="E33" s="82">
        <v>1.7388999999999999</v>
      </c>
      <c r="F33" s="82"/>
      <c r="G33" s="47"/>
    </row>
    <row r="34" spans="1:7" ht="18.75" customHeight="1" x14ac:dyDescent="0.25">
      <c r="A34" s="45">
        <v>145</v>
      </c>
      <c r="B34" s="79">
        <v>1.08489E-3</v>
      </c>
      <c r="C34" s="80">
        <v>610.08000000000004</v>
      </c>
      <c r="D34" s="80">
        <v>610.79</v>
      </c>
      <c r="E34" s="82">
        <v>1.7905</v>
      </c>
      <c r="F34" s="82"/>
      <c r="G34" s="47"/>
    </row>
    <row r="35" spans="1:7" ht="18.75" customHeight="1" x14ac:dyDescent="0.25">
      <c r="A35" s="45">
        <v>150</v>
      </c>
      <c r="B35" s="79">
        <v>1.0903899999999999E-3</v>
      </c>
      <c r="C35" s="80">
        <v>631.58000000000004</v>
      </c>
      <c r="D35" s="80">
        <v>632.29</v>
      </c>
      <c r="E35" s="82">
        <v>1.8415999999999999</v>
      </c>
      <c r="F35" s="82"/>
      <c r="G35" s="47"/>
    </row>
    <row r="36" spans="1:7" ht="18.75" customHeight="1" x14ac:dyDescent="0.25">
      <c r="A36" s="45">
        <v>155</v>
      </c>
      <c r="B36" s="79">
        <v>1.0960799999999999E-3</v>
      </c>
      <c r="C36" s="80">
        <v>653.14</v>
      </c>
      <c r="D36" s="80">
        <v>653.85</v>
      </c>
      <c r="E36" s="82">
        <v>1.8923000000000001</v>
      </c>
      <c r="F36" s="82"/>
      <c r="G36" s="47"/>
    </row>
    <row r="37" spans="1:7" ht="18.75" customHeight="1" x14ac:dyDescent="0.25">
      <c r="A37" s="45">
        <v>160</v>
      </c>
      <c r="B37" s="79">
        <v>1.1019700000000001E-3</v>
      </c>
      <c r="C37" s="80">
        <v>674.77</v>
      </c>
      <c r="D37" s="80">
        <v>675.49</v>
      </c>
      <c r="E37" s="82">
        <v>1.9424999999999999</v>
      </c>
      <c r="F37" s="82"/>
      <c r="G37" s="47"/>
    </row>
    <row r="38" spans="1:7" ht="18.75" customHeight="1" x14ac:dyDescent="0.25">
      <c r="A38" s="45">
        <v>165</v>
      </c>
      <c r="B38" s="81">
        <v>0.29520999999999997</v>
      </c>
      <c r="C38" s="83">
        <v>2575.1999999999998</v>
      </c>
      <c r="D38" s="83">
        <v>2767.1</v>
      </c>
      <c r="E38" s="82">
        <v>6.7493999999999996</v>
      </c>
      <c r="F38" s="82"/>
      <c r="G38" s="47"/>
    </row>
    <row r="39" spans="1:7" ht="18.75" customHeight="1" x14ac:dyDescent="0.25">
      <c r="A39" s="45">
        <v>170</v>
      </c>
      <c r="B39" s="81">
        <v>0.29948000000000002</v>
      </c>
      <c r="C39" s="83">
        <v>2584.5</v>
      </c>
      <c r="D39" s="83">
        <v>2779.2</v>
      </c>
      <c r="E39" s="82">
        <v>6.7769000000000004</v>
      </c>
      <c r="F39" s="82"/>
      <c r="G39" s="47"/>
    </row>
    <row r="40" spans="1:7" ht="18.75" customHeight="1" x14ac:dyDescent="0.25">
      <c r="A40" s="45">
        <v>175</v>
      </c>
      <c r="B40" s="81">
        <v>0.30369000000000002</v>
      </c>
      <c r="C40" s="83">
        <v>2593.6999999999998</v>
      </c>
      <c r="D40" s="83">
        <v>2791.1</v>
      </c>
      <c r="E40" s="82">
        <v>6.8034999999999997</v>
      </c>
      <c r="F40" s="82"/>
      <c r="G40" s="47"/>
    </row>
    <row r="41" spans="1:7" ht="18.75" customHeight="1" x14ac:dyDescent="0.25">
      <c r="A41" s="45">
        <v>180</v>
      </c>
      <c r="B41" s="81">
        <v>0.30784</v>
      </c>
      <c r="C41" s="83">
        <v>2602.6</v>
      </c>
      <c r="D41" s="83">
        <v>2802.7</v>
      </c>
      <c r="E41" s="82">
        <v>6.8292999999999999</v>
      </c>
      <c r="F41" s="82"/>
      <c r="G41" s="47"/>
    </row>
    <row r="42" spans="1:7" ht="18.75" customHeight="1" x14ac:dyDescent="0.25">
      <c r="A42" s="45">
        <v>185</v>
      </c>
      <c r="B42" s="81">
        <v>0.31195000000000001</v>
      </c>
      <c r="C42" s="83">
        <v>2611.4</v>
      </c>
      <c r="D42" s="83">
        <v>2814.2</v>
      </c>
      <c r="E42" s="82">
        <v>6.8545999999999996</v>
      </c>
      <c r="F42" s="82"/>
      <c r="G42" s="47"/>
    </row>
    <row r="43" spans="1:7" ht="18.75" customHeight="1" x14ac:dyDescent="0.25">
      <c r="A43" s="45">
        <v>190</v>
      </c>
      <c r="B43" s="81">
        <v>0.31602000000000002</v>
      </c>
      <c r="C43" s="83">
        <v>2620.1999999999998</v>
      </c>
      <c r="D43" s="83">
        <v>2825.6</v>
      </c>
      <c r="E43" s="82">
        <v>6.8792</v>
      </c>
      <c r="F43" s="82"/>
      <c r="G43" s="47"/>
    </row>
    <row r="44" spans="1:7" ht="18.75" customHeight="1" x14ac:dyDescent="0.25">
      <c r="A44" s="45">
        <v>195</v>
      </c>
      <c r="B44" s="81">
        <v>0.32006000000000001</v>
      </c>
      <c r="C44" s="83">
        <v>2628.8</v>
      </c>
      <c r="D44" s="83">
        <v>2836.8</v>
      </c>
      <c r="E44" s="82">
        <v>6.9032999999999998</v>
      </c>
      <c r="F44" s="82"/>
      <c r="G44" s="47"/>
    </row>
    <row r="45" spans="1:7" ht="18.75" customHeight="1" x14ac:dyDescent="0.25">
      <c r="A45" s="45">
        <v>200</v>
      </c>
      <c r="B45" s="81">
        <v>0.32406000000000001</v>
      </c>
      <c r="C45" s="83">
        <v>2637.4</v>
      </c>
      <c r="D45" s="83">
        <v>2848</v>
      </c>
      <c r="E45" s="82">
        <v>6.9269999999999996</v>
      </c>
      <c r="F45" s="82"/>
      <c r="G45" s="47"/>
    </row>
    <row r="46" spans="1:7" ht="18.75" customHeight="1" x14ac:dyDescent="0.25">
      <c r="A46" s="45">
        <v>210</v>
      </c>
      <c r="B46" s="81">
        <v>0.33199000000000001</v>
      </c>
      <c r="C46" s="83">
        <v>2654.2</v>
      </c>
      <c r="D46" s="83">
        <v>2870</v>
      </c>
      <c r="E46" s="82">
        <v>6.9730999999999996</v>
      </c>
      <c r="F46" s="82"/>
      <c r="G46" s="47"/>
    </row>
    <row r="47" spans="1:7" ht="18.75" customHeight="1" x14ac:dyDescent="0.25">
      <c r="A47" s="45">
        <v>220</v>
      </c>
      <c r="B47" s="81">
        <v>0.33983000000000002</v>
      </c>
      <c r="C47" s="83">
        <v>2670.8</v>
      </c>
      <c r="D47" s="83">
        <v>2891.7</v>
      </c>
      <c r="E47" s="82">
        <v>7.0175999999999998</v>
      </c>
      <c r="F47" s="82"/>
      <c r="G47" s="47"/>
    </row>
    <row r="48" spans="1:7" ht="18.75" customHeight="1" x14ac:dyDescent="0.25">
      <c r="A48" s="45">
        <v>230</v>
      </c>
      <c r="B48" s="81">
        <v>0.34759000000000001</v>
      </c>
      <c r="C48" s="83">
        <v>2687.3</v>
      </c>
      <c r="D48" s="83">
        <v>2913.2</v>
      </c>
      <c r="E48" s="82">
        <v>7.0608000000000004</v>
      </c>
      <c r="F48" s="82"/>
      <c r="G48" s="47"/>
    </row>
    <row r="49" spans="1:7" ht="18.75" customHeight="1" x14ac:dyDescent="0.25">
      <c r="A49" s="45">
        <v>240</v>
      </c>
      <c r="B49" s="81">
        <v>0.35527999999999998</v>
      </c>
      <c r="C49" s="83">
        <v>2703.7</v>
      </c>
      <c r="D49" s="83">
        <v>2934.6</v>
      </c>
      <c r="E49" s="82">
        <v>7.1028000000000002</v>
      </c>
      <c r="F49" s="82"/>
      <c r="G49" s="47"/>
    </row>
    <row r="50" spans="1:7" ht="18.75" customHeight="1" x14ac:dyDescent="0.25">
      <c r="A50" s="45">
        <v>250</v>
      </c>
      <c r="B50" s="81">
        <v>0.36292000000000002</v>
      </c>
      <c r="C50" s="83">
        <v>2719.9</v>
      </c>
      <c r="D50" s="83">
        <v>2955.8</v>
      </c>
      <c r="E50" s="82">
        <v>7.1436999999999999</v>
      </c>
      <c r="F50" s="82"/>
      <c r="G50" s="47"/>
    </row>
    <row r="51" spans="1:7" ht="18.75" customHeight="1" x14ac:dyDescent="0.25">
      <c r="A51" s="45">
        <v>260</v>
      </c>
      <c r="B51" s="81">
        <v>0.37051000000000001</v>
      </c>
      <c r="C51" s="83">
        <v>2736.1</v>
      </c>
      <c r="D51" s="83">
        <v>2976.9</v>
      </c>
      <c r="E51" s="82">
        <v>7.1837</v>
      </c>
      <c r="F51" s="82"/>
      <c r="G51" s="47"/>
    </row>
    <row r="52" spans="1:7" ht="18.75" customHeight="1" x14ac:dyDescent="0.25">
      <c r="A52" s="45">
        <v>270</v>
      </c>
      <c r="B52" s="81">
        <v>0.37806000000000001</v>
      </c>
      <c r="C52" s="83">
        <v>2752.2</v>
      </c>
      <c r="D52" s="83">
        <v>2997.9</v>
      </c>
      <c r="E52" s="82">
        <v>7.2228000000000003</v>
      </c>
      <c r="F52" s="82"/>
      <c r="G52" s="47"/>
    </row>
    <row r="53" spans="1:7" ht="18.75" customHeight="1" x14ac:dyDescent="0.25">
      <c r="A53" s="45">
        <v>280</v>
      </c>
      <c r="B53" s="81">
        <v>0.38557000000000002</v>
      </c>
      <c r="C53" s="83">
        <v>2768.3</v>
      </c>
      <c r="D53" s="83">
        <v>3018.9</v>
      </c>
      <c r="E53" s="82">
        <v>7.2610999999999999</v>
      </c>
      <c r="F53" s="82"/>
      <c r="G53" s="47"/>
    </row>
    <row r="54" spans="1:7" ht="18.75" customHeight="1" x14ac:dyDescent="0.25">
      <c r="A54" s="45">
        <v>290</v>
      </c>
      <c r="B54" s="81">
        <v>0.39305000000000001</v>
      </c>
      <c r="C54" s="83">
        <v>2784.3</v>
      </c>
      <c r="D54" s="83">
        <v>3039.8</v>
      </c>
      <c r="E54" s="82">
        <v>7.2986000000000004</v>
      </c>
      <c r="F54" s="82"/>
      <c r="G54" s="47"/>
    </row>
    <row r="55" spans="1:7" ht="18.75" customHeight="1" x14ac:dyDescent="0.25">
      <c r="A55" s="45">
        <v>300</v>
      </c>
      <c r="B55" s="81">
        <v>0.40049000000000001</v>
      </c>
      <c r="C55" s="83">
        <v>2800.4</v>
      </c>
      <c r="D55" s="83">
        <v>3060.7</v>
      </c>
      <c r="E55" s="82">
        <v>7.3353000000000002</v>
      </c>
      <c r="F55" s="82"/>
      <c r="G55" s="47"/>
    </row>
    <row r="56" spans="1:7" ht="18.75" customHeight="1" x14ac:dyDescent="0.25">
      <c r="A56" s="45">
        <v>310</v>
      </c>
      <c r="B56" s="81">
        <v>0.40792</v>
      </c>
      <c r="C56" s="83">
        <v>2816.5</v>
      </c>
      <c r="D56" s="83">
        <v>3081.6</v>
      </c>
      <c r="E56" s="82">
        <v>7.3715000000000002</v>
      </c>
      <c r="F56" s="82"/>
      <c r="G56" s="47"/>
    </row>
    <row r="57" spans="1:7" ht="18.75" customHeight="1" x14ac:dyDescent="0.25">
      <c r="A57" s="45">
        <v>320</v>
      </c>
      <c r="B57" s="81">
        <v>0.41532000000000002</v>
      </c>
      <c r="C57" s="83">
        <v>2832.5</v>
      </c>
      <c r="D57" s="83">
        <v>3102.5</v>
      </c>
      <c r="E57" s="82">
        <v>7.407</v>
      </c>
      <c r="F57" s="82"/>
      <c r="G57" s="47"/>
    </row>
    <row r="58" spans="1:7" ht="18.75" customHeight="1" x14ac:dyDescent="0.25">
      <c r="A58" s="45">
        <v>330</v>
      </c>
      <c r="B58" s="81">
        <v>0.42270000000000002</v>
      </c>
      <c r="C58" s="83">
        <v>2848.6</v>
      </c>
      <c r="D58" s="83">
        <v>3123.4</v>
      </c>
      <c r="E58" s="82">
        <v>7.4419000000000004</v>
      </c>
      <c r="F58" s="82"/>
      <c r="G58" s="47"/>
    </row>
    <row r="59" spans="1:7" ht="18.75" customHeight="1" x14ac:dyDescent="0.25">
      <c r="A59" s="45">
        <v>340</v>
      </c>
      <c r="B59" s="81">
        <v>0.43006</v>
      </c>
      <c r="C59" s="83">
        <v>2864.7</v>
      </c>
      <c r="D59" s="83">
        <v>3144.2</v>
      </c>
      <c r="E59" s="82">
        <v>7.4762000000000004</v>
      </c>
      <c r="F59" s="82"/>
      <c r="G59" s="47"/>
    </row>
    <row r="60" spans="1:7" ht="18.75" customHeight="1" x14ac:dyDescent="0.25">
      <c r="A60" s="45">
        <v>350</v>
      </c>
      <c r="B60" s="81">
        <v>0.43740000000000001</v>
      </c>
      <c r="C60" s="83">
        <v>2880.8</v>
      </c>
      <c r="D60" s="83">
        <v>3165.1</v>
      </c>
      <c r="E60" s="82">
        <v>7.51</v>
      </c>
      <c r="F60" s="82"/>
      <c r="G60" s="47"/>
    </row>
    <row r="61" spans="1:7" ht="18.75" customHeight="1" x14ac:dyDescent="0.25">
      <c r="A61" s="45">
        <v>360</v>
      </c>
      <c r="B61" s="81">
        <v>0.44473000000000001</v>
      </c>
      <c r="C61" s="83">
        <v>2897</v>
      </c>
      <c r="D61" s="83">
        <v>3186.1</v>
      </c>
      <c r="E61" s="82">
        <v>7.5433000000000003</v>
      </c>
      <c r="F61" s="82"/>
      <c r="G61" s="47"/>
    </row>
    <row r="62" spans="1:7" ht="18.75" customHeight="1" x14ac:dyDescent="0.25">
      <c r="A62" s="45">
        <v>370</v>
      </c>
      <c r="B62" s="81">
        <v>0.45204</v>
      </c>
      <c r="C62" s="83">
        <v>2913.2</v>
      </c>
      <c r="D62" s="83">
        <v>3207</v>
      </c>
      <c r="E62" s="82">
        <v>7.5761000000000003</v>
      </c>
      <c r="F62" s="82"/>
      <c r="G62" s="47"/>
    </row>
    <row r="63" spans="1:7" ht="18.75" customHeight="1" x14ac:dyDescent="0.25">
      <c r="A63" s="45">
        <v>380</v>
      </c>
      <c r="B63" s="81">
        <v>0.45934000000000003</v>
      </c>
      <c r="C63" s="83">
        <v>2929.4</v>
      </c>
      <c r="D63" s="83">
        <v>3228</v>
      </c>
      <c r="E63" s="82">
        <v>7.6085000000000003</v>
      </c>
      <c r="F63" s="82"/>
      <c r="G63" s="47"/>
    </row>
    <row r="64" spans="1:7" ht="18.75" customHeight="1" x14ac:dyDescent="0.25">
      <c r="A64" s="45">
        <v>390</v>
      </c>
      <c r="B64" s="81">
        <v>0.46662999999999999</v>
      </c>
      <c r="C64" s="83">
        <v>2945.7</v>
      </c>
      <c r="D64" s="83">
        <v>3249</v>
      </c>
      <c r="E64" s="82">
        <v>7.6403999999999996</v>
      </c>
      <c r="F64" s="82"/>
      <c r="G64" s="47"/>
    </row>
    <row r="65" spans="1:7" ht="18.75" customHeight="1" x14ac:dyDescent="0.25">
      <c r="A65" s="45">
        <v>400</v>
      </c>
      <c r="B65" s="81">
        <v>0.47391</v>
      </c>
      <c r="C65" s="83">
        <v>2962</v>
      </c>
      <c r="D65" s="83">
        <v>3270</v>
      </c>
      <c r="E65" s="82">
        <v>7.6718999999999999</v>
      </c>
      <c r="F65" s="82"/>
      <c r="G65" s="47"/>
    </row>
    <row r="66" spans="1:7" ht="18.75" customHeight="1" x14ac:dyDescent="0.25">
      <c r="A66" s="45">
        <v>410</v>
      </c>
      <c r="B66" s="81">
        <v>0.48118</v>
      </c>
      <c r="C66" s="83">
        <v>2978.3</v>
      </c>
      <c r="D66" s="83">
        <v>3291.1</v>
      </c>
      <c r="E66" s="82">
        <v>7.7028999999999996</v>
      </c>
      <c r="F66" s="82"/>
      <c r="G66" s="47"/>
    </row>
    <row r="67" spans="1:7" ht="18.75" customHeight="1" x14ac:dyDescent="0.25">
      <c r="A67" s="45">
        <v>420</v>
      </c>
      <c r="B67" s="81">
        <v>0.48843999999999999</v>
      </c>
      <c r="C67" s="83">
        <v>2994.7</v>
      </c>
      <c r="D67" s="83">
        <v>3312.2</v>
      </c>
      <c r="E67" s="82">
        <v>7.7336</v>
      </c>
      <c r="F67" s="82"/>
      <c r="G67" s="47"/>
    </row>
    <row r="68" spans="1:7" ht="18.75" customHeight="1" x14ac:dyDescent="0.25">
      <c r="A68" s="45">
        <v>430</v>
      </c>
      <c r="B68" s="81">
        <v>0.49569000000000002</v>
      </c>
      <c r="C68" s="83">
        <v>3011.2</v>
      </c>
      <c r="D68" s="83">
        <v>3333.4</v>
      </c>
      <c r="E68" s="82">
        <v>7.7638999999999996</v>
      </c>
      <c r="F68" s="82"/>
      <c r="G68" s="47"/>
    </row>
    <row r="69" spans="1:7" ht="18.75" customHeight="1" x14ac:dyDescent="0.25">
      <c r="A69" s="45">
        <v>440</v>
      </c>
      <c r="B69" s="81">
        <v>0.50292999999999999</v>
      </c>
      <c r="C69" s="83">
        <v>3027.7</v>
      </c>
      <c r="D69" s="83">
        <v>3354.6</v>
      </c>
      <c r="E69" s="82">
        <v>7.7938999999999998</v>
      </c>
      <c r="F69" s="82"/>
      <c r="G69" s="47"/>
    </row>
    <row r="70" spans="1:7" ht="18.75" customHeight="1" x14ac:dyDescent="0.25">
      <c r="A70" s="45">
        <v>450</v>
      </c>
      <c r="B70" s="81">
        <v>0.51017000000000001</v>
      </c>
      <c r="C70" s="83">
        <v>3044.2</v>
      </c>
      <c r="D70" s="83">
        <v>3375.8</v>
      </c>
      <c r="E70" s="82">
        <v>7.8235000000000001</v>
      </c>
      <c r="F70" s="82"/>
      <c r="G70" s="47"/>
    </row>
    <row r="71" spans="1:7" ht="18.75" customHeight="1" x14ac:dyDescent="0.25">
      <c r="A71" s="45">
        <v>460</v>
      </c>
      <c r="B71" s="81">
        <v>0.51739999999999997</v>
      </c>
      <c r="C71" s="83">
        <v>3060.8</v>
      </c>
      <c r="D71" s="83">
        <v>3397.1</v>
      </c>
      <c r="E71" s="82">
        <v>7.8526999999999996</v>
      </c>
      <c r="F71" s="82"/>
      <c r="G71" s="47"/>
    </row>
    <row r="72" spans="1:7" ht="18.75" customHeight="1" x14ac:dyDescent="0.25">
      <c r="A72" s="45">
        <v>470</v>
      </c>
      <c r="B72" s="81">
        <v>0.52461999999999998</v>
      </c>
      <c r="C72" s="83">
        <v>3077.5</v>
      </c>
      <c r="D72" s="83">
        <v>3418.5</v>
      </c>
      <c r="E72" s="82">
        <v>7.8817000000000004</v>
      </c>
      <c r="F72" s="82"/>
      <c r="G72" s="47"/>
    </row>
    <row r="73" spans="1:7" ht="18.75" customHeight="1" x14ac:dyDescent="0.25">
      <c r="A73" s="45">
        <v>480</v>
      </c>
      <c r="B73" s="81">
        <v>0.53183999999999998</v>
      </c>
      <c r="C73" s="83">
        <v>3094.2</v>
      </c>
      <c r="D73" s="83">
        <v>3439.9</v>
      </c>
      <c r="E73" s="82">
        <v>7.9103000000000003</v>
      </c>
      <c r="F73" s="82"/>
      <c r="G73" s="47"/>
    </row>
    <row r="74" spans="1:7" ht="18.75" customHeight="1" x14ac:dyDescent="0.25">
      <c r="A74" s="45">
        <v>490</v>
      </c>
      <c r="B74" s="81">
        <v>0.53905000000000003</v>
      </c>
      <c r="C74" s="83">
        <v>3110.9</v>
      </c>
      <c r="D74" s="83">
        <v>3461.3</v>
      </c>
      <c r="E74" s="82">
        <v>7.9386000000000001</v>
      </c>
      <c r="F74" s="82"/>
      <c r="G74" s="47"/>
    </row>
    <row r="75" spans="1:7" ht="18.75" customHeight="1" x14ac:dyDescent="0.25">
      <c r="A75" s="45">
        <v>500</v>
      </c>
      <c r="B75" s="81">
        <v>0.54625000000000001</v>
      </c>
      <c r="C75" s="83">
        <v>3127.8</v>
      </c>
      <c r="D75" s="83">
        <v>3482.9</v>
      </c>
      <c r="E75" s="82">
        <v>7.9665999999999997</v>
      </c>
      <c r="F75" s="82"/>
      <c r="G75" s="47"/>
    </row>
    <row r="76" spans="1:7" ht="18.75" customHeight="1" x14ac:dyDescent="0.25">
      <c r="A76" s="45">
        <v>520</v>
      </c>
      <c r="B76" s="81">
        <v>0.56064999999999998</v>
      </c>
      <c r="C76" s="83">
        <v>3161.7</v>
      </c>
      <c r="D76" s="83">
        <v>3526.1</v>
      </c>
      <c r="E76" s="82">
        <v>8.0218000000000007</v>
      </c>
      <c r="F76" s="82"/>
      <c r="G76" s="47"/>
    </row>
    <row r="77" spans="1:7" ht="18.75" customHeight="1" x14ac:dyDescent="0.25">
      <c r="A77" s="45">
        <v>540</v>
      </c>
      <c r="B77" s="81">
        <v>0.57503000000000004</v>
      </c>
      <c r="C77" s="83">
        <v>3195.7</v>
      </c>
      <c r="D77" s="83">
        <v>3569.5</v>
      </c>
      <c r="E77" s="82">
        <v>8.0759000000000007</v>
      </c>
      <c r="F77" s="82"/>
      <c r="G77" s="47"/>
    </row>
    <row r="78" spans="1:7" ht="18.75" customHeight="1" x14ac:dyDescent="0.25">
      <c r="A78" s="45">
        <v>560</v>
      </c>
      <c r="B78" s="81">
        <v>0.58940000000000003</v>
      </c>
      <c r="C78" s="83">
        <v>3230.1</v>
      </c>
      <c r="D78" s="83">
        <v>3613.2</v>
      </c>
      <c r="E78" s="82">
        <v>8.1288999999999998</v>
      </c>
      <c r="F78" s="82"/>
      <c r="G78" s="47"/>
    </row>
    <row r="79" spans="1:7" ht="18.75" customHeight="1" x14ac:dyDescent="0.25">
      <c r="A79" s="45">
        <v>580</v>
      </c>
      <c r="B79" s="81">
        <v>0.60375999999999996</v>
      </c>
      <c r="C79" s="83">
        <v>3264.7</v>
      </c>
      <c r="D79" s="83">
        <v>3657.1</v>
      </c>
      <c r="E79" s="82">
        <v>8.1809999999999992</v>
      </c>
      <c r="F79" s="82"/>
      <c r="G79" s="47"/>
    </row>
    <row r="80" spans="1:7" ht="18.75" customHeight="1" x14ac:dyDescent="0.25">
      <c r="A80" s="45">
        <v>600</v>
      </c>
      <c r="B80" s="81">
        <v>0.61809999999999998</v>
      </c>
      <c r="C80" s="83">
        <v>3299.5</v>
      </c>
      <c r="D80" s="83">
        <v>3701.3</v>
      </c>
      <c r="E80" s="82">
        <v>8.2322000000000006</v>
      </c>
      <c r="F80" s="82"/>
      <c r="G80" s="47"/>
    </row>
    <row r="81" spans="1:7" ht="18.75" customHeight="1" x14ac:dyDescent="0.25">
      <c r="A81" s="45">
        <v>620</v>
      </c>
      <c r="B81" s="81">
        <v>0.63243000000000005</v>
      </c>
      <c r="C81" s="83">
        <v>3334.6</v>
      </c>
      <c r="D81" s="83">
        <v>3745.7</v>
      </c>
      <c r="E81" s="82">
        <v>8.2825000000000006</v>
      </c>
      <c r="F81" s="82"/>
      <c r="G81" s="47"/>
    </row>
    <row r="82" spans="1:7" ht="18.75" customHeight="1" x14ac:dyDescent="0.25">
      <c r="A82" s="45">
        <v>640</v>
      </c>
      <c r="B82" s="81">
        <v>0.64675000000000005</v>
      </c>
      <c r="C82" s="83">
        <v>3370</v>
      </c>
      <c r="D82" s="83">
        <v>3790.4</v>
      </c>
      <c r="E82" s="82">
        <v>8.3320000000000007</v>
      </c>
      <c r="F82" s="82"/>
      <c r="G82" s="47"/>
    </row>
    <row r="83" spans="1:7" ht="18.75" customHeight="1" x14ac:dyDescent="0.25">
      <c r="A83" s="45">
        <v>660</v>
      </c>
      <c r="B83" s="81">
        <v>0.66105999999999998</v>
      </c>
      <c r="C83" s="83">
        <v>3405.7</v>
      </c>
      <c r="D83" s="83">
        <v>3835.4</v>
      </c>
      <c r="E83" s="82">
        <v>8.3808000000000007</v>
      </c>
      <c r="F83" s="82"/>
      <c r="G83" s="47"/>
    </row>
    <row r="84" spans="1:7" ht="18.75" customHeight="1" x14ac:dyDescent="0.25">
      <c r="A84" s="45">
        <v>680</v>
      </c>
      <c r="B84" s="81">
        <v>0.67537000000000003</v>
      </c>
      <c r="C84" s="83">
        <v>3441.6</v>
      </c>
      <c r="D84" s="83">
        <v>3880.6</v>
      </c>
      <c r="E84" s="82">
        <v>8.4286999999999992</v>
      </c>
      <c r="F84" s="82"/>
      <c r="G84" s="47"/>
    </row>
    <row r="85" spans="1:7" ht="18.75" customHeight="1" x14ac:dyDescent="0.25">
      <c r="A85" s="45">
        <v>700</v>
      </c>
      <c r="B85" s="81">
        <v>0.68967000000000001</v>
      </c>
      <c r="C85" s="83">
        <v>3477.8</v>
      </c>
      <c r="D85" s="83">
        <v>3926.1</v>
      </c>
      <c r="E85" s="82">
        <v>8.4760000000000009</v>
      </c>
      <c r="F85" s="82"/>
      <c r="G85" s="47"/>
    </row>
    <row r="86" spans="1:7" ht="18.75" customHeight="1" x14ac:dyDescent="0.25">
      <c r="A86" s="45">
        <v>720</v>
      </c>
      <c r="B86" s="81">
        <v>0.70396000000000003</v>
      </c>
      <c r="C86" s="83">
        <v>3514.3</v>
      </c>
      <c r="D86" s="83">
        <v>3971.9</v>
      </c>
      <c r="E86" s="82">
        <v>8.5225000000000009</v>
      </c>
      <c r="F86" s="82"/>
      <c r="G86" s="47"/>
    </row>
    <row r="87" spans="1:7" ht="18.75" customHeight="1" x14ac:dyDescent="0.25">
      <c r="A87" s="45">
        <v>740</v>
      </c>
      <c r="B87" s="81">
        <v>0.71823999999999999</v>
      </c>
      <c r="C87" s="83">
        <v>3551</v>
      </c>
      <c r="D87" s="83">
        <v>4017.9</v>
      </c>
      <c r="E87" s="82">
        <v>8.5684000000000005</v>
      </c>
      <c r="F87" s="82"/>
      <c r="G87" s="47"/>
    </row>
    <row r="88" spans="1:7" ht="18.75" customHeight="1" x14ac:dyDescent="0.25">
      <c r="A88" s="45">
        <v>760</v>
      </c>
      <c r="B88" s="81">
        <v>0.73251999999999995</v>
      </c>
      <c r="C88" s="83">
        <v>3588.2</v>
      </c>
      <c r="D88" s="83">
        <v>4064.3</v>
      </c>
      <c r="E88" s="82">
        <v>8.6136999999999997</v>
      </c>
      <c r="F88" s="82"/>
      <c r="G88" s="47"/>
    </row>
    <row r="89" spans="1:7" ht="18.75" customHeight="1" x14ac:dyDescent="0.25">
      <c r="A89" s="45">
        <v>780</v>
      </c>
      <c r="B89" s="81">
        <v>0.74680000000000002</v>
      </c>
      <c r="C89" s="83">
        <v>3625.4</v>
      </c>
      <c r="D89" s="83">
        <v>4110.8</v>
      </c>
      <c r="E89" s="82">
        <v>8.6583000000000006</v>
      </c>
      <c r="F89" s="82"/>
      <c r="G89" s="47"/>
    </row>
    <row r="90" spans="1:7" ht="18.75" customHeight="1" x14ac:dyDescent="0.25">
      <c r="A90" s="45">
        <v>800</v>
      </c>
      <c r="B90" s="81">
        <v>0.76107000000000002</v>
      </c>
      <c r="C90" s="83">
        <v>3663</v>
      </c>
      <c r="D90" s="83">
        <v>4157.7</v>
      </c>
      <c r="E90" s="82">
        <v>8.7024000000000008</v>
      </c>
      <c r="F90" s="82"/>
      <c r="G90" s="47"/>
    </row>
    <row r="91" spans="1:7" ht="18.75" customHeight="1" x14ac:dyDescent="0.25">
      <c r="A91" s="45">
        <v>820</v>
      </c>
      <c r="B91" s="81">
        <v>0.77534000000000003</v>
      </c>
      <c r="C91" s="83">
        <v>3700.8</v>
      </c>
      <c r="D91" s="83">
        <v>4204.8</v>
      </c>
      <c r="E91" s="82">
        <v>8.7459000000000007</v>
      </c>
      <c r="F91" s="82"/>
      <c r="G91" s="47"/>
    </row>
    <row r="92" spans="1:7" ht="18.75" customHeight="1" x14ac:dyDescent="0.25">
      <c r="A92" s="45">
        <v>840</v>
      </c>
      <c r="B92" s="81">
        <v>0.78959999999999997</v>
      </c>
      <c r="C92" s="83">
        <v>3739</v>
      </c>
      <c r="D92" s="83">
        <v>4252.2</v>
      </c>
      <c r="E92" s="82">
        <v>8.7888999999999999</v>
      </c>
      <c r="F92" s="82"/>
      <c r="G92" s="47"/>
    </row>
    <row r="93" spans="1:7" ht="18.75" customHeight="1" x14ac:dyDescent="0.25">
      <c r="A93" s="45">
        <v>860</v>
      </c>
      <c r="B93" s="81">
        <v>0.80386000000000002</v>
      </c>
      <c r="C93" s="83">
        <v>3777.4</v>
      </c>
      <c r="D93" s="83">
        <v>4299.8999999999996</v>
      </c>
      <c r="E93" s="82">
        <v>8.8313000000000006</v>
      </c>
      <c r="F93" s="82"/>
      <c r="G93" s="47"/>
    </row>
    <row r="94" spans="1:7" ht="18.75" customHeight="1" x14ac:dyDescent="0.25">
      <c r="A94" s="45">
        <v>880</v>
      </c>
      <c r="B94" s="81">
        <v>0.81811999999999996</v>
      </c>
      <c r="C94" s="83">
        <v>3816</v>
      </c>
      <c r="D94" s="83">
        <v>4347.8</v>
      </c>
      <c r="E94" s="82">
        <v>8.8732000000000006</v>
      </c>
      <c r="F94" s="82"/>
      <c r="G94" s="47"/>
    </row>
    <row r="95" spans="1:7" ht="18.75" customHeight="1" x14ac:dyDescent="0.25">
      <c r="A95" s="45">
        <v>900</v>
      </c>
      <c r="B95" s="81">
        <v>0.83237000000000005</v>
      </c>
      <c r="C95" s="83">
        <v>3855</v>
      </c>
      <c r="D95" s="83">
        <v>4396</v>
      </c>
      <c r="E95" s="82">
        <v>8.9146999999999998</v>
      </c>
      <c r="F95" s="82"/>
      <c r="G95" s="47"/>
    </row>
    <row r="96" spans="1:7" ht="18.75" customHeight="1" x14ac:dyDescent="0.25">
      <c r="A96" s="45">
        <v>920</v>
      </c>
      <c r="B96" s="81">
        <v>0.84662000000000004</v>
      </c>
      <c r="C96" s="83">
        <v>3894.2</v>
      </c>
      <c r="D96" s="83">
        <v>4444.5</v>
      </c>
      <c r="E96" s="82">
        <v>8.9556000000000004</v>
      </c>
      <c r="F96" s="82"/>
      <c r="G96" s="47"/>
    </row>
    <row r="97" spans="1:7" ht="18.75" customHeight="1" x14ac:dyDescent="0.25">
      <c r="A97" s="45">
        <v>940</v>
      </c>
      <c r="B97" s="81">
        <v>0.86087000000000002</v>
      </c>
      <c r="C97" s="83">
        <v>3933.6</v>
      </c>
      <c r="D97" s="83">
        <v>4493.2</v>
      </c>
      <c r="E97" s="82">
        <v>8.9962</v>
      </c>
      <c r="F97" s="82"/>
      <c r="G97" s="47"/>
    </row>
    <row r="98" spans="1:7" ht="18.75" customHeight="1" x14ac:dyDescent="0.25">
      <c r="A98" s="45">
        <v>960</v>
      </c>
      <c r="B98" s="81">
        <v>0.87512000000000001</v>
      </c>
      <c r="C98" s="83">
        <v>3973.4</v>
      </c>
      <c r="D98" s="83">
        <v>4542.2</v>
      </c>
      <c r="E98" s="82">
        <v>9.0361999999999991</v>
      </c>
      <c r="F98" s="82"/>
      <c r="G98" s="47"/>
    </row>
    <row r="99" spans="1:7" ht="18.75" customHeight="1" x14ac:dyDescent="0.25">
      <c r="A99" s="45">
        <v>980</v>
      </c>
      <c r="B99" s="81">
        <v>0.88936000000000004</v>
      </c>
      <c r="C99" s="83">
        <v>4013.4</v>
      </c>
      <c r="D99" s="83">
        <v>4591.5</v>
      </c>
      <c r="E99" s="82">
        <v>9.0757999999999992</v>
      </c>
      <c r="F99" s="82"/>
      <c r="G99" s="47"/>
    </row>
    <row r="100" spans="1:7" ht="13.8" x14ac:dyDescent="0.25">
      <c r="A100" s="45">
        <v>1000</v>
      </c>
      <c r="B100" s="81">
        <v>0.90359999999999996</v>
      </c>
      <c r="C100" s="83">
        <v>4053.7</v>
      </c>
      <c r="D100" s="83">
        <v>4641</v>
      </c>
      <c r="E100" s="82">
        <v>9.1150000000000002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H100"/>
  <sheetViews>
    <sheetView topLeftCell="A21" workbookViewId="0">
      <selection activeCell="A38" sqref="A38:XFD38"/>
    </sheetView>
  </sheetViews>
  <sheetFormatPr defaultRowHeight="13.2" x14ac:dyDescent="0.25"/>
  <cols>
    <col min="1" max="1" width="6.21875" customWidth="1"/>
    <col min="2" max="2" width="10.77734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62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700</v>
      </c>
      <c r="G2" s="28"/>
      <c r="H2" s="28"/>
    </row>
    <row r="3" spans="1:8" ht="18.75" customHeight="1" x14ac:dyDescent="0.25">
      <c r="A3" s="75" t="s">
        <v>127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9.9985000000000004E-4</v>
      </c>
      <c r="C5" s="80">
        <v>-0.03</v>
      </c>
      <c r="D5" s="80">
        <v>0.67</v>
      </c>
      <c r="E5" s="81">
        <v>-1.1E-4</v>
      </c>
      <c r="F5" s="81"/>
      <c r="G5" s="28"/>
      <c r="H5" s="28"/>
    </row>
    <row r="6" spans="1:8" ht="18.75" customHeight="1" x14ac:dyDescent="0.25">
      <c r="A6" s="87">
        <v>5</v>
      </c>
      <c r="B6" s="79">
        <v>9.9974000000000005E-4</v>
      </c>
      <c r="C6" s="80">
        <v>21.02</v>
      </c>
      <c r="D6" s="80">
        <v>21.72</v>
      </c>
      <c r="E6" s="81">
        <v>7.6240000000000002E-2</v>
      </c>
      <c r="F6" s="81"/>
      <c r="G6" s="28"/>
      <c r="H6" s="28"/>
    </row>
    <row r="7" spans="1:8" ht="18.75" customHeight="1" x14ac:dyDescent="0.25">
      <c r="A7" s="87">
        <v>10</v>
      </c>
      <c r="B7" s="79">
        <v>1.00001E-3</v>
      </c>
      <c r="C7" s="80">
        <v>42</v>
      </c>
      <c r="D7" s="80">
        <v>42.7</v>
      </c>
      <c r="E7" s="81">
        <v>0.15101999999999999</v>
      </c>
      <c r="F7" s="81"/>
      <c r="G7" s="28"/>
    </row>
    <row r="8" spans="1:8" ht="18.75" customHeight="1" x14ac:dyDescent="0.25">
      <c r="A8" s="87">
        <v>15</v>
      </c>
      <c r="B8" s="79">
        <v>1.00062E-3</v>
      </c>
      <c r="C8" s="80">
        <v>62.95</v>
      </c>
      <c r="D8" s="80">
        <v>63.65</v>
      </c>
      <c r="E8" s="81">
        <v>0.22436</v>
      </c>
      <c r="F8" s="81"/>
      <c r="G8" s="28"/>
    </row>
    <row r="9" spans="1:8" ht="18.75" customHeight="1" x14ac:dyDescent="0.25">
      <c r="A9" s="87">
        <v>20</v>
      </c>
      <c r="B9" s="79">
        <v>1.0015200000000001E-3</v>
      </c>
      <c r="C9" s="80">
        <v>83.87</v>
      </c>
      <c r="D9" s="80">
        <v>84.57</v>
      </c>
      <c r="E9" s="81">
        <v>0.29633999999999999</v>
      </c>
      <c r="F9" s="81"/>
      <c r="G9" s="28"/>
    </row>
    <row r="10" spans="1:8" ht="18.75" customHeight="1" x14ac:dyDescent="0.25">
      <c r="A10" s="87">
        <v>25</v>
      </c>
      <c r="B10" s="79">
        <v>1.0026900000000001E-3</v>
      </c>
      <c r="C10" s="80">
        <v>104.77</v>
      </c>
      <c r="D10" s="80">
        <v>105.47</v>
      </c>
      <c r="E10" s="81">
        <v>0.36703999999999998</v>
      </c>
      <c r="F10" s="81"/>
      <c r="G10" s="28"/>
    </row>
    <row r="11" spans="1:8" ht="18.75" customHeight="1" x14ac:dyDescent="0.25">
      <c r="A11" s="87">
        <v>30</v>
      </c>
      <c r="B11" s="79">
        <v>1.0041E-3</v>
      </c>
      <c r="C11" s="80">
        <v>125.67</v>
      </c>
      <c r="D11" s="80">
        <v>126.37</v>
      </c>
      <c r="E11" s="81">
        <v>0.43653999999999998</v>
      </c>
      <c r="F11" s="81"/>
      <c r="G11" s="28"/>
    </row>
    <row r="12" spans="1:8" ht="18.75" customHeight="1" x14ac:dyDescent="0.25">
      <c r="A12" s="87">
        <v>35</v>
      </c>
      <c r="B12" s="79">
        <v>1.00574E-3</v>
      </c>
      <c r="C12" s="80">
        <v>146.56</v>
      </c>
      <c r="D12" s="80">
        <v>147.26</v>
      </c>
      <c r="E12" s="81">
        <v>0.50488999999999995</v>
      </c>
      <c r="F12" s="81"/>
      <c r="G12" s="28"/>
    </row>
    <row r="13" spans="1:8" ht="18.75" customHeight="1" x14ac:dyDescent="0.25">
      <c r="A13" s="87">
        <v>40</v>
      </c>
      <c r="B13" s="79">
        <v>1.0075800000000001E-3</v>
      </c>
      <c r="C13" s="80">
        <v>167.44</v>
      </c>
      <c r="D13" s="80">
        <v>168.15</v>
      </c>
      <c r="E13" s="81">
        <v>0.57213000000000003</v>
      </c>
      <c r="F13" s="81"/>
      <c r="G13" s="28"/>
    </row>
    <row r="14" spans="1:8" ht="18.75" customHeight="1" x14ac:dyDescent="0.25">
      <c r="A14" s="87">
        <v>45</v>
      </c>
      <c r="B14" s="79">
        <v>1.0096199999999999E-3</v>
      </c>
      <c r="C14" s="80">
        <v>188.33</v>
      </c>
      <c r="D14" s="80">
        <v>189.04</v>
      </c>
      <c r="E14" s="81">
        <v>0.63832</v>
      </c>
      <c r="F14" s="81"/>
      <c r="G14" s="28"/>
    </row>
    <row r="15" spans="1:8" ht="18.75" customHeight="1" x14ac:dyDescent="0.25">
      <c r="A15" s="87">
        <v>50</v>
      </c>
      <c r="B15" s="79">
        <v>1.01184E-3</v>
      </c>
      <c r="C15" s="80">
        <v>209.22</v>
      </c>
      <c r="D15" s="80">
        <v>209.93</v>
      </c>
      <c r="E15" s="81">
        <v>0.70348999999999995</v>
      </c>
      <c r="F15" s="81"/>
      <c r="G15" s="28"/>
    </row>
    <row r="16" spans="1:8" ht="18.75" customHeight="1" x14ac:dyDescent="0.25">
      <c r="A16" s="87">
        <v>55</v>
      </c>
      <c r="B16" s="79">
        <v>1.01425E-3</v>
      </c>
      <c r="C16" s="80">
        <v>230.13</v>
      </c>
      <c r="D16" s="80">
        <v>230.84</v>
      </c>
      <c r="E16" s="81">
        <v>0.76768000000000003</v>
      </c>
      <c r="F16" s="81"/>
      <c r="G16" s="28"/>
    </row>
    <row r="17" spans="1:7" ht="18.75" customHeight="1" x14ac:dyDescent="0.25">
      <c r="A17" s="87">
        <v>60</v>
      </c>
      <c r="B17" s="79">
        <v>1.0168200000000001E-3</v>
      </c>
      <c r="C17" s="80">
        <v>251.04</v>
      </c>
      <c r="D17" s="80">
        <v>251.75</v>
      </c>
      <c r="E17" s="81">
        <v>0.83092999999999995</v>
      </c>
      <c r="F17" s="81"/>
      <c r="G17" s="28"/>
    </row>
    <row r="18" spans="1:7" ht="18.75" customHeight="1" x14ac:dyDescent="0.25">
      <c r="A18" s="87">
        <v>65</v>
      </c>
      <c r="B18" s="79">
        <v>1.0195600000000001E-3</v>
      </c>
      <c r="C18" s="80">
        <v>271.97000000000003</v>
      </c>
      <c r="D18" s="80">
        <v>272.68</v>
      </c>
      <c r="E18" s="81">
        <v>0.89327000000000001</v>
      </c>
      <c r="F18" s="81"/>
      <c r="G18" s="28"/>
    </row>
    <row r="19" spans="1:7" ht="18.75" customHeight="1" x14ac:dyDescent="0.25">
      <c r="A19" s="87">
        <v>70</v>
      </c>
      <c r="B19" s="79">
        <v>1.02246E-3</v>
      </c>
      <c r="C19" s="80">
        <v>292.89</v>
      </c>
      <c r="D19" s="80">
        <v>293.61</v>
      </c>
      <c r="E19" s="81">
        <v>0.95472999999999997</v>
      </c>
      <c r="F19" s="81"/>
      <c r="G19" s="28"/>
    </row>
    <row r="20" spans="1:7" ht="18.75" customHeight="1" x14ac:dyDescent="0.25">
      <c r="A20" s="87">
        <v>75</v>
      </c>
      <c r="B20" s="79">
        <v>1.02553E-3</v>
      </c>
      <c r="C20" s="80">
        <v>313.83999999999997</v>
      </c>
      <c r="D20" s="80">
        <v>314.56</v>
      </c>
      <c r="E20" s="82">
        <v>1.0153000000000001</v>
      </c>
      <c r="F20" s="82"/>
      <c r="G20" s="28"/>
    </row>
    <row r="21" spans="1:7" ht="18.75" customHeight="1" x14ac:dyDescent="0.25">
      <c r="A21" s="87">
        <v>80</v>
      </c>
      <c r="B21" s="79">
        <v>1.02874E-3</v>
      </c>
      <c r="C21" s="80">
        <v>334.81</v>
      </c>
      <c r="D21" s="80">
        <v>335.53</v>
      </c>
      <c r="E21" s="82">
        <v>1.0750999999999999</v>
      </c>
      <c r="F21" s="82"/>
      <c r="G21" s="28"/>
    </row>
    <row r="22" spans="1:7" ht="18.75" customHeight="1" x14ac:dyDescent="0.25">
      <c r="A22" s="87">
        <v>85</v>
      </c>
      <c r="B22" s="79">
        <v>1.0321200000000001E-3</v>
      </c>
      <c r="C22" s="80">
        <v>355.8</v>
      </c>
      <c r="D22" s="80">
        <v>356.52</v>
      </c>
      <c r="E22" s="82">
        <v>1.1342000000000001</v>
      </c>
      <c r="F22" s="82"/>
      <c r="G22" s="28"/>
    </row>
    <row r="23" spans="1:7" ht="18.75" customHeight="1" x14ac:dyDescent="0.25">
      <c r="A23" s="87">
        <v>90</v>
      </c>
      <c r="B23" s="79">
        <v>1.03564E-3</v>
      </c>
      <c r="C23" s="80">
        <v>376.81</v>
      </c>
      <c r="D23" s="80">
        <v>377.53</v>
      </c>
      <c r="E23" s="82">
        <v>1.1923999999999999</v>
      </c>
      <c r="F23" s="82"/>
      <c r="G23" s="28"/>
    </row>
    <row r="24" spans="1:7" ht="18.75" customHeight="1" x14ac:dyDescent="0.25">
      <c r="A24" s="87">
        <v>95</v>
      </c>
      <c r="B24" s="79">
        <v>1.03932E-3</v>
      </c>
      <c r="C24" s="80">
        <v>397.83</v>
      </c>
      <c r="D24" s="80">
        <v>398.56</v>
      </c>
      <c r="E24" s="82">
        <v>1.2499</v>
      </c>
      <c r="F24" s="82"/>
      <c r="G24" s="28"/>
    </row>
    <row r="25" spans="1:7" ht="18.75" customHeight="1" x14ac:dyDescent="0.25">
      <c r="A25" s="87">
        <v>100</v>
      </c>
      <c r="B25" s="79">
        <v>1.04316E-3</v>
      </c>
      <c r="C25" s="80">
        <v>418.89</v>
      </c>
      <c r="D25" s="80">
        <v>419.62</v>
      </c>
      <c r="E25" s="82">
        <v>1.3067</v>
      </c>
      <c r="F25" s="82"/>
      <c r="G25" s="28"/>
    </row>
    <row r="26" spans="1:7" ht="18.75" customHeight="1" x14ac:dyDescent="0.25">
      <c r="A26" s="87">
        <v>105</v>
      </c>
      <c r="B26" s="79">
        <v>1.04714E-3</v>
      </c>
      <c r="C26" s="80">
        <v>439.97</v>
      </c>
      <c r="D26" s="80">
        <v>440.7</v>
      </c>
      <c r="E26" s="82">
        <v>1.3629</v>
      </c>
      <c r="F26" s="82"/>
      <c r="G26" s="28"/>
    </row>
    <row r="27" spans="1:7" ht="18.75" customHeight="1" x14ac:dyDescent="0.25">
      <c r="A27" s="87">
        <v>110</v>
      </c>
      <c r="B27" s="79">
        <v>1.0512799999999999E-3</v>
      </c>
      <c r="C27" s="80">
        <v>461.08</v>
      </c>
      <c r="D27" s="80">
        <v>461.82</v>
      </c>
      <c r="E27" s="82">
        <v>1.4184000000000001</v>
      </c>
      <c r="F27" s="82"/>
      <c r="G27" s="28"/>
    </row>
    <row r="28" spans="1:7" ht="18.75" customHeight="1" x14ac:dyDescent="0.25">
      <c r="A28" s="87">
        <v>115</v>
      </c>
      <c r="B28" s="79">
        <v>1.05558E-3</v>
      </c>
      <c r="C28" s="80">
        <v>482.23</v>
      </c>
      <c r="D28" s="80">
        <v>482.97</v>
      </c>
      <c r="E28" s="82">
        <v>1.4732000000000001</v>
      </c>
      <c r="F28" s="82"/>
      <c r="G28" s="28"/>
    </row>
    <row r="29" spans="1:7" ht="18.75" customHeight="1" x14ac:dyDescent="0.25">
      <c r="A29" s="87">
        <v>120</v>
      </c>
      <c r="B29" s="79">
        <v>1.0600399999999999E-3</v>
      </c>
      <c r="C29" s="80">
        <v>503.42</v>
      </c>
      <c r="D29" s="80">
        <v>504.16</v>
      </c>
      <c r="E29" s="82">
        <v>1.5275000000000001</v>
      </c>
      <c r="F29" s="82"/>
      <c r="G29" s="28"/>
    </row>
    <row r="30" spans="1:7" ht="18.75" customHeight="1" x14ac:dyDescent="0.25">
      <c r="A30" s="87">
        <v>125</v>
      </c>
      <c r="B30" s="79">
        <v>1.06467E-3</v>
      </c>
      <c r="C30" s="80">
        <v>524.65</v>
      </c>
      <c r="D30" s="80">
        <v>525.4</v>
      </c>
      <c r="E30" s="82">
        <v>1.5810999999999999</v>
      </c>
      <c r="F30" s="82"/>
      <c r="G30" s="28"/>
    </row>
    <row r="31" spans="1:7" ht="18.75" customHeight="1" x14ac:dyDescent="0.25">
      <c r="A31" s="87">
        <v>130</v>
      </c>
      <c r="B31" s="79">
        <v>1.06945E-3</v>
      </c>
      <c r="C31" s="80">
        <v>545.91999999999996</v>
      </c>
      <c r="D31" s="80">
        <v>546.66999999999996</v>
      </c>
      <c r="E31" s="82">
        <v>1.6342000000000001</v>
      </c>
      <c r="F31" s="82"/>
      <c r="G31" s="28"/>
    </row>
    <row r="32" spans="1:7" ht="18.75" customHeight="1" x14ac:dyDescent="0.25">
      <c r="A32" s="87">
        <v>135</v>
      </c>
      <c r="B32" s="79">
        <v>1.07441E-3</v>
      </c>
      <c r="C32" s="80">
        <v>567.25</v>
      </c>
      <c r="D32" s="80">
        <v>568</v>
      </c>
      <c r="E32" s="82">
        <v>1.6868000000000001</v>
      </c>
      <c r="F32" s="82"/>
      <c r="G32" s="28"/>
    </row>
    <row r="33" spans="1:7" ht="18.75" customHeight="1" x14ac:dyDescent="0.25">
      <c r="A33" s="87">
        <v>140</v>
      </c>
      <c r="B33" s="79">
        <v>1.0795399999999999E-3</v>
      </c>
      <c r="C33" s="80">
        <v>588.62</v>
      </c>
      <c r="D33" s="80">
        <v>589.38</v>
      </c>
      <c r="E33" s="82">
        <v>1.7388999999999999</v>
      </c>
      <c r="F33" s="82"/>
      <c r="G33" s="28"/>
    </row>
    <row r="34" spans="1:7" ht="18.75" customHeight="1" x14ac:dyDescent="0.25">
      <c r="A34" s="87">
        <v>145</v>
      </c>
      <c r="B34" s="79">
        <v>1.0848500000000001E-3</v>
      </c>
      <c r="C34" s="80">
        <v>610.05999999999995</v>
      </c>
      <c r="D34" s="80">
        <v>610.82000000000005</v>
      </c>
      <c r="E34" s="82">
        <v>1.7904</v>
      </c>
      <c r="F34" s="82"/>
      <c r="G34" s="28"/>
    </row>
    <row r="35" spans="1:7" ht="18.75" customHeight="1" x14ac:dyDescent="0.25">
      <c r="A35" s="87">
        <v>150</v>
      </c>
      <c r="B35" s="79">
        <v>1.0903499999999999E-3</v>
      </c>
      <c r="C35" s="80">
        <v>631.55999999999995</v>
      </c>
      <c r="D35" s="80">
        <v>632.32000000000005</v>
      </c>
      <c r="E35" s="82">
        <v>1.8415999999999999</v>
      </c>
      <c r="F35" s="82"/>
      <c r="G35" s="28"/>
    </row>
    <row r="36" spans="1:7" ht="18.75" customHeight="1" x14ac:dyDescent="0.25">
      <c r="A36" s="87">
        <v>155</v>
      </c>
      <c r="B36" s="79">
        <v>1.0960399999999999E-3</v>
      </c>
      <c r="C36" s="80">
        <v>653.11</v>
      </c>
      <c r="D36" s="80">
        <v>653.88</v>
      </c>
      <c r="E36" s="82">
        <v>1.8922000000000001</v>
      </c>
      <c r="F36" s="82"/>
      <c r="G36" s="28"/>
    </row>
    <row r="37" spans="1:7" ht="18.75" customHeight="1" x14ac:dyDescent="0.25">
      <c r="A37" s="87">
        <v>160</v>
      </c>
      <c r="B37" s="79">
        <v>1.1019300000000001E-3</v>
      </c>
      <c r="C37" s="80">
        <v>674.75</v>
      </c>
      <c r="D37" s="80">
        <v>675.52</v>
      </c>
      <c r="E37" s="82">
        <v>1.9424999999999999</v>
      </c>
      <c r="F37" s="82"/>
      <c r="G37" s="28"/>
    </row>
    <row r="38" spans="1:7" ht="18.75" customHeight="1" x14ac:dyDescent="0.25">
      <c r="A38" s="87">
        <v>165</v>
      </c>
      <c r="B38" s="81">
        <v>0.27282000000000001</v>
      </c>
      <c r="C38" s="83">
        <v>2571.9</v>
      </c>
      <c r="D38" s="83">
        <v>2762.9</v>
      </c>
      <c r="E38" s="82">
        <v>6.7073999999999998</v>
      </c>
      <c r="F38" s="82"/>
      <c r="G38" s="28"/>
    </row>
    <row r="39" spans="1:7" ht="18.75" customHeight="1" x14ac:dyDescent="0.25">
      <c r="A39" s="87">
        <v>170</v>
      </c>
      <c r="B39" s="81">
        <v>0.27687</v>
      </c>
      <c r="C39" s="83">
        <v>2581.6</v>
      </c>
      <c r="D39" s="83">
        <v>2775.4</v>
      </c>
      <c r="E39" s="82">
        <v>6.7356999999999996</v>
      </c>
      <c r="F39" s="82"/>
      <c r="G39" s="28"/>
    </row>
    <row r="40" spans="1:7" ht="18.75" customHeight="1" x14ac:dyDescent="0.25">
      <c r="A40" s="87">
        <v>175</v>
      </c>
      <c r="B40" s="81">
        <v>0.28083999999999998</v>
      </c>
      <c r="C40" s="83">
        <v>2590.9</v>
      </c>
      <c r="D40" s="83">
        <v>2787.5</v>
      </c>
      <c r="E40" s="82">
        <v>6.7629000000000001</v>
      </c>
      <c r="F40" s="82"/>
      <c r="G40" s="28"/>
    </row>
    <row r="41" spans="1:7" ht="18.75" customHeight="1" x14ac:dyDescent="0.25">
      <c r="A41" s="87">
        <v>180</v>
      </c>
      <c r="B41" s="81">
        <v>0.28476000000000001</v>
      </c>
      <c r="C41" s="83">
        <v>2600.1</v>
      </c>
      <c r="D41" s="83">
        <v>2799.4</v>
      </c>
      <c r="E41" s="82">
        <v>6.7892999999999999</v>
      </c>
      <c r="F41" s="82"/>
      <c r="G41" s="28"/>
    </row>
    <row r="42" spans="1:7" ht="18.75" customHeight="1" x14ac:dyDescent="0.25">
      <c r="A42" s="87">
        <v>185</v>
      </c>
      <c r="B42" s="81">
        <v>0.28863</v>
      </c>
      <c r="C42" s="83">
        <v>2609.1</v>
      </c>
      <c r="D42" s="83">
        <v>2811.1</v>
      </c>
      <c r="E42" s="82">
        <v>6.8148999999999997</v>
      </c>
      <c r="F42" s="82"/>
      <c r="G42" s="28"/>
    </row>
    <row r="43" spans="1:7" ht="18.75" customHeight="1" x14ac:dyDescent="0.25">
      <c r="A43" s="87">
        <v>190</v>
      </c>
      <c r="B43" s="81">
        <v>0.29244999999999999</v>
      </c>
      <c r="C43" s="83">
        <v>2617.9</v>
      </c>
      <c r="D43" s="83">
        <v>2822.6</v>
      </c>
      <c r="E43" s="82">
        <v>6.8399000000000001</v>
      </c>
      <c r="F43" s="82"/>
      <c r="G43" s="28"/>
    </row>
    <row r="44" spans="1:7" ht="18.75" customHeight="1" x14ac:dyDescent="0.25">
      <c r="A44" s="87">
        <v>195</v>
      </c>
      <c r="B44" s="81">
        <v>0.29624</v>
      </c>
      <c r="C44" s="83">
        <v>2626.6</v>
      </c>
      <c r="D44" s="83">
        <v>2834</v>
      </c>
      <c r="E44" s="82">
        <v>6.8643999999999998</v>
      </c>
      <c r="F44" s="82"/>
      <c r="G44" s="28"/>
    </row>
    <row r="45" spans="1:7" ht="18.75" customHeight="1" x14ac:dyDescent="0.25">
      <c r="A45" s="87">
        <v>200</v>
      </c>
      <c r="B45" s="81">
        <v>0.3</v>
      </c>
      <c r="C45" s="83">
        <v>2635.3</v>
      </c>
      <c r="D45" s="83">
        <v>2845.3</v>
      </c>
      <c r="E45" s="82">
        <v>6.8883999999999999</v>
      </c>
      <c r="F45" s="82"/>
      <c r="G45" s="28"/>
    </row>
    <row r="46" spans="1:7" ht="18.75" customHeight="1" x14ac:dyDescent="0.25">
      <c r="A46" s="87">
        <v>210</v>
      </c>
      <c r="B46" s="81">
        <v>0.30743999999999999</v>
      </c>
      <c r="C46" s="83">
        <v>2652.3</v>
      </c>
      <c r="D46" s="83">
        <v>2867.5</v>
      </c>
      <c r="E46" s="82">
        <v>6.9348999999999998</v>
      </c>
      <c r="F46" s="82"/>
      <c r="G46" s="28"/>
    </row>
    <row r="47" spans="1:7" ht="18.75" customHeight="1" x14ac:dyDescent="0.25">
      <c r="A47" s="87">
        <v>220</v>
      </c>
      <c r="B47" s="81">
        <v>0.31478</v>
      </c>
      <c r="C47" s="83">
        <v>2669.2</v>
      </c>
      <c r="D47" s="83">
        <v>2889.5</v>
      </c>
      <c r="E47" s="82">
        <v>6.9798999999999998</v>
      </c>
      <c r="F47" s="82"/>
      <c r="G47" s="28"/>
    </row>
    <row r="48" spans="1:7" ht="18.75" customHeight="1" x14ac:dyDescent="0.25">
      <c r="A48" s="87">
        <v>230</v>
      </c>
      <c r="B48" s="81">
        <v>0.32203999999999999</v>
      </c>
      <c r="C48" s="83">
        <v>2685.8</v>
      </c>
      <c r="D48" s="83">
        <v>2911.2</v>
      </c>
      <c r="E48" s="82">
        <v>7.0233999999999996</v>
      </c>
      <c r="F48" s="82"/>
      <c r="G48" s="28"/>
    </row>
    <row r="49" spans="1:7" ht="18.75" customHeight="1" x14ac:dyDescent="0.25">
      <c r="A49" s="87">
        <v>240</v>
      </c>
      <c r="B49" s="81">
        <v>0.32923000000000002</v>
      </c>
      <c r="C49" s="83">
        <v>2702.2</v>
      </c>
      <c r="D49" s="83">
        <v>2932.7</v>
      </c>
      <c r="E49" s="82">
        <v>7.0658000000000003</v>
      </c>
      <c r="F49" s="82"/>
      <c r="G49" s="28"/>
    </row>
    <row r="50" spans="1:7" ht="18.75" customHeight="1" x14ac:dyDescent="0.25">
      <c r="A50" s="87">
        <v>250</v>
      </c>
      <c r="B50" s="81">
        <v>0.33637</v>
      </c>
      <c r="C50" s="83">
        <v>2718.5</v>
      </c>
      <c r="D50" s="83">
        <v>2954</v>
      </c>
      <c r="E50" s="82">
        <v>7.1070000000000002</v>
      </c>
      <c r="F50" s="82"/>
      <c r="G50" s="28"/>
    </row>
    <row r="51" spans="1:7" ht="18.75" customHeight="1" x14ac:dyDescent="0.25">
      <c r="A51" s="87">
        <v>260</v>
      </c>
      <c r="B51" s="81">
        <v>0.34344999999999998</v>
      </c>
      <c r="C51" s="83">
        <v>2734.8</v>
      </c>
      <c r="D51" s="83">
        <v>2975.2</v>
      </c>
      <c r="E51" s="82">
        <v>7.1471999999999998</v>
      </c>
      <c r="F51" s="82"/>
      <c r="G51" s="28"/>
    </row>
    <row r="52" spans="1:7" ht="18.75" customHeight="1" x14ac:dyDescent="0.25">
      <c r="A52" s="87">
        <v>270</v>
      </c>
      <c r="B52" s="81">
        <v>0.35049999999999998</v>
      </c>
      <c r="C52" s="83">
        <v>2751</v>
      </c>
      <c r="D52" s="83">
        <v>2996.4</v>
      </c>
      <c r="E52" s="82">
        <v>7.1864999999999997</v>
      </c>
      <c r="F52" s="82"/>
      <c r="G52" s="28"/>
    </row>
    <row r="53" spans="1:7" ht="18.75" customHeight="1" x14ac:dyDescent="0.25">
      <c r="A53" s="87">
        <v>280</v>
      </c>
      <c r="B53" s="81">
        <v>0.35749999999999998</v>
      </c>
      <c r="C53" s="83">
        <v>2767.3</v>
      </c>
      <c r="D53" s="83">
        <v>3017.5</v>
      </c>
      <c r="E53" s="82">
        <v>7.2248999999999999</v>
      </c>
      <c r="F53" s="82"/>
      <c r="G53" s="28"/>
    </row>
    <row r="54" spans="1:7" ht="18.75" customHeight="1" x14ac:dyDescent="0.25">
      <c r="A54" s="87">
        <v>290</v>
      </c>
      <c r="B54" s="81">
        <v>0.36447000000000002</v>
      </c>
      <c r="C54" s="83">
        <v>2783.4</v>
      </c>
      <c r="D54" s="83">
        <v>3038.5</v>
      </c>
      <c r="E54" s="82">
        <v>7.2625000000000002</v>
      </c>
      <c r="F54" s="82"/>
      <c r="G54" s="28"/>
    </row>
    <row r="55" spans="1:7" ht="18.75" customHeight="1" x14ac:dyDescent="0.25">
      <c r="A55" s="87">
        <v>300</v>
      </c>
      <c r="B55" s="81">
        <v>0.37141999999999997</v>
      </c>
      <c r="C55" s="83">
        <v>2799.4</v>
      </c>
      <c r="D55" s="83">
        <v>3059.4</v>
      </c>
      <c r="E55" s="82">
        <v>7.2995000000000001</v>
      </c>
      <c r="F55" s="82"/>
      <c r="G55" s="28"/>
    </row>
    <row r="56" spans="1:7" ht="18.75" customHeight="1" x14ac:dyDescent="0.25">
      <c r="A56" s="87">
        <v>310</v>
      </c>
      <c r="B56" s="81">
        <v>0.37833</v>
      </c>
      <c r="C56" s="83">
        <v>2815.6</v>
      </c>
      <c r="D56" s="83">
        <v>3080.4</v>
      </c>
      <c r="E56" s="82">
        <v>7.3357000000000001</v>
      </c>
      <c r="F56" s="82"/>
      <c r="G56" s="28"/>
    </row>
    <row r="57" spans="1:7" ht="18.75" customHeight="1" x14ac:dyDescent="0.25">
      <c r="A57" s="87">
        <v>320</v>
      </c>
      <c r="B57" s="81">
        <v>0.38523000000000002</v>
      </c>
      <c r="C57" s="83">
        <v>2831.6</v>
      </c>
      <c r="D57" s="83">
        <v>3101.3</v>
      </c>
      <c r="E57" s="82">
        <v>7.3712999999999997</v>
      </c>
      <c r="F57" s="82"/>
      <c r="G57" s="28"/>
    </row>
    <row r="58" spans="1:7" ht="18.75" customHeight="1" x14ac:dyDescent="0.25">
      <c r="A58" s="87">
        <v>330</v>
      </c>
      <c r="B58" s="81">
        <v>0.3921</v>
      </c>
      <c r="C58" s="83">
        <v>2847.8</v>
      </c>
      <c r="D58" s="83">
        <v>3122.3</v>
      </c>
      <c r="E58" s="82">
        <v>7.4062999999999999</v>
      </c>
      <c r="F58" s="82"/>
      <c r="G58" s="28"/>
    </row>
    <row r="59" spans="1:7" ht="18.75" customHeight="1" x14ac:dyDescent="0.25">
      <c r="A59" s="87">
        <v>340</v>
      </c>
      <c r="B59" s="81">
        <v>0.39895000000000003</v>
      </c>
      <c r="C59" s="83">
        <v>2863.9</v>
      </c>
      <c r="D59" s="83">
        <v>3143.2</v>
      </c>
      <c r="E59" s="82">
        <v>7.4406999999999996</v>
      </c>
      <c r="F59" s="82"/>
      <c r="G59" s="28"/>
    </row>
    <row r="60" spans="1:7" ht="18.75" customHeight="1" x14ac:dyDescent="0.25">
      <c r="A60" s="87">
        <v>350</v>
      </c>
      <c r="B60" s="81">
        <v>0.40578999999999998</v>
      </c>
      <c r="C60" s="83">
        <v>2880.1</v>
      </c>
      <c r="D60" s="83">
        <v>3164.2</v>
      </c>
      <c r="E60" s="82">
        <v>7.4745999999999997</v>
      </c>
      <c r="F60" s="82"/>
      <c r="G60" s="28"/>
    </row>
    <row r="61" spans="1:7" ht="18.75" customHeight="1" x14ac:dyDescent="0.25">
      <c r="A61" s="87">
        <v>360</v>
      </c>
      <c r="B61" s="81">
        <v>0.41260999999999998</v>
      </c>
      <c r="C61" s="83">
        <v>2896.3</v>
      </c>
      <c r="D61" s="83">
        <v>3185.1</v>
      </c>
      <c r="E61" s="82">
        <v>7.508</v>
      </c>
      <c r="F61" s="82"/>
      <c r="G61" s="28"/>
    </row>
    <row r="62" spans="1:7" ht="18.75" customHeight="1" x14ac:dyDescent="0.25">
      <c r="A62" s="87">
        <v>370</v>
      </c>
      <c r="B62" s="81">
        <v>0.41942000000000002</v>
      </c>
      <c r="C62" s="83">
        <v>2912.5</v>
      </c>
      <c r="D62" s="83">
        <v>3206.1</v>
      </c>
      <c r="E62" s="82">
        <v>7.5408999999999997</v>
      </c>
      <c r="F62" s="82"/>
      <c r="G62" s="28"/>
    </row>
    <row r="63" spans="1:7" ht="18.75" customHeight="1" x14ac:dyDescent="0.25">
      <c r="A63" s="87">
        <v>380</v>
      </c>
      <c r="B63" s="81">
        <v>0.42620999999999998</v>
      </c>
      <c r="C63" s="83">
        <v>2928.8</v>
      </c>
      <c r="D63" s="83">
        <v>3227.1</v>
      </c>
      <c r="E63" s="82">
        <v>7.5732999999999997</v>
      </c>
      <c r="F63" s="82"/>
      <c r="G63" s="28"/>
    </row>
    <row r="64" spans="1:7" ht="18.75" customHeight="1" x14ac:dyDescent="0.25">
      <c r="A64" s="87">
        <v>390</v>
      </c>
      <c r="B64" s="81">
        <v>0.43298999999999999</v>
      </c>
      <c r="C64" s="83">
        <v>2945</v>
      </c>
      <c r="D64" s="83">
        <v>3248.1</v>
      </c>
      <c r="E64" s="82">
        <v>7.6052999999999997</v>
      </c>
      <c r="F64" s="82"/>
      <c r="G64" s="28"/>
    </row>
    <row r="65" spans="1:7" ht="18.75" customHeight="1" x14ac:dyDescent="0.25">
      <c r="A65" s="87">
        <v>400</v>
      </c>
      <c r="B65" s="81">
        <v>0.43976999999999999</v>
      </c>
      <c r="C65" s="83">
        <v>2961.4</v>
      </c>
      <c r="D65" s="83">
        <v>3269.2</v>
      </c>
      <c r="E65" s="82">
        <v>7.6368</v>
      </c>
      <c r="F65" s="82"/>
      <c r="G65" s="28"/>
    </row>
    <row r="66" spans="1:7" ht="18.75" customHeight="1" x14ac:dyDescent="0.25">
      <c r="A66" s="87">
        <v>410</v>
      </c>
      <c r="B66" s="81">
        <v>0.44652999999999998</v>
      </c>
      <c r="C66" s="83">
        <v>2977.7</v>
      </c>
      <c r="D66" s="83">
        <v>3290.3</v>
      </c>
      <c r="E66" s="82">
        <v>7.6679000000000004</v>
      </c>
      <c r="F66" s="82"/>
      <c r="G66" s="28"/>
    </row>
    <row r="67" spans="1:7" ht="18.75" customHeight="1" x14ac:dyDescent="0.25">
      <c r="A67" s="87">
        <v>420</v>
      </c>
      <c r="B67" s="81">
        <v>0.45328000000000002</v>
      </c>
      <c r="C67" s="83">
        <v>2994.2</v>
      </c>
      <c r="D67" s="83">
        <v>3311.5</v>
      </c>
      <c r="E67" s="82">
        <v>7.6985999999999999</v>
      </c>
      <c r="F67" s="82"/>
      <c r="G67" s="28"/>
    </row>
    <row r="68" spans="1:7" ht="18.75" customHeight="1" x14ac:dyDescent="0.25">
      <c r="A68" s="87">
        <v>430</v>
      </c>
      <c r="B68" s="81">
        <v>0.46002999999999999</v>
      </c>
      <c r="C68" s="83">
        <v>3010.7</v>
      </c>
      <c r="D68" s="83">
        <v>3332.7</v>
      </c>
      <c r="E68" s="82">
        <v>7.7290000000000001</v>
      </c>
      <c r="F68" s="82"/>
      <c r="G68" s="28"/>
    </row>
    <row r="69" spans="1:7" ht="18.75" customHeight="1" x14ac:dyDescent="0.25">
      <c r="A69" s="87">
        <v>440</v>
      </c>
      <c r="B69" s="81">
        <v>0.46676000000000001</v>
      </c>
      <c r="C69" s="83">
        <v>3027.2</v>
      </c>
      <c r="D69" s="83">
        <v>3353.9</v>
      </c>
      <c r="E69" s="82">
        <v>7.7590000000000003</v>
      </c>
      <c r="F69" s="82"/>
      <c r="G69" s="28"/>
    </row>
    <row r="70" spans="1:7" ht="18.75" customHeight="1" x14ac:dyDescent="0.25">
      <c r="A70" s="87">
        <v>450</v>
      </c>
      <c r="B70" s="81">
        <v>0.47349000000000002</v>
      </c>
      <c r="C70" s="83">
        <v>3043.8</v>
      </c>
      <c r="D70" s="83">
        <v>3375.2</v>
      </c>
      <c r="E70" s="82">
        <v>7.7885999999999997</v>
      </c>
      <c r="F70" s="82"/>
      <c r="G70" s="28"/>
    </row>
    <row r="71" spans="1:7" ht="18.75" customHeight="1" x14ac:dyDescent="0.25">
      <c r="A71" s="87">
        <v>460</v>
      </c>
      <c r="B71" s="81">
        <v>0.48021000000000003</v>
      </c>
      <c r="C71" s="83">
        <v>3060.4</v>
      </c>
      <c r="D71" s="83">
        <v>3396.5</v>
      </c>
      <c r="E71" s="82">
        <v>7.8178999999999998</v>
      </c>
      <c r="F71" s="82"/>
      <c r="G71" s="28"/>
    </row>
    <row r="72" spans="1:7" ht="18.75" customHeight="1" x14ac:dyDescent="0.25">
      <c r="A72" s="87">
        <v>470</v>
      </c>
      <c r="B72" s="81">
        <v>0.48692999999999997</v>
      </c>
      <c r="C72" s="83">
        <v>3077</v>
      </c>
      <c r="D72" s="83">
        <v>3417.9</v>
      </c>
      <c r="E72" s="82">
        <v>7.8468999999999998</v>
      </c>
      <c r="F72" s="82"/>
      <c r="G72" s="28"/>
    </row>
    <row r="73" spans="1:7" ht="18.75" customHeight="1" x14ac:dyDescent="0.25">
      <c r="A73" s="87">
        <v>480</v>
      </c>
      <c r="B73" s="81">
        <v>0.49364000000000002</v>
      </c>
      <c r="C73" s="83">
        <v>3093.8</v>
      </c>
      <c r="D73" s="83">
        <v>3439.3</v>
      </c>
      <c r="E73" s="82">
        <v>7.8754999999999997</v>
      </c>
      <c r="F73" s="82"/>
      <c r="G73" s="28"/>
    </row>
    <row r="74" spans="1:7" ht="18.75" customHeight="1" x14ac:dyDescent="0.25">
      <c r="A74" s="87">
        <v>490</v>
      </c>
      <c r="B74" s="81">
        <v>0.50034000000000001</v>
      </c>
      <c r="C74" s="83">
        <v>3110.6</v>
      </c>
      <c r="D74" s="83">
        <v>3460.8</v>
      </c>
      <c r="E74" s="82">
        <v>7.9038000000000004</v>
      </c>
      <c r="F74" s="82"/>
      <c r="G74" s="28"/>
    </row>
    <row r="75" spans="1:7" ht="18.75" customHeight="1" x14ac:dyDescent="0.25">
      <c r="A75" s="87">
        <v>500</v>
      </c>
      <c r="B75" s="81">
        <v>0.50704000000000005</v>
      </c>
      <c r="C75" s="83">
        <v>3127.4</v>
      </c>
      <c r="D75" s="83">
        <v>3482.3</v>
      </c>
      <c r="E75" s="82">
        <v>7.9318999999999997</v>
      </c>
      <c r="F75" s="82"/>
      <c r="G75" s="28"/>
    </row>
    <row r="76" spans="1:7" ht="18.75" customHeight="1" x14ac:dyDescent="0.25">
      <c r="A76" s="87">
        <v>520</v>
      </c>
      <c r="B76" s="81">
        <v>0.52042999999999995</v>
      </c>
      <c r="C76" s="83">
        <v>3161.3</v>
      </c>
      <c r="D76" s="83">
        <v>3525.6</v>
      </c>
      <c r="E76" s="82">
        <v>7.9870999999999999</v>
      </c>
      <c r="F76" s="82"/>
      <c r="G76" s="28"/>
    </row>
    <row r="77" spans="1:7" ht="18.75" customHeight="1" x14ac:dyDescent="0.25">
      <c r="A77" s="87">
        <v>540</v>
      </c>
      <c r="B77" s="81">
        <v>0.53378999999999999</v>
      </c>
      <c r="C77" s="83">
        <v>3195.3</v>
      </c>
      <c r="D77" s="83">
        <v>3569</v>
      </c>
      <c r="E77" s="82">
        <v>8.0411999999999999</v>
      </c>
      <c r="F77" s="82"/>
      <c r="G77" s="28"/>
    </row>
    <row r="78" spans="1:7" ht="18.75" customHeight="1" x14ac:dyDescent="0.25">
      <c r="A78" s="87">
        <v>560</v>
      </c>
      <c r="B78" s="81">
        <v>0.54715000000000003</v>
      </c>
      <c r="C78" s="83">
        <v>3229.8</v>
      </c>
      <c r="D78" s="83">
        <v>3612.8</v>
      </c>
      <c r="E78" s="82">
        <v>8.0943000000000005</v>
      </c>
      <c r="F78" s="82"/>
      <c r="G78" s="28"/>
    </row>
    <row r="79" spans="1:7" ht="18.75" customHeight="1" x14ac:dyDescent="0.25">
      <c r="A79" s="87">
        <v>580</v>
      </c>
      <c r="B79" s="81">
        <v>0.56049000000000004</v>
      </c>
      <c r="C79" s="83">
        <v>3264.4</v>
      </c>
      <c r="D79" s="83">
        <v>3656.7</v>
      </c>
      <c r="E79" s="82">
        <v>8.1464999999999996</v>
      </c>
      <c r="F79" s="82"/>
      <c r="G79" s="28"/>
    </row>
    <row r="80" spans="1:7" ht="18.75" customHeight="1" x14ac:dyDescent="0.25">
      <c r="A80" s="87">
        <v>600</v>
      </c>
      <c r="B80" s="81">
        <v>0.57381000000000004</v>
      </c>
      <c r="C80" s="83">
        <v>3299.2</v>
      </c>
      <c r="D80" s="83">
        <v>3700.9</v>
      </c>
      <c r="E80" s="82">
        <v>8.1976999999999993</v>
      </c>
      <c r="F80" s="82"/>
      <c r="G80" s="28"/>
    </row>
    <row r="81" spans="1:7" ht="18.75" customHeight="1" x14ac:dyDescent="0.25">
      <c r="A81" s="87">
        <v>620</v>
      </c>
      <c r="B81" s="81">
        <v>0.58713000000000004</v>
      </c>
      <c r="C81" s="83">
        <v>3334.4</v>
      </c>
      <c r="D81" s="83">
        <v>3745.4</v>
      </c>
      <c r="E81" s="82">
        <v>8.2479999999999993</v>
      </c>
      <c r="F81" s="82"/>
      <c r="G81" s="28"/>
    </row>
    <row r="82" spans="1:7" ht="18.75" customHeight="1" x14ac:dyDescent="0.25">
      <c r="A82" s="87">
        <v>640</v>
      </c>
      <c r="B82" s="81">
        <v>0.60043999999999997</v>
      </c>
      <c r="C82" s="83">
        <v>3369.8</v>
      </c>
      <c r="D82" s="83">
        <v>3790.1</v>
      </c>
      <c r="E82" s="82">
        <v>8.2975999999999992</v>
      </c>
      <c r="F82" s="82"/>
      <c r="G82" s="28"/>
    </row>
    <row r="83" spans="1:7" ht="18.75" customHeight="1" x14ac:dyDescent="0.25">
      <c r="A83" s="87">
        <v>660</v>
      </c>
      <c r="B83" s="81">
        <v>0.61373999999999995</v>
      </c>
      <c r="C83" s="83">
        <v>3405.5</v>
      </c>
      <c r="D83" s="83">
        <v>3835.1</v>
      </c>
      <c r="E83" s="82">
        <v>8.3462999999999994</v>
      </c>
      <c r="F83" s="82"/>
      <c r="G83" s="28"/>
    </row>
    <row r="84" spans="1:7" ht="18.75" customHeight="1" x14ac:dyDescent="0.25">
      <c r="A84" s="87">
        <v>680</v>
      </c>
      <c r="B84" s="81">
        <v>0.62702999999999998</v>
      </c>
      <c r="C84" s="83">
        <v>3441.4</v>
      </c>
      <c r="D84" s="83">
        <v>3880.3</v>
      </c>
      <c r="E84" s="82">
        <v>8.3942999999999994</v>
      </c>
      <c r="F84" s="82"/>
      <c r="G84" s="28"/>
    </row>
    <row r="85" spans="1:7" ht="18.75" customHeight="1" x14ac:dyDescent="0.25">
      <c r="A85" s="87">
        <v>700</v>
      </c>
      <c r="B85" s="81">
        <v>0.64031000000000005</v>
      </c>
      <c r="C85" s="83">
        <v>3477.6</v>
      </c>
      <c r="D85" s="83">
        <v>3925.8</v>
      </c>
      <c r="E85" s="82">
        <v>8.4414999999999996</v>
      </c>
      <c r="F85" s="82"/>
      <c r="G85" s="28"/>
    </row>
    <row r="86" spans="1:7" ht="18.75" customHeight="1" x14ac:dyDescent="0.25">
      <c r="A86" s="87">
        <v>720</v>
      </c>
      <c r="B86" s="81">
        <v>0.65359</v>
      </c>
      <c r="C86" s="83">
        <v>3514.1</v>
      </c>
      <c r="D86" s="83">
        <v>3971.6</v>
      </c>
      <c r="E86" s="82">
        <v>8.4880999999999993</v>
      </c>
      <c r="F86" s="82"/>
      <c r="G86" s="28"/>
    </row>
    <row r="87" spans="1:7" ht="18.75" customHeight="1" x14ac:dyDescent="0.25">
      <c r="A87" s="87">
        <v>740</v>
      </c>
      <c r="B87" s="81">
        <v>0.66686000000000001</v>
      </c>
      <c r="C87" s="83">
        <v>3550.9</v>
      </c>
      <c r="D87" s="83">
        <v>4017.7</v>
      </c>
      <c r="E87" s="82">
        <v>8.5340000000000007</v>
      </c>
      <c r="F87" s="82"/>
      <c r="G87" s="28"/>
    </row>
    <row r="88" spans="1:7" ht="18.75" customHeight="1" x14ac:dyDescent="0.25">
      <c r="A88" s="87">
        <v>760</v>
      </c>
      <c r="B88" s="81">
        <v>0.68013000000000001</v>
      </c>
      <c r="C88" s="83">
        <v>3587.9</v>
      </c>
      <c r="D88" s="83">
        <v>4064</v>
      </c>
      <c r="E88" s="82">
        <v>8.5792999999999999</v>
      </c>
      <c r="F88" s="82"/>
      <c r="G88" s="28"/>
    </row>
    <row r="89" spans="1:7" ht="18.75" customHeight="1" x14ac:dyDescent="0.25">
      <c r="A89" s="87">
        <v>780</v>
      </c>
      <c r="B89" s="81">
        <v>0.69338999999999995</v>
      </c>
      <c r="C89" s="83">
        <v>3625.2</v>
      </c>
      <c r="D89" s="83">
        <v>4110.6000000000004</v>
      </c>
      <c r="E89" s="82">
        <v>8.6239000000000008</v>
      </c>
      <c r="F89" s="82"/>
      <c r="G89" s="28"/>
    </row>
    <row r="90" spans="1:7" ht="18.75" customHeight="1" x14ac:dyDescent="0.25">
      <c r="A90" s="87">
        <v>800</v>
      </c>
      <c r="B90" s="81">
        <v>0.70664000000000005</v>
      </c>
      <c r="C90" s="83">
        <v>3662.9</v>
      </c>
      <c r="D90" s="83">
        <v>4157.5</v>
      </c>
      <c r="E90" s="82">
        <v>8.6679999999999993</v>
      </c>
      <c r="F90" s="82"/>
      <c r="G90" s="28"/>
    </row>
    <row r="91" spans="1:7" ht="18.75" customHeight="1" x14ac:dyDescent="0.25">
      <c r="A91" s="87">
        <v>820</v>
      </c>
      <c r="B91" s="81">
        <v>0.71989999999999998</v>
      </c>
      <c r="C91" s="83">
        <v>3700.7</v>
      </c>
      <c r="D91" s="83">
        <v>4204.6000000000004</v>
      </c>
      <c r="E91" s="82">
        <v>8.7114999999999991</v>
      </c>
      <c r="F91" s="82"/>
      <c r="G91" s="28"/>
    </row>
    <row r="92" spans="1:7" ht="18.75" customHeight="1" x14ac:dyDescent="0.25">
      <c r="A92" s="87">
        <v>840</v>
      </c>
      <c r="B92" s="81">
        <v>0.73314999999999997</v>
      </c>
      <c r="C92" s="83">
        <v>3738.8</v>
      </c>
      <c r="D92" s="83">
        <v>4252</v>
      </c>
      <c r="E92" s="82">
        <v>8.7545000000000002</v>
      </c>
      <c r="F92" s="82"/>
      <c r="G92" s="28"/>
    </row>
    <row r="93" spans="1:7" ht="18.75" customHeight="1" x14ac:dyDescent="0.25">
      <c r="A93" s="87">
        <v>860</v>
      </c>
      <c r="B93" s="81">
        <v>0.74639</v>
      </c>
      <c r="C93" s="83">
        <v>3777.2</v>
      </c>
      <c r="D93" s="83">
        <v>4299.7</v>
      </c>
      <c r="E93" s="82">
        <v>8.7970000000000006</v>
      </c>
      <c r="F93" s="82"/>
      <c r="G93" s="28"/>
    </row>
    <row r="94" spans="1:7" ht="18.75" customHeight="1" x14ac:dyDescent="0.25">
      <c r="A94" s="87">
        <v>880</v>
      </c>
      <c r="B94" s="81">
        <v>0.75963000000000003</v>
      </c>
      <c r="C94" s="83">
        <v>3815.9</v>
      </c>
      <c r="D94" s="83">
        <v>4347.6000000000004</v>
      </c>
      <c r="E94" s="82">
        <v>8.8389000000000006</v>
      </c>
      <c r="F94" s="82"/>
      <c r="G94" s="28"/>
    </row>
    <row r="95" spans="1:7" ht="18.75" customHeight="1" x14ac:dyDescent="0.25">
      <c r="A95" s="87">
        <v>900</v>
      </c>
      <c r="B95" s="81">
        <v>0.77286999999999995</v>
      </c>
      <c r="C95" s="83">
        <v>3854.8</v>
      </c>
      <c r="D95" s="83">
        <v>4395.8</v>
      </c>
      <c r="E95" s="82">
        <v>8.8803999999999998</v>
      </c>
      <c r="F95" s="82"/>
      <c r="G95" s="28"/>
    </row>
    <row r="96" spans="1:7" ht="18.75" customHeight="1" x14ac:dyDescent="0.25">
      <c r="A96" s="87">
        <v>920</v>
      </c>
      <c r="B96" s="81">
        <v>0.78610999999999998</v>
      </c>
      <c r="C96" s="83">
        <v>3894</v>
      </c>
      <c r="D96" s="83">
        <v>4444.3</v>
      </c>
      <c r="E96" s="82">
        <v>8.9213000000000005</v>
      </c>
      <c r="F96" s="82"/>
      <c r="G96" s="28"/>
    </row>
    <row r="97" spans="1:7" ht="18.75" customHeight="1" x14ac:dyDescent="0.25">
      <c r="A97" s="87">
        <v>940</v>
      </c>
      <c r="B97" s="81">
        <v>0.79934000000000005</v>
      </c>
      <c r="C97" s="83">
        <v>3933.5</v>
      </c>
      <c r="D97" s="83">
        <v>4493</v>
      </c>
      <c r="E97" s="82">
        <v>8.9618000000000002</v>
      </c>
      <c r="F97" s="82"/>
      <c r="G97" s="28"/>
    </row>
    <row r="98" spans="1:7" ht="18.75" customHeight="1" x14ac:dyDescent="0.25">
      <c r="A98" s="87">
        <v>960</v>
      </c>
      <c r="B98" s="81">
        <v>0.81257000000000001</v>
      </c>
      <c r="C98" s="83">
        <v>3973.2</v>
      </c>
      <c r="D98" s="83">
        <v>4542</v>
      </c>
      <c r="E98" s="82">
        <v>9.0018999999999991</v>
      </c>
      <c r="F98" s="82"/>
      <c r="G98" s="28"/>
    </row>
    <row r="99" spans="1:7" ht="18.75" customHeight="1" x14ac:dyDescent="0.25">
      <c r="A99" s="87">
        <v>980</v>
      </c>
      <c r="B99" s="81">
        <v>0.82579999999999998</v>
      </c>
      <c r="C99" s="83">
        <v>4013.2</v>
      </c>
      <c r="D99" s="83">
        <v>4591.3</v>
      </c>
      <c r="E99" s="82">
        <v>9.0414999999999992</v>
      </c>
      <c r="F99" s="82"/>
      <c r="G99" s="28"/>
    </row>
    <row r="100" spans="1:7" ht="13.8" x14ac:dyDescent="0.25">
      <c r="A100" s="87">
        <v>1000</v>
      </c>
      <c r="B100" s="81">
        <v>0.83903000000000005</v>
      </c>
      <c r="C100" s="83">
        <v>4053.5</v>
      </c>
      <c r="D100" s="83">
        <v>4640.8</v>
      </c>
      <c r="E100" s="82">
        <v>9.0807000000000002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H100"/>
  <sheetViews>
    <sheetView topLeftCell="A20" workbookViewId="0">
      <selection activeCell="A39" sqref="A39:XFD39"/>
    </sheetView>
  </sheetViews>
  <sheetFormatPr defaultRowHeight="13.2" x14ac:dyDescent="0.25"/>
  <cols>
    <col min="1" max="1" width="6.21875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63</v>
      </c>
      <c r="B1" s="193"/>
      <c r="C1" s="193"/>
      <c r="D1" s="193"/>
      <c r="E1" s="193"/>
      <c r="F1" s="193"/>
      <c r="G1" s="193"/>
      <c r="H1" s="193"/>
    </row>
    <row r="2" spans="1:8" ht="15.75" customHeight="1" x14ac:dyDescent="0.25">
      <c r="A2" s="89" t="s">
        <v>126</v>
      </c>
      <c r="B2" s="90">
        <v>750</v>
      </c>
      <c r="G2" s="28"/>
      <c r="H2" s="28"/>
    </row>
    <row r="3" spans="1:8" ht="18.75" customHeight="1" x14ac:dyDescent="0.25">
      <c r="A3" s="75" t="s">
        <v>127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9.9982999999999995E-4</v>
      </c>
      <c r="C5" s="80">
        <v>-0.03</v>
      </c>
      <c r="D5" s="80">
        <v>0.72</v>
      </c>
      <c r="E5" s="81">
        <v>-1E-4</v>
      </c>
      <c r="F5" s="81"/>
      <c r="G5" s="28"/>
      <c r="H5" s="28"/>
    </row>
    <row r="6" spans="1:8" ht="18.75" customHeight="1" x14ac:dyDescent="0.25">
      <c r="A6" s="87">
        <v>5</v>
      </c>
      <c r="B6" s="79">
        <v>9.9971000000000001E-4</v>
      </c>
      <c r="C6" s="80">
        <v>21.02</v>
      </c>
      <c r="D6" s="80">
        <v>21.77</v>
      </c>
      <c r="E6" s="81">
        <v>7.6240000000000002E-2</v>
      </c>
      <c r="F6" s="81"/>
      <c r="G6" s="28"/>
      <c r="H6" s="28"/>
    </row>
    <row r="7" spans="1:8" ht="18.75" customHeight="1" x14ac:dyDescent="0.25">
      <c r="A7" s="87">
        <v>10</v>
      </c>
      <c r="B7" s="79">
        <v>9.9999000000000008E-4</v>
      </c>
      <c r="C7" s="80">
        <v>42</v>
      </c>
      <c r="D7" s="80">
        <v>42.75</v>
      </c>
      <c r="E7" s="81">
        <v>0.15101999999999999</v>
      </c>
      <c r="F7" s="81"/>
      <c r="G7" s="28"/>
      <c r="H7" s="28"/>
    </row>
    <row r="8" spans="1:8" ht="18.75" customHeight="1" x14ac:dyDescent="0.25">
      <c r="A8" s="87">
        <v>15</v>
      </c>
      <c r="B8" s="79">
        <v>1.0005999999999999E-3</v>
      </c>
      <c r="C8" s="80">
        <v>62.95</v>
      </c>
      <c r="D8" s="80">
        <v>63.7</v>
      </c>
      <c r="E8" s="81">
        <v>0.22434999999999999</v>
      </c>
      <c r="F8" s="81"/>
      <c r="G8" s="28"/>
      <c r="H8" s="28"/>
    </row>
    <row r="9" spans="1:8" ht="18.75" customHeight="1" x14ac:dyDescent="0.25">
      <c r="A9" s="87">
        <v>20</v>
      </c>
      <c r="B9" s="79">
        <v>1.0015E-3</v>
      </c>
      <c r="C9" s="80">
        <v>83.87</v>
      </c>
      <c r="D9" s="80">
        <v>84.62</v>
      </c>
      <c r="E9" s="81">
        <v>0.29632999999999998</v>
      </c>
      <c r="F9" s="81"/>
      <c r="G9" s="28"/>
      <c r="H9" s="28"/>
    </row>
    <row r="10" spans="1:8" ht="18.75" customHeight="1" x14ac:dyDescent="0.25">
      <c r="A10" s="87">
        <v>25</v>
      </c>
      <c r="B10" s="79">
        <v>1.00267E-3</v>
      </c>
      <c r="C10" s="80">
        <v>104.77</v>
      </c>
      <c r="D10" s="80">
        <v>105.52</v>
      </c>
      <c r="E10" s="81">
        <v>0.36703000000000002</v>
      </c>
      <c r="F10" s="81"/>
      <c r="G10" s="28"/>
      <c r="H10" s="28"/>
    </row>
    <row r="11" spans="1:8" ht="18.75" customHeight="1" x14ac:dyDescent="0.25">
      <c r="A11" s="87">
        <v>30</v>
      </c>
      <c r="B11" s="79">
        <v>1.0040800000000001E-3</v>
      </c>
      <c r="C11" s="80">
        <v>125.66</v>
      </c>
      <c r="D11" s="80">
        <v>126.41</v>
      </c>
      <c r="E11" s="81">
        <v>0.43652999999999997</v>
      </c>
      <c r="F11" s="81"/>
      <c r="G11" s="28"/>
      <c r="H11" s="28"/>
    </row>
    <row r="12" spans="1:8" ht="18.75" customHeight="1" x14ac:dyDescent="0.25">
      <c r="A12" s="87">
        <v>35</v>
      </c>
      <c r="B12" s="79">
        <v>1.0057099999999999E-3</v>
      </c>
      <c r="C12" s="80">
        <v>146.55000000000001</v>
      </c>
      <c r="D12" s="80">
        <v>147.30000000000001</v>
      </c>
      <c r="E12" s="81">
        <v>0.50487000000000004</v>
      </c>
      <c r="F12" s="81"/>
      <c r="G12" s="28"/>
      <c r="H12" s="28"/>
    </row>
    <row r="13" spans="1:8" ht="18.75" customHeight="1" x14ac:dyDescent="0.25">
      <c r="A13" s="87">
        <v>40</v>
      </c>
      <c r="B13" s="79">
        <v>1.00756E-3</v>
      </c>
      <c r="C13" s="80">
        <v>167.43</v>
      </c>
      <c r="D13" s="80">
        <v>168.19</v>
      </c>
      <c r="E13" s="81">
        <v>0.57211000000000001</v>
      </c>
      <c r="F13" s="81"/>
      <c r="G13" s="28"/>
      <c r="H13" s="28"/>
    </row>
    <row r="14" spans="1:8" ht="18.75" customHeight="1" x14ac:dyDescent="0.25">
      <c r="A14" s="87">
        <v>45</v>
      </c>
      <c r="B14" s="79">
        <v>1.0095900000000001E-3</v>
      </c>
      <c r="C14" s="80">
        <v>188.32</v>
      </c>
      <c r="D14" s="80">
        <v>189.08</v>
      </c>
      <c r="E14" s="81">
        <v>0.63829999999999998</v>
      </c>
      <c r="F14" s="81"/>
      <c r="G14" s="28"/>
    </row>
    <row r="15" spans="1:8" ht="18.75" customHeight="1" x14ac:dyDescent="0.25">
      <c r="A15" s="87">
        <v>50</v>
      </c>
      <c r="B15" s="79">
        <v>1.0118200000000001E-3</v>
      </c>
      <c r="C15" s="80">
        <v>209.22</v>
      </c>
      <c r="D15" s="80">
        <v>209.98</v>
      </c>
      <c r="E15" s="81">
        <v>0.70347000000000004</v>
      </c>
      <c r="F15" s="81"/>
      <c r="G15" s="28"/>
    </row>
    <row r="16" spans="1:8" ht="18.75" customHeight="1" x14ac:dyDescent="0.25">
      <c r="A16" s="87">
        <v>55</v>
      </c>
      <c r="B16" s="79">
        <v>1.0142199999999999E-3</v>
      </c>
      <c r="C16" s="80">
        <v>230.12</v>
      </c>
      <c r="D16" s="80">
        <v>230.88</v>
      </c>
      <c r="E16" s="81">
        <v>0.76766000000000001</v>
      </c>
      <c r="F16" s="81"/>
      <c r="G16" s="28"/>
    </row>
    <row r="17" spans="1:7" ht="18.75" customHeight="1" x14ac:dyDescent="0.25">
      <c r="A17" s="87">
        <v>60</v>
      </c>
      <c r="B17" s="79">
        <v>1.0168E-3</v>
      </c>
      <c r="C17" s="80">
        <v>251.03</v>
      </c>
      <c r="D17" s="80">
        <v>251.79</v>
      </c>
      <c r="E17" s="81">
        <v>0.83089999999999997</v>
      </c>
      <c r="F17" s="81"/>
      <c r="G17" s="28"/>
    </row>
    <row r="18" spans="1:7" ht="18.75" customHeight="1" x14ac:dyDescent="0.25">
      <c r="A18" s="87">
        <v>65</v>
      </c>
      <c r="B18" s="79">
        <v>1.01954E-3</v>
      </c>
      <c r="C18" s="80">
        <v>271.95999999999998</v>
      </c>
      <c r="D18" s="80">
        <v>272.72000000000003</v>
      </c>
      <c r="E18" s="81">
        <v>0.89324000000000003</v>
      </c>
      <c r="F18" s="81"/>
      <c r="G18" s="28"/>
    </row>
    <row r="19" spans="1:7" ht="18.75" customHeight="1" x14ac:dyDescent="0.25">
      <c r="A19" s="87">
        <v>70</v>
      </c>
      <c r="B19" s="79">
        <v>1.0224399999999999E-3</v>
      </c>
      <c r="C19" s="80">
        <v>292.88</v>
      </c>
      <c r="D19" s="80">
        <v>293.64999999999998</v>
      </c>
      <c r="E19" s="81">
        <v>0.95469999999999999</v>
      </c>
      <c r="F19" s="81"/>
      <c r="G19" s="28"/>
    </row>
    <row r="20" spans="1:7" ht="18.75" customHeight="1" x14ac:dyDescent="0.25">
      <c r="A20" s="87">
        <v>75</v>
      </c>
      <c r="B20" s="79">
        <v>1.0254999999999999E-3</v>
      </c>
      <c r="C20" s="80">
        <v>313.83</v>
      </c>
      <c r="D20" s="80">
        <v>314.60000000000002</v>
      </c>
      <c r="E20" s="82">
        <v>1.0153000000000001</v>
      </c>
      <c r="F20" s="82"/>
      <c r="G20" s="28"/>
    </row>
    <row r="21" spans="1:7" ht="18.75" customHeight="1" x14ac:dyDescent="0.25">
      <c r="A21" s="87">
        <v>80</v>
      </c>
      <c r="B21" s="79">
        <v>1.0287199999999999E-3</v>
      </c>
      <c r="C21" s="80">
        <v>334.8</v>
      </c>
      <c r="D21" s="80">
        <v>335.57</v>
      </c>
      <c r="E21" s="82">
        <v>1.0750999999999999</v>
      </c>
      <c r="F21" s="82"/>
      <c r="G21" s="28"/>
    </row>
    <row r="22" spans="1:7" ht="18.75" customHeight="1" x14ac:dyDescent="0.25">
      <c r="A22" s="87">
        <v>85</v>
      </c>
      <c r="B22" s="79">
        <v>1.03209E-3</v>
      </c>
      <c r="C22" s="80">
        <v>355.79</v>
      </c>
      <c r="D22" s="80">
        <v>356.56</v>
      </c>
      <c r="E22" s="82">
        <v>1.1341000000000001</v>
      </c>
      <c r="F22" s="82"/>
      <c r="G22" s="28"/>
    </row>
    <row r="23" spans="1:7" ht="18.75" customHeight="1" x14ac:dyDescent="0.25">
      <c r="A23" s="87">
        <v>90</v>
      </c>
      <c r="B23" s="79">
        <v>1.0356199999999999E-3</v>
      </c>
      <c r="C23" s="80">
        <v>376.79</v>
      </c>
      <c r="D23" s="80">
        <v>377.57</v>
      </c>
      <c r="E23" s="82">
        <v>1.1923999999999999</v>
      </c>
      <c r="F23" s="82"/>
      <c r="G23" s="28"/>
    </row>
    <row r="24" spans="1:7" ht="18.75" customHeight="1" x14ac:dyDescent="0.25">
      <c r="A24" s="87">
        <v>95</v>
      </c>
      <c r="B24" s="79">
        <v>1.0392999999999999E-3</v>
      </c>
      <c r="C24" s="80">
        <v>397.82</v>
      </c>
      <c r="D24" s="80">
        <v>398.6</v>
      </c>
      <c r="E24" s="82">
        <v>1.2499</v>
      </c>
      <c r="F24" s="82"/>
      <c r="G24" s="28"/>
    </row>
    <row r="25" spans="1:7" ht="18.75" customHeight="1" x14ac:dyDescent="0.25">
      <c r="A25" s="87">
        <v>100</v>
      </c>
      <c r="B25" s="79">
        <v>1.04313E-3</v>
      </c>
      <c r="C25" s="80">
        <v>418.87</v>
      </c>
      <c r="D25" s="80">
        <v>419.65</v>
      </c>
      <c r="E25" s="82">
        <v>1.3067</v>
      </c>
      <c r="F25" s="82"/>
      <c r="G25" s="28"/>
    </row>
    <row r="26" spans="1:7" ht="18.75" customHeight="1" x14ac:dyDescent="0.25">
      <c r="A26" s="87">
        <v>105</v>
      </c>
      <c r="B26" s="79">
        <v>1.0471199999999999E-3</v>
      </c>
      <c r="C26" s="80">
        <v>439.95</v>
      </c>
      <c r="D26" s="80">
        <v>440.74</v>
      </c>
      <c r="E26" s="82">
        <v>1.3628</v>
      </c>
      <c r="F26" s="82"/>
      <c r="G26" s="28"/>
    </row>
    <row r="27" spans="1:7" ht="18.75" customHeight="1" x14ac:dyDescent="0.25">
      <c r="A27" s="87">
        <v>110</v>
      </c>
      <c r="B27" s="79">
        <v>1.05126E-3</v>
      </c>
      <c r="C27" s="80">
        <v>461.07</v>
      </c>
      <c r="D27" s="80">
        <v>461.86</v>
      </c>
      <c r="E27" s="82">
        <v>1.4182999999999999</v>
      </c>
      <c r="F27" s="82"/>
      <c r="G27" s="28"/>
    </row>
    <row r="28" spans="1:7" ht="18.75" customHeight="1" x14ac:dyDescent="0.25">
      <c r="A28" s="87">
        <v>115</v>
      </c>
      <c r="B28" s="79">
        <v>1.0555600000000001E-3</v>
      </c>
      <c r="C28" s="80">
        <v>482.22</v>
      </c>
      <c r="D28" s="80">
        <v>483.01</v>
      </c>
      <c r="E28" s="82">
        <v>1.4732000000000001</v>
      </c>
      <c r="F28" s="82"/>
      <c r="G28" s="28"/>
    </row>
    <row r="29" spans="1:7" ht="18.75" customHeight="1" x14ac:dyDescent="0.25">
      <c r="A29" s="87">
        <v>120</v>
      </c>
      <c r="B29" s="79">
        <v>1.0600200000000001E-3</v>
      </c>
      <c r="C29" s="80">
        <v>503.4</v>
      </c>
      <c r="D29" s="80">
        <v>504.2</v>
      </c>
      <c r="E29" s="82">
        <v>1.5274000000000001</v>
      </c>
      <c r="F29" s="82"/>
      <c r="G29" s="28"/>
    </row>
    <row r="30" spans="1:7" ht="18.75" customHeight="1" x14ac:dyDescent="0.25">
      <c r="A30" s="87">
        <v>125</v>
      </c>
      <c r="B30" s="79">
        <v>1.0646399999999999E-3</v>
      </c>
      <c r="C30" s="80">
        <v>524.63</v>
      </c>
      <c r="D30" s="80">
        <v>525.42999999999995</v>
      </c>
      <c r="E30" s="82">
        <v>1.5810999999999999</v>
      </c>
      <c r="F30" s="82"/>
      <c r="G30" s="28"/>
    </row>
    <row r="31" spans="1:7" ht="18.75" customHeight="1" x14ac:dyDescent="0.25">
      <c r="A31" s="87">
        <v>130</v>
      </c>
      <c r="B31" s="79">
        <v>1.06942E-3</v>
      </c>
      <c r="C31" s="80">
        <v>545.91</v>
      </c>
      <c r="D31" s="80">
        <v>546.71</v>
      </c>
      <c r="E31" s="82">
        <v>1.6342000000000001</v>
      </c>
      <c r="F31" s="82"/>
      <c r="G31" s="28"/>
    </row>
    <row r="32" spans="1:7" ht="18.75" customHeight="1" x14ac:dyDescent="0.25">
      <c r="A32" s="87">
        <v>135</v>
      </c>
      <c r="B32" s="79">
        <v>1.07438E-3</v>
      </c>
      <c r="C32" s="80">
        <v>567.22</v>
      </c>
      <c r="D32" s="80">
        <v>568.03</v>
      </c>
      <c r="E32" s="82">
        <v>1.6868000000000001</v>
      </c>
      <c r="F32" s="82"/>
      <c r="G32" s="28"/>
    </row>
    <row r="33" spans="1:7" ht="18.75" customHeight="1" x14ac:dyDescent="0.25">
      <c r="A33" s="87">
        <v>140</v>
      </c>
      <c r="B33" s="79">
        <v>1.0795100000000001E-3</v>
      </c>
      <c r="C33" s="80">
        <v>588.6</v>
      </c>
      <c r="D33" s="80">
        <v>589.41</v>
      </c>
      <c r="E33" s="82">
        <v>1.7387999999999999</v>
      </c>
      <c r="F33" s="82"/>
      <c r="G33" s="28"/>
    </row>
    <row r="34" spans="1:7" ht="18.75" customHeight="1" x14ac:dyDescent="0.25">
      <c r="A34" s="87">
        <v>145</v>
      </c>
      <c r="B34" s="79">
        <v>1.08482E-3</v>
      </c>
      <c r="C34" s="80">
        <v>610.04</v>
      </c>
      <c r="D34" s="80">
        <v>610.85</v>
      </c>
      <c r="E34" s="82">
        <v>1.7904</v>
      </c>
      <c r="F34" s="82"/>
      <c r="G34" s="28"/>
    </row>
    <row r="35" spans="1:7" ht="18.75" customHeight="1" x14ac:dyDescent="0.25">
      <c r="A35" s="87">
        <v>150</v>
      </c>
      <c r="B35" s="79">
        <v>1.0903200000000001E-3</v>
      </c>
      <c r="C35" s="80">
        <v>631.53</v>
      </c>
      <c r="D35" s="80">
        <v>632.35</v>
      </c>
      <c r="E35" s="82">
        <v>1.8414999999999999</v>
      </c>
      <c r="F35" s="82"/>
      <c r="G35" s="28"/>
    </row>
    <row r="36" spans="1:7" ht="18.75" customHeight="1" x14ac:dyDescent="0.25">
      <c r="A36" s="87">
        <v>155</v>
      </c>
      <c r="B36" s="79">
        <v>1.0960099999999999E-3</v>
      </c>
      <c r="C36" s="80">
        <v>653.09</v>
      </c>
      <c r="D36" s="80">
        <v>653.91</v>
      </c>
      <c r="E36" s="82">
        <v>1.8922000000000001</v>
      </c>
      <c r="F36" s="82"/>
      <c r="G36" s="28"/>
    </row>
    <row r="37" spans="1:7" ht="18.75" customHeight="1" x14ac:dyDescent="0.25">
      <c r="A37" s="87">
        <v>160</v>
      </c>
      <c r="B37" s="79">
        <v>1.1018899999999999E-3</v>
      </c>
      <c r="C37" s="80">
        <v>674.72</v>
      </c>
      <c r="D37" s="80">
        <v>675.55</v>
      </c>
      <c r="E37" s="82">
        <v>1.9423999999999999</v>
      </c>
      <c r="F37" s="82"/>
      <c r="G37" s="28"/>
    </row>
    <row r="38" spans="1:7" ht="18.75" customHeight="1" x14ac:dyDescent="0.25">
      <c r="A38" s="87">
        <v>165</v>
      </c>
      <c r="B38" s="79">
        <v>1.1079900000000001E-3</v>
      </c>
      <c r="C38" s="80">
        <v>696.43</v>
      </c>
      <c r="D38" s="80">
        <v>697.26</v>
      </c>
      <c r="E38" s="82">
        <v>1.9922</v>
      </c>
      <c r="F38" s="82"/>
      <c r="G38" s="28"/>
    </row>
    <row r="39" spans="1:7" ht="18.75" customHeight="1" x14ac:dyDescent="0.25">
      <c r="A39" s="87">
        <v>170</v>
      </c>
      <c r="B39" s="81">
        <v>0.25724000000000002</v>
      </c>
      <c r="C39" s="83">
        <v>2578.5</v>
      </c>
      <c r="D39" s="83">
        <v>2771.4</v>
      </c>
      <c r="E39" s="82">
        <v>6.6966000000000001</v>
      </c>
      <c r="F39" s="82"/>
      <c r="G39" s="28"/>
    </row>
    <row r="40" spans="1:7" ht="18.75" customHeight="1" x14ac:dyDescent="0.25">
      <c r="A40" s="87">
        <v>175</v>
      </c>
      <c r="B40" s="81">
        <v>0.26101999999999997</v>
      </c>
      <c r="C40" s="83">
        <v>2588</v>
      </c>
      <c r="D40" s="83">
        <v>2783.8</v>
      </c>
      <c r="E40" s="82">
        <v>6.7244999999999999</v>
      </c>
      <c r="F40" s="82"/>
      <c r="G40" s="28"/>
    </row>
    <row r="41" spans="1:7" ht="18.75" customHeight="1" x14ac:dyDescent="0.25">
      <c r="A41" s="87">
        <v>180</v>
      </c>
      <c r="B41" s="81">
        <v>0.26473999999999998</v>
      </c>
      <c r="C41" s="83">
        <v>2597.3000000000002</v>
      </c>
      <c r="D41" s="83">
        <v>2795.9</v>
      </c>
      <c r="E41" s="82">
        <v>6.7514000000000003</v>
      </c>
      <c r="F41" s="82"/>
      <c r="G41" s="28"/>
    </row>
    <row r="42" spans="1:7" ht="18.75" customHeight="1" x14ac:dyDescent="0.25">
      <c r="A42" s="87">
        <v>185</v>
      </c>
      <c r="B42" s="81">
        <v>0.26840000000000003</v>
      </c>
      <c r="C42" s="83">
        <v>2606.5</v>
      </c>
      <c r="D42" s="83">
        <v>2807.8</v>
      </c>
      <c r="E42" s="82">
        <v>6.7774999999999999</v>
      </c>
      <c r="F42" s="82"/>
      <c r="G42" s="28"/>
    </row>
    <row r="43" spans="1:7" ht="18.75" customHeight="1" x14ac:dyDescent="0.25">
      <c r="A43" s="87">
        <v>190</v>
      </c>
      <c r="B43" s="81">
        <v>0.27201999999999998</v>
      </c>
      <c r="C43" s="83">
        <v>2615.5</v>
      </c>
      <c r="D43" s="83">
        <v>2819.5</v>
      </c>
      <c r="E43" s="82">
        <v>6.8029000000000002</v>
      </c>
      <c r="F43" s="82"/>
      <c r="G43" s="28"/>
    </row>
    <row r="44" spans="1:7" ht="18.75" customHeight="1" x14ac:dyDescent="0.25">
      <c r="A44" s="87">
        <v>195</v>
      </c>
      <c r="B44" s="81">
        <v>0.27560000000000001</v>
      </c>
      <c r="C44" s="83">
        <v>2624.4</v>
      </c>
      <c r="D44" s="83">
        <v>2831.1</v>
      </c>
      <c r="E44" s="82">
        <v>6.8277000000000001</v>
      </c>
      <c r="F44" s="82"/>
      <c r="G44" s="28"/>
    </row>
    <row r="45" spans="1:7" ht="18.75" customHeight="1" x14ac:dyDescent="0.25">
      <c r="A45" s="87">
        <v>200</v>
      </c>
      <c r="B45" s="81">
        <v>0.27914</v>
      </c>
      <c r="C45" s="83">
        <v>2633.1</v>
      </c>
      <c r="D45" s="83">
        <v>2842.5</v>
      </c>
      <c r="E45" s="82">
        <v>6.8520000000000003</v>
      </c>
      <c r="F45" s="82"/>
      <c r="G45" s="28"/>
    </row>
    <row r="46" spans="1:7" ht="18.75" customHeight="1" x14ac:dyDescent="0.25">
      <c r="A46" s="87">
        <v>210</v>
      </c>
      <c r="B46" s="81">
        <v>0.28615000000000002</v>
      </c>
      <c r="C46" s="83">
        <v>2650.4</v>
      </c>
      <c r="D46" s="83">
        <v>2865</v>
      </c>
      <c r="E46" s="82">
        <v>6.8990999999999998</v>
      </c>
      <c r="F46" s="82"/>
      <c r="G46" s="28"/>
    </row>
    <row r="47" spans="1:7" ht="18.75" customHeight="1" x14ac:dyDescent="0.25">
      <c r="A47" s="87">
        <v>220</v>
      </c>
      <c r="B47" s="81">
        <v>0.29305999999999999</v>
      </c>
      <c r="C47" s="83">
        <v>2667.4</v>
      </c>
      <c r="D47" s="83">
        <v>2887.2</v>
      </c>
      <c r="E47" s="82">
        <v>6.9444999999999997</v>
      </c>
      <c r="F47" s="82"/>
      <c r="G47" s="28"/>
    </row>
    <row r="48" spans="1:7" ht="18.75" customHeight="1" x14ac:dyDescent="0.25">
      <c r="A48" s="87">
        <v>230</v>
      </c>
      <c r="B48" s="81">
        <v>0.29988999999999999</v>
      </c>
      <c r="C48" s="83">
        <v>2684.2</v>
      </c>
      <c r="D48" s="83">
        <v>2909.1</v>
      </c>
      <c r="E48" s="82">
        <v>6.9884000000000004</v>
      </c>
      <c r="F48" s="82"/>
      <c r="G48" s="28"/>
    </row>
    <row r="49" spans="1:7" ht="18.75" customHeight="1" x14ac:dyDescent="0.25">
      <c r="A49" s="87">
        <v>240</v>
      </c>
      <c r="B49" s="81">
        <v>0.30664999999999998</v>
      </c>
      <c r="C49" s="83">
        <v>2700.7</v>
      </c>
      <c r="D49" s="83">
        <v>2930.7</v>
      </c>
      <c r="E49" s="82">
        <v>7.0311000000000003</v>
      </c>
      <c r="F49" s="82"/>
      <c r="G49" s="28"/>
    </row>
    <row r="50" spans="1:7" ht="18.75" customHeight="1" x14ac:dyDescent="0.25">
      <c r="A50" s="87">
        <v>250</v>
      </c>
      <c r="B50" s="81">
        <v>0.31335000000000002</v>
      </c>
      <c r="C50" s="83">
        <v>2717.2</v>
      </c>
      <c r="D50" s="83">
        <v>2952.2</v>
      </c>
      <c r="E50" s="82">
        <v>7.0724999999999998</v>
      </c>
      <c r="F50" s="82"/>
      <c r="G50" s="28"/>
    </row>
    <row r="51" spans="1:7" ht="18.75" customHeight="1" x14ac:dyDescent="0.25">
      <c r="A51" s="87">
        <v>260</v>
      </c>
      <c r="B51" s="81">
        <v>0.32</v>
      </c>
      <c r="C51" s="83">
        <v>2733.6</v>
      </c>
      <c r="D51" s="83">
        <v>2973.6</v>
      </c>
      <c r="E51" s="82">
        <v>7.1130000000000004</v>
      </c>
      <c r="F51" s="82"/>
      <c r="G51" s="28"/>
    </row>
    <row r="52" spans="1:7" ht="18.75" customHeight="1" x14ac:dyDescent="0.25">
      <c r="A52" s="87">
        <v>270</v>
      </c>
      <c r="B52" s="81">
        <v>0.32661000000000001</v>
      </c>
      <c r="C52" s="83">
        <v>2749.8</v>
      </c>
      <c r="D52" s="83">
        <v>2994.8</v>
      </c>
      <c r="E52" s="82">
        <v>7.1524999999999999</v>
      </c>
      <c r="F52" s="82"/>
      <c r="G52" s="28"/>
    </row>
    <row r="53" spans="1:7" ht="18.75" customHeight="1" x14ac:dyDescent="0.25">
      <c r="A53" s="87">
        <v>280</v>
      </c>
      <c r="B53" s="81">
        <v>0.33317000000000002</v>
      </c>
      <c r="C53" s="83">
        <v>2766.1</v>
      </c>
      <c r="D53" s="83">
        <v>3016</v>
      </c>
      <c r="E53" s="82">
        <v>7.1910999999999996</v>
      </c>
      <c r="F53" s="82"/>
      <c r="G53" s="28"/>
    </row>
    <row r="54" spans="1:7" ht="18.75" customHeight="1" x14ac:dyDescent="0.25">
      <c r="A54" s="87">
        <v>290</v>
      </c>
      <c r="B54" s="81">
        <v>0.33971000000000001</v>
      </c>
      <c r="C54" s="83">
        <v>2782.3</v>
      </c>
      <c r="D54" s="83">
        <v>3037.1</v>
      </c>
      <c r="E54" s="82">
        <v>7.2289000000000003</v>
      </c>
      <c r="F54" s="82"/>
      <c r="G54" s="28"/>
    </row>
    <row r="55" spans="1:7" ht="18.75" customHeight="1" x14ac:dyDescent="0.25">
      <c r="A55" s="87">
        <v>300</v>
      </c>
      <c r="B55" s="81">
        <v>0.34621000000000002</v>
      </c>
      <c r="C55" s="83">
        <v>2798.5</v>
      </c>
      <c r="D55" s="83">
        <v>3058.2</v>
      </c>
      <c r="E55" s="82">
        <v>7.2659000000000002</v>
      </c>
      <c r="F55" s="82"/>
      <c r="G55" s="28"/>
    </row>
    <row r="56" spans="1:7" ht="18.75" customHeight="1" x14ac:dyDescent="0.25">
      <c r="A56" s="87">
        <v>310</v>
      </c>
      <c r="B56" s="81">
        <v>0.35269</v>
      </c>
      <c r="C56" s="83">
        <v>2814.7</v>
      </c>
      <c r="D56" s="83">
        <v>3079.2</v>
      </c>
      <c r="E56" s="82">
        <v>7.3022999999999998</v>
      </c>
      <c r="F56" s="82"/>
      <c r="G56" s="28"/>
    </row>
    <row r="57" spans="1:7" ht="18.75" customHeight="1" x14ac:dyDescent="0.25">
      <c r="A57" s="87">
        <v>320</v>
      </c>
      <c r="B57" s="81">
        <v>0.35915000000000002</v>
      </c>
      <c r="C57" s="83">
        <v>2830.8</v>
      </c>
      <c r="D57" s="83">
        <v>3100.2</v>
      </c>
      <c r="E57" s="82">
        <v>7.3380000000000001</v>
      </c>
      <c r="F57" s="82"/>
      <c r="G57" s="28"/>
    </row>
    <row r="58" spans="1:7" ht="18.75" customHeight="1" x14ac:dyDescent="0.25">
      <c r="A58" s="87">
        <v>330</v>
      </c>
      <c r="B58" s="81">
        <v>0.36558000000000002</v>
      </c>
      <c r="C58" s="83">
        <v>2847</v>
      </c>
      <c r="D58" s="83">
        <v>3121.2</v>
      </c>
      <c r="E58" s="82">
        <v>7.3731</v>
      </c>
      <c r="F58" s="82"/>
      <c r="G58" s="28"/>
    </row>
    <row r="59" spans="1:7" ht="18.75" customHeight="1" x14ac:dyDescent="0.25">
      <c r="A59" s="87">
        <v>340</v>
      </c>
      <c r="B59" s="81">
        <v>0.372</v>
      </c>
      <c r="C59" s="83">
        <v>2863.2</v>
      </c>
      <c r="D59" s="83">
        <v>3142.2</v>
      </c>
      <c r="E59" s="82">
        <v>7.4076000000000004</v>
      </c>
      <c r="F59" s="82"/>
      <c r="G59" s="28"/>
    </row>
    <row r="60" spans="1:7" ht="18.75" customHeight="1" x14ac:dyDescent="0.25">
      <c r="A60" s="87">
        <v>350</v>
      </c>
      <c r="B60" s="81">
        <v>0.37839</v>
      </c>
      <c r="C60" s="83">
        <v>2879.4</v>
      </c>
      <c r="D60" s="83">
        <v>3163.2</v>
      </c>
      <c r="E60" s="82">
        <v>7.4416000000000002</v>
      </c>
      <c r="F60" s="82"/>
      <c r="G60" s="28"/>
    </row>
    <row r="61" spans="1:7" ht="18.75" customHeight="1" x14ac:dyDescent="0.25">
      <c r="A61" s="87">
        <v>360</v>
      </c>
      <c r="B61" s="81">
        <v>0.38478000000000001</v>
      </c>
      <c r="C61" s="83">
        <v>2895.6</v>
      </c>
      <c r="D61" s="83">
        <v>3184.2</v>
      </c>
      <c r="E61" s="82">
        <v>7.4749999999999996</v>
      </c>
      <c r="F61" s="82"/>
      <c r="G61" s="28"/>
    </row>
    <row r="62" spans="1:7" ht="18.75" customHeight="1" x14ac:dyDescent="0.25">
      <c r="A62" s="87">
        <v>370</v>
      </c>
      <c r="B62" s="81">
        <v>0.39115</v>
      </c>
      <c r="C62" s="83">
        <v>2911.8</v>
      </c>
      <c r="D62" s="83">
        <v>3205.2</v>
      </c>
      <c r="E62" s="82">
        <v>7.508</v>
      </c>
      <c r="F62" s="82"/>
      <c r="G62" s="28"/>
    </row>
    <row r="63" spans="1:7" ht="18.75" customHeight="1" x14ac:dyDescent="0.25">
      <c r="A63" s="87">
        <v>380</v>
      </c>
      <c r="B63" s="81">
        <v>0.39750000000000002</v>
      </c>
      <c r="C63" s="83">
        <v>2928.1</v>
      </c>
      <c r="D63" s="83">
        <v>3226.2</v>
      </c>
      <c r="E63" s="82">
        <v>7.5404999999999998</v>
      </c>
      <c r="F63" s="82"/>
      <c r="G63" s="28"/>
    </row>
    <row r="64" spans="1:7" ht="18.75" customHeight="1" x14ac:dyDescent="0.25">
      <c r="A64" s="87">
        <v>390</v>
      </c>
      <c r="B64" s="81">
        <v>0.40383999999999998</v>
      </c>
      <c r="C64" s="83">
        <v>2944.4</v>
      </c>
      <c r="D64" s="83">
        <v>3247.3</v>
      </c>
      <c r="E64" s="82">
        <v>7.5724999999999998</v>
      </c>
      <c r="F64" s="82"/>
      <c r="G64" s="28"/>
    </row>
    <row r="65" spans="1:7" ht="18.75" customHeight="1" x14ac:dyDescent="0.25">
      <c r="A65" s="87">
        <v>400</v>
      </c>
      <c r="B65" s="81">
        <v>0.41017999999999999</v>
      </c>
      <c r="C65" s="83">
        <v>2960.8</v>
      </c>
      <c r="D65" s="83">
        <v>3268.4</v>
      </c>
      <c r="E65" s="82">
        <v>7.6040999999999999</v>
      </c>
      <c r="F65" s="82"/>
      <c r="G65" s="28"/>
    </row>
    <row r="66" spans="1:7" ht="18.75" customHeight="1" x14ac:dyDescent="0.25">
      <c r="A66" s="87">
        <v>410</v>
      </c>
      <c r="B66" s="81">
        <v>0.41649999999999998</v>
      </c>
      <c r="C66" s="83">
        <v>2977.2</v>
      </c>
      <c r="D66" s="83">
        <v>3289.6</v>
      </c>
      <c r="E66" s="82">
        <v>7.6353</v>
      </c>
      <c r="F66" s="82"/>
      <c r="G66" s="28"/>
    </row>
    <row r="67" spans="1:7" ht="18.75" customHeight="1" x14ac:dyDescent="0.25">
      <c r="A67" s="87">
        <v>420</v>
      </c>
      <c r="B67" s="81">
        <v>0.42281000000000002</v>
      </c>
      <c r="C67" s="83">
        <v>2993.6</v>
      </c>
      <c r="D67" s="83">
        <v>3310.7</v>
      </c>
      <c r="E67" s="82">
        <v>7.6660000000000004</v>
      </c>
      <c r="F67" s="82"/>
      <c r="G67" s="28"/>
    </row>
    <row r="68" spans="1:7" ht="18.75" customHeight="1" x14ac:dyDescent="0.25">
      <c r="A68" s="87">
        <v>430</v>
      </c>
      <c r="B68" s="81">
        <v>0.42912</v>
      </c>
      <c r="C68" s="83">
        <v>3010.2</v>
      </c>
      <c r="D68" s="83">
        <v>3332</v>
      </c>
      <c r="E68" s="82">
        <v>7.6963999999999997</v>
      </c>
      <c r="F68" s="82"/>
      <c r="G68" s="28"/>
    </row>
    <row r="69" spans="1:7" ht="18.75" customHeight="1" x14ac:dyDescent="0.25">
      <c r="A69" s="87">
        <v>440</v>
      </c>
      <c r="B69" s="81">
        <v>0.43541000000000002</v>
      </c>
      <c r="C69" s="83">
        <v>3026.6</v>
      </c>
      <c r="D69" s="83">
        <v>3353.2</v>
      </c>
      <c r="E69" s="82">
        <v>7.7263999999999999</v>
      </c>
      <c r="F69" s="82"/>
      <c r="G69" s="28"/>
    </row>
    <row r="70" spans="1:7" ht="18.75" customHeight="1" x14ac:dyDescent="0.25">
      <c r="A70" s="87">
        <v>450</v>
      </c>
      <c r="B70" s="81">
        <v>0.44169999999999998</v>
      </c>
      <c r="C70" s="83">
        <v>3043.2</v>
      </c>
      <c r="D70" s="83">
        <v>3374.5</v>
      </c>
      <c r="E70" s="82">
        <v>7.7561</v>
      </c>
      <c r="F70" s="82"/>
      <c r="G70" s="28"/>
    </row>
    <row r="71" spans="1:7" ht="18.75" customHeight="1" x14ac:dyDescent="0.25">
      <c r="A71" s="87">
        <v>460</v>
      </c>
      <c r="B71" s="81">
        <v>0.44799</v>
      </c>
      <c r="C71" s="83">
        <v>3059.9</v>
      </c>
      <c r="D71" s="83">
        <v>3395.9</v>
      </c>
      <c r="E71" s="82">
        <v>7.7854000000000001</v>
      </c>
      <c r="F71" s="82"/>
      <c r="G71" s="28"/>
    </row>
    <row r="72" spans="1:7" ht="18.75" customHeight="1" x14ac:dyDescent="0.25">
      <c r="A72" s="87">
        <v>470</v>
      </c>
      <c r="B72" s="81">
        <v>0.45426</v>
      </c>
      <c r="C72" s="83">
        <v>3076.6</v>
      </c>
      <c r="D72" s="83">
        <v>3417.3</v>
      </c>
      <c r="E72" s="82">
        <v>7.8144</v>
      </c>
      <c r="F72" s="82"/>
      <c r="G72" s="28"/>
    </row>
    <row r="73" spans="1:7" ht="18.75" customHeight="1" x14ac:dyDescent="0.25">
      <c r="A73" s="87">
        <v>480</v>
      </c>
      <c r="B73" s="81">
        <v>0.46052999999999999</v>
      </c>
      <c r="C73" s="83">
        <v>3093.3</v>
      </c>
      <c r="D73" s="83">
        <v>3438.7</v>
      </c>
      <c r="E73" s="82">
        <v>7.8430999999999997</v>
      </c>
      <c r="F73" s="82"/>
      <c r="G73" s="28"/>
    </row>
    <row r="74" spans="1:7" ht="18.75" customHeight="1" x14ac:dyDescent="0.25">
      <c r="A74" s="87">
        <v>490</v>
      </c>
      <c r="B74" s="81">
        <v>0.46679999999999999</v>
      </c>
      <c r="C74" s="83">
        <v>3110.1</v>
      </c>
      <c r="D74" s="83">
        <v>3460.2</v>
      </c>
      <c r="E74" s="82">
        <v>7.8715000000000002</v>
      </c>
      <c r="F74" s="82"/>
      <c r="G74" s="28"/>
    </row>
    <row r="75" spans="1:7" ht="18.75" customHeight="1" x14ac:dyDescent="0.25">
      <c r="A75" s="87">
        <v>500</v>
      </c>
      <c r="B75" s="81">
        <v>0.47305999999999998</v>
      </c>
      <c r="C75" s="83">
        <v>3127</v>
      </c>
      <c r="D75" s="83">
        <v>3481.8</v>
      </c>
      <c r="E75" s="82">
        <v>7.8994999999999997</v>
      </c>
      <c r="F75" s="82"/>
      <c r="G75" s="28"/>
    </row>
    <row r="76" spans="1:7" ht="18.75" customHeight="1" x14ac:dyDescent="0.25">
      <c r="A76" s="87">
        <v>520</v>
      </c>
      <c r="B76" s="81">
        <v>0.48555999999999999</v>
      </c>
      <c r="C76" s="83">
        <v>3160.9</v>
      </c>
      <c r="D76" s="83">
        <v>3525.1</v>
      </c>
      <c r="E76" s="82">
        <v>7.9547999999999996</v>
      </c>
      <c r="F76" s="82"/>
      <c r="G76" s="28"/>
    </row>
    <row r="77" spans="1:7" ht="18.75" customHeight="1" x14ac:dyDescent="0.25">
      <c r="A77" s="87">
        <v>540</v>
      </c>
      <c r="B77" s="81">
        <v>0.49804999999999999</v>
      </c>
      <c r="C77" s="83">
        <v>3195.1</v>
      </c>
      <c r="D77" s="83">
        <v>3568.6</v>
      </c>
      <c r="E77" s="82">
        <v>8.0090000000000003</v>
      </c>
      <c r="F77" s="82"/>
      <c r="G77" s="28"/>
    </row>
    <row r="78" spans="1:7" ht="18.75" customHeight="1" x14ac:dyDescent="0.25">
      <c r="A78" s="87">
        <v>560</v>
      </c>
      <c r="B78" s="81">
        <v>0.51053000000000004</v>
      </c>
      <c r="C78" s="83">
        <v>3229.4</v>
      </c>
      <c r="D78" s="83">
        <v>3612.3</v>
      </c>
      <c r="E78" s="82">
        <v>8.0620999999999992</v>
      </c>
      <c r="F78" s="82"/>
      <c r="G78" s="28"/>
    </row>
    <row r="79" spans="1:7" ht="18.75" customHeight="1" x14ac:dyDescent="0.25">
      <c r="A79" s="87">
        <v>580</v>
      </c>
      <c r="B79" s="81">
        <v>0.52298999999999995</v>
      </c>
      <c r="C79" s="83">
        <v>3264.1</v>
      </c>
      <c r="D79" s="83">
        <v>3656.3</v>
      </c>
      <c r="E79" s="82">
        <v>8.1143000000000001</v>
      </c>
      <c r="F79" s="82"/>
      <c r="G79" s="28"/>
    </row>
    <row r="80" spans="1:7" ht="18.75" customHeight="1" x14ac:dyDescent="0.25">
      <c r="A80" s="87">
        <v>600</v>
      </c>
      <c r="B80" s="81">
        <v>0.53542999999999996</v>
      </c>
      <c r="C80" s="83">
        <v>3298.9</v>
      </c>
      <c r="D80" s="83">
        <v>3700.5</v>
      </c>
      <c r="E80" s="82">
        <v>8.1654999999999998</v>
      </c>
      <c r="F80" s="82"/>
      <c r="G80" s="28"/>
    </row>
    <row r="81" spans="1:7" ht="18.75" customHeight="1" x14ac:dyDescent="0.25">
      <c r="A81" s="87">
        <v>620</v>
      </c>
      <c r="B81" s="81">
        <v>0.54786999999999997</v>
      </c>
      <c r="C81" s="83">
        <v>3334.1</v>
      </c>
      <c r="D81" s="83">
        <v>3745</v>
      </c>
      <c r="E81" s="82">
        <v>8.2158999999999995</v>
      </c>
      <c r="F81" s="82"/>
      <c r="G81" s="28"/>
    </row>
    <row r="82" spans="1:7" ht="18.75" customHeight="1" x14ac:dyDescent="0.25">
      <c r="A82" s="87">
        <v>640</v>
      </c>
      <c r="B82" s="81">
        <v>0.56030000000000002</v>
      </c>
      <c r="C82" s="83">
        <v>3369.6</v>
      </c>
      <c r="D82" s="83">
        <v>3789.8</v>
      </c>
      <c r="E82" s="82">
        <v>8.2653999999999996</v>
      </c>
      <c r="F82" s="82"/>
      <c r="G82" s="28"/>
    </row>
    <row r="83" spans="1:7" ht="18.75" customHeight="1" x14ac:dyDescent="0.25">
      <c r="A83" s="87">
        <v>660</v>
      </c>
      <c r="B83" s="81">
        <v>0.57272000000000001</v>
      </c>
      <c r="C83" s="83">
        <v>3405.3</v>
      </c>
      <c r="D83" s="83">
        <v>3834.8</v>
      </c>
      <c r="E83" s="82">
        <v>8.3141999999999996</v>
      </c>
      <c r="F83" s="82"/>
      <c r="G83" s="28"/>
    </row>
    <row r="84" spans="1:7" ht="18.75" customHeight="1" x14ac:dyDescent="0.25">
      <c r="A84" s="87">
        <v>680</v>
      </c>
      <c r="B84" s="81">
        <v>0.58513000000000004</v>
      </c>
      <c r="C84" s="83">
        <v>3441.2</v>
      </c>
      <c r="D84" s="83">
        <v>3880</v>
      </c>
      <c r="E84" s="82">
        <v>8.3621999999999996</v>
      </c>
      <c r="F84" s="82"/>
      <c r="G84" s="28"/>
    </row>
    <row r="85" spans="1:7" ht="18.75" customHeight="1" x14ac:dyDescent="0.25">
      <c r="A85" s="87">
        <v>700</v>
      </c>
      <c r="B85" s="81">
        <v>0.59753999999999996</v>
      </c>
      <c r="C85" s="83">
        <v>3477.3</v>
      </c>
      <c r="D85" s="83">
        <v>3925.5</v>
      </c>
      <c r="E85" s="82">
        <v>8.4093999999999998</v>
      </c>
      <c r="F85" s="82"/>
      <c r="G85" s="28"/>
    </row>
    <row r="86" spans="1:7" ht="18.75" customHeight="1" x14ac:dyDescent="0.25">
      <c r="A86" s="87">
        <v>720</v>
      </c>
      <c r="B86" s="81">
        <v>0.60994000000000004</v>
      </c>
      <c r="C86" s="83">
        <v>3513.8</v>
      </c>
      <c r="D86" s="83">
        <v>3971.3</v>
      </c>
      <c r="E86" s="82">
        <v>8.4559999999999995</v>
      </c>
      <c r="F86" s="82"/>
      <c r="G86" s="28"/>
    </row>
    <row r="87" spans="1:7" ht="18.75" customHeight="1" x14ac:dyDescent="0.25">
      <c r="A87" s="87">
        <v>740</v>
      </c>
      <c r="B87" s="81">
        <v>0.62233000000000005</v>
      </c>
      <c r="C87" s="83">
        <v>3550.7</v>
      </c>
      <c r="D87" s="83">
        <v>4017.4</v>
      </c>
      <c r="E87" s="82">
        <v>8.5018999999999991</v>
      </c>
      <c r="F87" s="82"/>
      <c r="G87" s="28"/>
    </row>
    <row r="88" spans="1:7" ht="18.75" customHeight="1" x14ac:dyDescent="0.25">
      <c r="A88" s="87">
        <v>760</v>
      </c>
      <c r="B88" s="81">
        <v>0.63471999999999995</v>
      </c>
      <c r="C88" s="83">
        <v>3587.8</v>
      </c>
      <c r="D88" s="83">
        <v>4063.8</v>
      </c>
      <c r="E88" s="82">
        <v>8.5472000000000001</v>
      </c>
      <c r="F88" s="82"/>
      <c r="G88" s="28"/>
    </row>
    <row r="89" spans="1:7" ht="18.75" customHeight="1" x14ac:dyDescent="0.25">
      <c r="A89" s="87">
        <v>780</v>
      </c>
      <c r="B89" s="81">
        <v>0.64710000000000001</v>
      </c>
      <c r="C89" s="83">
        <v>3625.1</v>
      </c>
      <c r="D89" s="83">
        <v>4110.3999999999996</v>
      </c>
      <c r="E89" s="82">
        <v>8.5919000000000008</v>
      </c>
      <c r="F89" s="82"/>
      <c r="G89" s="28"/>
    </row>
    <row r="90" spans="1:7" ht="18.75" customHeight="1" x14ac:dyDescent="0.25">
      <c r="A90" s="87">
        <v>800</v>
      </c>
      <c r="B90" s="81">
        <v>0.65947999999999996</v>
      </c>
      <c r="C90" s="83">
        <v>3662.6</v>
      </c>
      <c r="D90" s="83">
        <v>4157.2</v>
      </c>
      <c r="E90" s="82">
        <v>8.6359999999999992</v>
      </c>
      <c r="F90" s="82"/>
      <c r="G90" s="28"/>
    </row>
    <row r="91" spans="1:7" ht="18.75" customHeight="1" x14ac:dyDescent="0.25">
      <c r="A91" s="87">
        <v>820</v>
      </c>
      <c r="B91" s="81">
        <v>0.67184999999999995</v>
      </c>
      <c r="C91" s="83">
        <v>3700.5</v>
      </c>
      <c r="D91" s="83">
        <v>4204.3999999999996</v>
      </c>
      <c r="E91" s="82">
        <v>8.6795000000000009</v>
      </c>
      <c r="F91" s="82"/>
      <c r="G91" s="28"/>
    </row>
    <row r="92" spans="1:7" ht="18.75" customHeight="1" x14ac:dyDescent="0.25">
      <c r="A92" s="87">
        <v>840</v>
      </c>
      <c r="B92" s="81">
        <v>0.68422000000000005</v>
      </c>
      <c r="C92" s="83">
        <v>3738.6</v>
      </c>
      <c r="D92" s="83">
        <v>4251.8</v>
      </c>
      <c r="E92" s="82">
        <v>8.7225000000000001</v>
      </c>
      <c r="F92" s="82"/>
      <c r="G92" s="28"/>
    </row>
    <row r="93" spans="1:7" ht="18.75" customHeight="1" x14ac:dyDescent="0.25">
      <c r="A93" s="87">
        <v>860</v>
      </c>
      <c r="B93" s="81">
        <v>0.69659000000000004</v>
      </c>
      <c r="C93" s="83">
        <v>3777.1</v>
      </c>
      <c r="D93" s="83">
        <v>4299.5</v>
      </c>
      <c r="E93" s="82">
        <v>8.7650000000000006</v>
      </c>
      <c r="F93" s="82"/>
      <c r="G93" s="28"/>
    </row>
    <row r="94" spans="1:7" ht="18.75" customHeight="1" x14ac:dyDescent="0.25">
      <c r="A94" s="87">
        <v>880</v>
      </c>
      <c r="B94" s="81">
        <v>0.70894999999999997</v>
      </c>
      <c r="C94" s="83">
        <v>3815.7</v>
      </c>
      <c r="D94" s="83">
        <v>4347.3999999999996</v>
      </c>
      <c r="E94" s="82">
        <v>8.8069000000000006</v>
      </c>
      <c r="F94" s="82"/>
      <c r="G94" s="28"/>
    </row>
    <row r="95" spans="1:7" ht="18.75" customHeight="1" x14ac:dyDescent="0.25">
      <c r="A95" s="87">
        <v>900</v>
      </c>
      <c r="B95" s="81">
        <v>0.72131000000000001</v>
      </c>
      <c r="C95" s="83">
        <v>3854.7</v>
      </c>
      <c r="D95" s="83">
        <v>4395.7</v>
      </c>
      <c r="E95" s="82">
        <v>8.8483999999999998</v>
      </c>
      <c r="F95" s="82"/>
      <c r="G95" s="28"/>
    </row>
    <row r="96" spans="1:7" ht="18.75" customHeight="1" x14ac:dyDescent="0.25">
      <c r="A96" s="87">
        <v>920</v>
      </c>
      <c r="B96" s="81">
        <v>0.73367000000000004</v>
      </c>
      <c r="C96" s="83">
        <v>3893.8</v>
      </c>
      <c r="D96" s="83">
        <v>4444.1000000000004</v>
      </c>
      <c r="E96" s="82">
        <v>8.8894000000000002</v>
      </c>
      <c r="F96" s="82"/>
      <c r="G96" s="28"/>
    </row>
    <row r="97" spans="1:7" ht="18.75" customHeight="1" x14ac:dyDescent="0.25">
      <c r="A97" s="87">
        <v>940</v>
      </c>
      <c r="B97" s="81">
        <v>0.74602000000000002</v>
      </c>
      <c r="C97" s="83">
        <v>3933.4</v>
      </c>
      <c r="D97" s="83">
        <v>4492.8999999999996</v>
      </c>
      <c r="E97" s="82">
        <v>8.9298999999999999</v>
      </c>
      <c r="F97" s="82"/>
      <c r="G97" s="28"/>
    </row>
    <row r="98" spans="1:7" ht="18.75" customHeight="1" x14ac:dyDescent="0.25">
      <c r="A98" s="87">
        <v>960</v>
      </c>
      <c r="B98" s="81">
        <v>0.75836999999999999</v>
      </c>
      <c r="C98" s="83">
        <v>3973.1</v>
      </c>
      <c r="D98" s="83">
        <v>4541.8999999999996</v>
      </c>
      <c r="E98" s="82">
        <v>8.9699000000000009</v>
      </c>
      <c r="F98" s="82"/>
      <c r="G98" s="28"/>
    </row>
    <row r="99" spans="1:7" ht="18.75" customHeight="1" x14ac:dyDescent="0.25">
      <c r="A99" s="87">
        <v>980</v>
      </c>
      <c r="B99" s="81">
        <v>0.77071999999999996</v>
      </c>
      <c r="C99" s="83">
        <v>4013.2</v>
      </c>
      <c r="D99" s="83">
        <v>4591.2</v>
      </c>
      <c r="E99" s="82">
        <v>9.0096000000000007</v>
      </c>
      <c r="F99" s="82"/>
      <c r="G99" s="28"/>
    </row>
    <row r="100" spans="1:7" ht="13.8" x14ac:dyDescent="0.25">
      <c r="A100" s="87">
        <v>1000</v>
      </c>
      <c r="B100" s="81">
        <v>0.78307000000000004</v>
      </c>
      <c r="C100" s="83">
        <v>4053.4</v>
      </c>
      <c r="D100" s="83">
        <v>4640.7</v>
      </c>
      <c r="E100" s="82">
        <v>9.0488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H100"/>
  <sheetViews>
    <sheetView topLeftCell="A23" workbookViewId="0">
      <selection activeCell="A40" sqref="A40:XFD40"/>
    </sheetView>
  </sheetViews>
  <sheetFormatPr defaultRowHeight="13.2" x14ac:dyDescent="0.25"/>
  <cols>
    <col min="1" max="1" width="11.6640625" customWidth="1"/>
    <col min="2" max="2" width="12.2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x14ac:dyDescent="0.25">
      <c r="A1" s="193" t="s">
        <v>64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800</v>
      </c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9.9979999999999991E-4</v>
      </c>
      <c r="C5" s="80">
        <v>-0.03</v>
      </c>
      <c r="D5" s="80">
        <v>0.77</v>
      </c>
      <c r="E5" s="81">
        <v>-1E-4</v>
      </c>
      <c r="F5" s="81"/>
      <c r="G5" s="28"/>
      <c r="H5" s="28"/>
    </row>
    <row r="6" spans="1:8" ht="18.75" customHeight="1" x14ac:dyDescent="0.25">
      <c r="A6" s="7">
        <v>5</v>
      </c>
      <c r="B6" s="79">
        <v>9.9968999999999991E-4</v>
      </c>
      <c r="C6" s="80">
        <v>21.02</v>
      </c>
      <c r="D6" s="80">
        <v>21.82</v>
      </c>
      <c r="E6" s="81">
        <v>7.6240000000000002E-2</v>
      </c>
      <c r="F6" s="81"/>
      <c r="G6" s="28"/>
      <c r="H6" s="28"/>
    </row>
    <row r="7" spans="1:8" ht="18.75" customHeight="1" x14ac:dyDescent="0.25">
      <c r="A7" s="7">
        <v>10</v>
      </c>
      <c r="B7" s="79">
        <v>9.9996000000000004E-4</v>
      </c>
      <c r="C7" s="80">
        <v>42</v>
      </c>
      <c r="D7" s="80">
        <v>42.8</v>
      </c>
      <c r="E7" s="81">
        <v>0.15101000000000001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1.0005700000000001E-3</v>
      </c>
      <c r="C8" s="80">
        <v>62.95</v>
      </c>
      <c r="D8" s="80">
        <v>63.75</v>
      </c>
      <c r="E8" s="81">
        <v>0.22434000000000001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1.0014799999999999E-3</v>
      </c>
      <c r="C9" s="80">
        <v>83.86</v>
      </c>
      <c r="D9" s="80">
        <v>84.66</v>
      </c>
      <c r="E9" s="81">
        <v>0.29631999999999997</v>
      </c>
      <c r="F9" s="81"/>
      <c r="G9" s="28"/>
      <c r="H9" s="28"/>
    </row>
    <row r="10" spans="1:8" ht="18.75" customHeight="1" x14ac:dyDescent="0.25">
      <c r="A10" s="7">
        <v>25</v>
      </c>
      <c r="B10" s="79">
        <v>1.00264E-3</v>
      </c>
      <c r="C10" s="80">
        <v>104.77</v>
      </c>
      <c r="D10" s="80">
        <v>105.57</v>
      </c>
      <c r="E10" s="81">
        <v>0.36702000000000001</v>
      </c>
      <c r="F10" s="81"/>
      <c r="G10" s="28"/>
      <c r="H10" s="28"/>
    </row>
    <row r="11" spans="1:8" ht="18.75" customHeight="1" x14ac:dyDescent="0.25">
      <c r="A11" s="7">
        <v>30</v>
      </c>
      <c r="B11" s="79">
        <v>1.00406E-3</v>
      </c>
      <c r="C11" s="80">
        <v>125.66</v>
      </c>
      <c r="D11" s="80">
        <v>126.46</v>
      </c>
      <c r="E11" s="81">
        <v>0.43651000000000001</v>
      </c>
      <c r="F11" s="81"/>
      <c r="G11" s="28"/>
      <c r="H11" s="28"/>
    </row>
    <row r="12" spans="1:8" ht="18.75" customHeight="1" x14ac:dyDescent="0.25">
      <c r="A12" s="7">
        <v>35</v>
      </c>
      <c r="B12" s="79">
        <v>1.0056900000000001E-3</v>
      </c>
      <c r="C12" s="80">
        <v>146.55000000000001</v>
      </c>
      <c r="D12" s="80">
        <v>147.35</v>
      </c>
      <c r="E12" s="81">
        <v>0.50485000000000002</v>
      </c>
      <c r="F12" s="81"/>
      <c r="G12" s="28"/>
      <c r="H12" s="28"/>
    </row>
    <row r="13" spans="1:8" ht="18.75" customHeight="1" x14ac:dyDescent="0.25">
      <c r="A13" s="7">
        <v>40</v>
      </c>
      <c r="B13" s="79">
        <v>1.00753E-3</v>
      </c>
      <c r="C13" s="80">
        <v>167.43</v>
      </c>
      <c r="D13" s="80">
        <v>168.24</v>
      </c>
      <c r="E13" s="81">
        <v>0.57208999999999999</v>
      </c>
      <c r="F13" s="81"/>
      <c r="G13" s="28"/>
      <c r="H13" s="28"/>
    </row>
    <row r="14" spans="1:8" ht="18.75" customHeight="1" x14ac:dyDescent="0.25">
      <c r="A14" s="7">
        <v>45</v>
      </c>
      <c r="B14" s="79">
        <v>1.00957E-3</v>
      </c>
      <c r="C14" s="80">
        <v>188.32</v>
      </c>
      <c r="D14" s="80">
        <v>189.13</v>
      </c>
      <c r="E14" s="81">
        <v>0.63827999999999996</v>
      </c>
      <c r="F14" s="81"/>
      <c r="G14" s="28"/>
      <c r="H14" s="28"/>
    </row>
    <row r="15" spans="1:8" ht="18.75" customHeight="1" x14ac:dyDescent="0.25">
      <c r="A15" s="7">
        <v>50</v>
      </c>
      <c r="B15" s="79">
        <v>1.0118E-3</v>
      </c>
      <c r="C15" s="80">
        <v>209.21</v>
      </c>
      <c r="D15" s="80">
        <v>210.02</v>
      </c>
      <c r="E15" s="81">
        <v>0.70343999999999995</v>
      </c>
      <c r="F15" s="81"/>
      <c r="G15" s="28"/>
      <c r="H15" s="28"/>
    </row>
    <row r="16" spans="1:8" ht="18.75" customHeight="1" x14ac:dyDescent="0.25">
      <c r="A16" s="7">
        <v>55</v>
      </c>
      <c r="B16" s="79">
        <v>1.0142E-3</v>
      </c>
      <c r="C16" s="80">
        <v>230.11</v>
      </c>
      <c r="D16" s="80">
        <v>230.92</v>
      </c>
      <c r="E16" s="81">
        <v>0.76763000000000003</v>
      </c>
      <c r="F16" s="81"/>
      <c r="G16" s="28"/>
      <c r="H16" s="28"/>
    </row>
    <row r="17" spans="1:8" ht="18.75" customHeight="1" x14ac:dyDescent="0.25">
      <c r="A17" s="7">
        <v>60</v>
      </c>
      <c r="B17" s="79">
        <v>1.0167799999999999E-3</v>
      </c>
      <c r="C17" s="80">
        <v>251.03</v>
      </c>
      <c r="D17" s="80">
        <v>251.84</v>
      </c>
      <c r="E17" s="81">
        <v>0.83087999999999995</v>
      </c>
      <c r="F17" s="81"/>
      <c r="G17" s="28"/>
      <c r="H17" s="28"/>
    </row>
    <row r="18" spans="1:8" ht="18.75" customHeight="1" x14ac:dyDescent="0.25">
      <c r="A18" s="7">
        <v>65</v>
      </c>
      <c r="B18" s="79">
        <v>1.0195200000000001E-3</v>
      </c>
      <c r="C18" s="80">
        <v>271.94</v>
      </c>
      <c r="D18" s="80">
        <v>272.76</v>
      </c>
      <c r="E18" s="81">
        <v>0.89320999999999995</v>
      </c>
      <c r="F18" s="81"/>
      <c r="G18" s="28"/>
      <c r="H18" s="28"/>
    </row>
    <row r="19" spans="1:8" ht="18.75" customHeight="1" x14ac:dyDescent="0.25">
      <c r="A19" s="7">
        <v>70</v>
      </c>
      <c r="B19" s="79">
        <v>1.02242E-3</v>
      </c>
      <c r="C19" s="80">
        <v>292.87</v>
      </c>
      <c r="D19" s="80">
        <v>293.69</v>
      </c>
      <c r="E19" s="81">
        <v>0.95467000000000002</v>
      </c>
      <c r="F19" s="81"/>
      <c r="G19" s="28"/>
      <c r="H19" s="28"/>
    </row>
    <row r="20" spans="1:8" ht="18.75" customHeight="1" x14ac:dyDescent="0.25">
      <c r="A20" s="7">
        <v>75</v>
      </c>
      <c r="B20" s="79">
        <v>1.0254800000000001E-3</v>
      </c>
      <c r="C20" s="80">
        <v>313.82</v>
      </c>
      <c r="D20" s="80">
        <v>314.64</v>
      </c>
      <c r="E20" s="82">
        <v>1.0153000000000001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1.0287E-3</v>
      </c>
      <c r="C21" s="80">
        <v>334.79</v>
      </c>
      <c r="D21" s="80">
        <v>335.61</v>
      </c>
      <c r="E21" s="82">
        <v>1.0750999999999999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1.0320699999999999E-3</v>
      </c>
      <c r="C22" s="80">
        <v>355.77</v>
      </c>
      <c r="D22" s="80">
        <v>356.6</v>
      </c>
      <c r="E22" s="82">
        <v>1.1341000000000001</v>
      </c>
      <c r="F22" s="82"/>
      <c r="G22" s="28"/>
      <c r="H22" s="28"/>
    </row>
    <row r="23" spans="1:8" ht="18.75" customHeight="1" x14ac:dyDescent="0.25">
      <c r="A23" s="7">
        <v>90</v>
      </c>
      <c r="B23" s="79">
        <v>1.0355900000000001E-3</v>
      </c>
      <c r="C23" s="80">
        <v>376.77</v>
      </c>
      <c r="D23" s="80">
        <v>377.6</v>
      </c>
      <c r="E23" s="82">
        <v>1.1922999999999999</v>
      </c>
      <c r="F23" s="82"/>
      <c r="G23" s="28"/>
      <c r="H23" s="28"/>
    </row>
    <row r="24" spans="1:8" ht="18.75" customHeight="1" x14ac:dyDescent="0.25">
      <c r="A24" s="7">
        <v>95</v>
      </c>
      <c r="B24" s="79">
        <v>1.0392699999999999E-3</v>
      </c>
      <c r="C24" s="80">
        <v>397.8</v>
      </c>
      <c r="D24" s="80">
        <v>398.63</v>
      </c>
      <c r="E24" s="82">
        <v>1.2499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1.0430999999999999E-3</v>
      </c>
      <c r="C25" s="80">
        <v>418.86</v>
      </c>
      <c r="D25" s="80">
        <v>419.69</v>
      </c>
      <c r="E25" s="82">
        <v>1.3067</v>
      </c>
      <c r="F25" s="82"/>
      <c r="G25" s="28"/>
      <c r="H25" s="28"/>
    </row>
    <row r="26" spans="1:8" ht="18.75" customHeight="1" x14ac:dyDescent="0.25">
      <c r="A26" s="7">
        <v>105</v>
      </c>
      <c r="B26" s="79">
        <v>1.0470900000000001E-3</v>
      </c>
      <c r="C26" s="80">
        <v>439.94</v>
      </c>
      <c r="D26" s="80">
        <v>440.78</v>
      </c>
      <c r="E26" s="82">
        <v>1.3628</v>
      </c>
      <c r="F26" s="82"/>
      <c r="G26" s="28"/>
      <c r="H26" s="28"/>
    </row>
    <row r="27" spans="1:8" ht="18.75" customHeight="1" x14ac:dyDescent="0.25">
      <c r="A27" s="7">
        <v>110</v>
      </c>
      <c r="B27" s="79">
        <v>1.05123E-3</v>
      </c>
      <c r="C27" s="80">
        <v>461.05</v>
      </c>
      <c r="D27" s="80">
        <v>461.89</v>
      </c>
      <c r="E27" s="82">
        <v>1.4182999999999999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1.0555300000000001E-3</v>
      </c>
      <c r="C28" s="80">
        <v>482.2</v>
      </c>
      <c r="D28" s="80">
        <v>483.04</v>
      </c>
      <c r="E28" s="82">
        <v>1.4731000000000001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1.05999E-3</v>
      </c>
      <c r="C29" s="80">
        <v>503.38</v>
      </c>
      <c r="D29" s="80">
        <v>504.23</v>
      </c>
      <c r="E29" s="82">
        <v>1.5274000000000001</v>
      </c>
      <c r="F29" s="82"/>
      <c r="G29" s="28"/>
      <c r="H29" s="28"/>
    </row>
    <row r="30" spans="1:8" ht="18.75" customHeight="1" x14ac:dyDescent="0.25">
      <c r="A30" s="7">
        <v>125</v>
      </c>
      <c r="B30" s="79">
        <v>1.0646099999999999E-3</v>
      </c>
      <c r="C30" s="80">
        <v>524.62</v>
      </c>
      <c r="D30" s="80">
        <v>525.47</v>
      </c>
      <c r="E30" s="82">
        <v>1.581</v>
      </c>
      <c r="F30" s="82"/>
      <c r="G30" s="28"/>
      <c r="H30" s="28"/>
    </row>
    <row r="31" spans="1:8" ht="18.75" customHeight="1" x14ac:dyDescent="0.25">
      <c r="A31" s="7">
        <v>130</v>
      </c>
      <c r="B31" s="79">
        <v>1.0693899999999999E-3</v>
      </c>
      <c r="C31" s="80">
        <v>545.88</v>
      </c>
      <c r="D31" s="80">
        <v>546.74</v>
      </c>
      <c r="E31" s="82">
        <v>1.6341000000000001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1.07435E-3</v>
      </c>
      <c r="C32" s="80">
        <v>567.21</v>
      </c>
      <c r="D32" s="80">
        <v>568.07000000000005</v>
      </c>
      <c r="E32" s="82">
        <v>1.6867000000000001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1.0794800000000001E-3</v>
      </c>
      <c r="C33" s="80">
        <v>588.59</v>
      </c>
      <c r="D33" s="80">
        <v>589.45000000000005</v>
      </c>
      <c r="E33" s="82">
        <v>1.7387999999999999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1.08479E-3</v>
      </c>
      <c r="C34" s="80">
        <v>610.01</v>
      </c>
      <c r="D34" s="80">
        <v>610.88</v>
      </c>
      <c r="E34" s="82">
        <v>1.7903</v>
      </c>
      <c r="F34" s="82"/>
      <c r="G34" s="28"/>
      <c r="H34" s="28"/>
    </row>
    <row r="35" spans="1:8" ht="18.75" customHeight="1" x14ac:dyDescent="0.25">
      <c r="A35" s="7">
        <v>150</v>
      </c>
      <c r="B35" s="79">
        <v>1.0902799999999999E-3</v>
      </c>
      <c r="C35" s="80">
        <v>631.51</v>
      </c>
      <c r="D35" s="80">
        <v>632.38</v>
      </c>
      <c r="E35" s="82">
        <v>1.8413999999999999</v>
      </c>
      <c r="F35" s="82"/>
      <c r="G35" s="28"/>
      <c r="H35" s="28"/>
    </row>
    <row r="36" spans="1:8" ht="18.75" customHeight="1" x14ac:dyDescent="0.25">
      <c r="A36" s="7">
        <v>155</v>
      </c>
      <c r="B36" s="79">
        <v>1.0959699999999999E-3</v>
      </c>
      <c r="C36" s="80">
        <v>653.05999999999995</v>
      </c>
      <c r="D36" s="80">
        <v>653.94000000000005</v>
      </c>
      <c r="E36" s="82">
        <v>1.8920999999999999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1.1018600000000001E-3</v>
      </c>
      <c r="C37" s="80">
        <v>674.7</v>
      </c>
      <c r="D37" s="80">
        <v>675.58</v>
      </c>
      <c r="E37" s="82">
        <v>1.9422999999999999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1.1079499999999999E-3</v>
      </c>
      <c r="C38" s="80">
        <v>696.4</v>
      </c>
      <c r="D38" s="80">
        <v>697.29</v>
      </c>
      <c r="E38" s="82">
        <v>1.9922</v>
      </c>
      <c r="F38" s="82"/>
      <c r="G38" s="28"/>
      <c r="H38" s="28"/>
    </row>
    <row r="39" spans="1:8" ht="18.75" customHeight="1" x14ac:dyDescent="0.25">
      <c r="A39" s="7">
        <v>170</v>
      </c>
      <c r="B39" s="79">
        <v>1.1142599999999999E-3</v>
      </c>
      <c r="C39" s="80">
        <v>718.2</v>
      </c>
      <c r="D39" s="80">
        <v>719.09</v>
      </c>
      <c r="E39" s="82">
        <v>2.0415999999999999</v>
      </c>
      <c r="F39" s="82"/>
      <c r="G39" s="28"/>
      <c r="H39" s="28"/>
    </row>
    <row r="40" spans="1:8" ht="18.75" customHeight="1" x14ac:dyDescent="0.25">
      <c r="A40" s="7">
        <v>175</v>
      </c>
      <c r="B40" s="81">
        <v>0.24365999999999999</v>
      </c>
      <c r="C40" s="83">
        <v>2585.1</v>
      </c>
      <c r="D40" s="83">
        <v>2780</v>
      </c>
      <c r="E40" s="82">
        <v>6.6879</v>
      </c>
      <c r="F40" s="82"/>
      <c r="G40" s="28"/>
      <c r="H40" s="28"/>
    </row>
    <row r="41" spans="1:8" ht="18.75" customHeight="1" x14ac:dyDescent="0.25">
      <c r="A41" s="7">
        <v>180</v>
      </c>
      <c r="B41" s="81">
        <v>0.2472</v>
      </c>
      <c r="C41" s="83">
        <v>2594.6</v>
      </c>
      <c r="D41" s="83">
        <v>2792.4</v>
      </c>
      <c r="E41" s="82">
        <v>6.7153999999999998</v>
      </c>
      <c r="F41" s="82"/>
      <c r="G41" s="28"/>
      <c r="H41" s="28"/>
    </row>
    <row r="42" spans="1:8" ht="18.75" customHeight="1" x14ac:dyDescent="0.25">
      <c r="A42" s="7">
        <v>185</v>
      </c>
      <c r="B42" s="81">
        <v>0.25068000000000001</v>
      </c>
      <c r="C42" s="83">
        <v>2604.1</v>
      </c>
      <c r="D42" s="83">
        <v>2804.6</v>
      </c>
      <c r="E42" s="82">
        <v>6.742</v>
      </c>
      <c r="F42" s="82"/>
      <c r="G42" s="28"/>
      <c r="H42" s="28"/>
    </row>
    <row r="43" spans="1:8" ht="18.75" customHeight="1" x14ac:dyDescent="0.25">
      <c r="A43" s="7">
        <v>190</v>
      </c>
      <c r="B43" s="81">
        <v>0.25412000000000001</v>
      </c>
      <c r="C43" s="83">
        <v>2613.1999999999998</v>
      </c>
      <c r="D43" s="83">
        <v>2816.5</v>
      </c>
      <c r="E43" s="82">
        <v>6.7679</v>
      </c>
      <c r="F43" s="82"/>
      <c r="G43" s="28"/>
      <c r="H43" s="28"/>
    </row>
    <row r="44" spans="1:8" ht="18.75" customHeight="1" x14ac:dyDescent="0.25">
      <c r="A44" s="7">
        <v>195</v>
      </c>
      <c r="B44" s="81">
        <v>0.25752000000000003</v>
      </c>
      <c r="C44" s="83">
        <v>2622.2</v>
      </c>
      <c r="D44" s="83">
        <v>2828.2</v>
      </c>
      <c r="E44" s="82">
        <v>6.7930000000000001</v>
      </c>
      <c r="F44" s="82"/>
      <c r="G44" s="28"/>
      <c r="H44" s="28"/>
    </row>
    <row r="45" spans="1:8" ht="18.75" customHeight="1" x14ac:dyDescent="0.25">
      <c r="A45" s="7">
        <v>200</v>
      </c>
      <c r="B45" s="81">
        <v>0.26088</v>
      </c>
      <c r="C45" s="83">
        <v>2631</v>
      </c>
      <c r="D45" s="83">
        <v>2839.7</v>
      </c>
      <c r="E45" s="82">
        <v>6.8175999999999997</v>
      </c>
      <c r="F45" s="82"/>
      <c r="G45" s="28"/>
      <c r="H45" s="28"/>
    </row>
    <row r="46" spans="1:8" ht="18.75" customHeight="1" x14ac:dyDescent="0.25">
      <c r="A46" s="7">
        <v>210</v>
      </c>
      <c r="B46" s="81">
        <v>0.26751999999999998</v>
      </c>
      <c r="C46" s="83">
        <v>2648.5</v>
      </c>
      <c r="D46" s="83">
        <v>2862.5</v>
      </c>
      <c r="E46" s="82">
        <v>6.8653000000000004</v>
      </c>
      <c r="F46" s="82"/>
      <c r="G46" s="28"/>
      <c r="H46" s="28"/>
    </row>
    <row r="47" spans="1:8" ht="18.75" customHeight="1" x14ac:dyDescent="0.25">
      <c r="A47" s="7">
        <v>220</v>
      </c>
      <c r="B47" s="81">
        <v>0.27405000000000002</v>
      </c>
      <c r="C47" s="83">
        <v>2665.7</v>
      </c>
      <c r="D47" s="83">
        <v>2884.9</v>
      </c>
      <c r="E47" s="82">
        <v>6.9111000000000002</v>
      </c>
      <c r="F47" s="82"/>
      <c r="G47" s="28"/>
      <c r="H47" s="28"/>
    </row>
    <row r="48" spans="1:8" ht="18.75" customHeight="1" x14ac:dyDescent="0.25">
      <c r="A48" s="7">
        <v>230</v>
      </c>
      <c r="B48" s="81">
        <v>0.28050000000000003</v>
      </c>
      <c r="C48" s="83">
        <v>2682.6</v>
      </c>
      <c r="D48" s="83">
        <v>2907</v>
      </c>
      <c r="E48" s="82">
        <v>6.9554</v>
      </c>
      <c r="F48" s="82"/>
      <c r="G48" s="28"/>
      <c r="H48" s="28"/>
    </row>
    <row r="49" spans="1:8" ht="18.75" customHeight="1" x14ac:dyDescent="0.25">
      <c r="A49" s="7">
        <v>240</v>
      </c>
      <c r="B49" s="81">
        <v>0.28688000000000002</v>
      </c>
      <c r="C49" s="83">
        <v>2699.3</v>
      </c>
      <c r="D49" s="83">
        <v>2928.8</v>
      </c>
      <c r="E49" s="82">
        <v>6.9984000000000002</v>
      </c>
      <c r="F49" s="82"/>
      <c r="G49" s="28"/>
      <c r="H49" s="28"/>
    </row>
    <row r="50" spans="1:8" ht="18.75" customHeight="1" x14ac:dyDescent="0.25">
      <c r="A50" s="7">
        <v>250</v>
      </c>
      <c r="B50" s="81">
        <v>0.29320000000000002</v>
      </c>
      <c r="C50" s="83">
        <v>2715.8</v>
      </c>
      <c r="D50" s="83">
        <v>2950.4</v>
      </c>
      <c r="E50" s="82">
        <v>7.0400999999999998</v>
      </c>
      <c r="F50" s="82"/>
      <c r="G50" s="28"/>
      <c r="H50" s="28"/>
    </row>
    <row r="51" spans="1:8" ht="18.75" customHeight="1" x14ac:dyDescent="0.25">
      <c r="A51" s="7">
        <v>260</v>
      </c>
      <c r="B51" s="81">
        <v>0.29947000000000001</v>
      </c>
      <c r="C51" s="83">
        <v>2732.3</v>
      </c>
      <c r="D51" s="83">
        <v>2971.9</v>
      </c>
      <c r="E51" s="82">
        <v>7.0808</v>
      </c>
      <c r="F51" s="82"/>
      <c r="G51" s="28"/>
      <c r="H51" s="28"/>
    </row>
    <row r="52" spans="1:8" ht="18.75" customHeight="1" x14ac:dyDescent="0.25">
      <c r="A52" s="7">
        <v>270</v>
      </c>
      <c r="B52" s="81">
        <v>0.30570000000000003</v>
      </c>
      <c r="C52" s="83">
        <v>2748.7</v>
      </c>
      <c r="D52" s="83">
        <v>2993.3</v>
      </c>
      <c r="E52" s="82">
        <v>7.1204999999999998</v>
      </c>
      <c r="F52" s="82"/>
      <c r="G52" s="28"/>
      <c r="H52" s="28"/>
    </row>
    <row r="53" spans="1:8" ht="18.75" customHeight="1" x14ac:dyDescent="0.25">
      <c r="A53" s="7">
        <v>280</v>
      </c>
      <c r="B53" s="81">
        <v>0.31189</v>
      </c>
      <c r="C53" s="83">
        <v>2765</v>
      </c>
      <c r="D53" s="83">
        <v>3014.5</v>
      </c>
      <c r="E53" s="82">
        <v>7.1593</v>
      </c>
      <c r="F53" s="82"/>
      <c r="G53" s="28"/>
      <c r="H53" s="28"/>
    </row>
    <row r="54" spans="1:8" ht="18.75" customHeight="1" x14ac:dyDescent="0.25">
      <c r="A54" s="7">
        <v>290</v>
      </c>
      <c r="B54" s="81">
        <v>0.31803999999999999</v>
      </c>
      <c r="C54" s="83">
        <v>2781.3</v>
      </c>
      <c r="D54" s="83">
        <v>3035.7</v>
      </c>
      <c r="E54" s="82">
        <v>7.1973000000000003</v>
      </c>
      <c r="F54" s="82"/>
      <c r="G54" s="28"/>
      <c r="H54" s="28"/>
    </row>
    <row r="55" spans="1:8" ht="18.75" customHeight="1" x14ac:dyDescent="0.25">
      <c r="A55" s="7">
        <v>300</v>
      </c>
      <c r="B55" s="81">
        <v>0.32416</v>
      </c>
      <c r="C55" s="83">
        <v>2797.6</v>
      </c>
      <c r="D55" s="83">
        <v>3056.9</v>
      </c>
      <c r="E55" s="82">
        <v>7.2344999999999997</v>
      </c>
      <c r="F55" s="82"/>
      <c r="G55" s="28"/>
      <c r="H55" s="28"/>
    </row>
    <row r="56" spans="1:8" ht="18.75" customHeight="1" x14ac:dyDescent="0.25">
      <c r="A56" s="7">
        <v>310</v>
      </c>
      <c r="B56" s="81">
        <v>0.33026</v>
      </c>
      <c r="C56" s="83">
        <v>2813.8</v>
      </c>
      <c r="D56" s="83">
        <v>3078</v>
      </c>
      <c r="E56" s="82">
        <v>7.2709999999999999</v>
      </c>
      <c r="F56" s="82"/>
      <c r="G56" s="28"/>
      <c r="H56" s="28"/>
    </row>
    <row r="57" spans="1:8" ht="18.75" customHeight="1" x14ac:dyDescent="0.25">
      <c r="A57" s="7">
        <v>320</v>
      </c>
      <c r="B57" s="81">
        <v>0.33633000000000002</v>
      </c>
      <c r="C57" s="83">
        <v>2829.9</v>
      </c>
      <c r="D57" s="83">
        <v>3099</v>
      </c>
      <c r="E57" s="82">
        <v>7.3068</v>
      </c>
      <c r="F57" s="82"/>
      <c r="G57" s="28"/>
      <c r="H57" s="28"/>
    </row>
    <row r="58" spans="1:8" ht="18.75" customHeight="1" x14ac:dyDescent="0.25">
      <c r="A58" s="7">
        <v>330</v>
      </c>
      <c r="B58" s="81">
        <v>0.34238000000000002</v>
      </c>
      <c r="C58" s="83">
        <v>2846.2</v>
      </c>
      <c r="D58" s="83">
        <v>3120.1</v>
      </c>
      <c r="E58" s="82">
        <v>7.3419999999999996</v>
      </c>
      <c r="F58" s="82"/>
      <c r="G58" s="28"/>
      <c r="H58" s="28"/>
    </row>
    <row r="59" spans="1:8" ht="18.75" customHeight="1" x14ac:dyDescent="0.25">
      <c r="A59" s="7">
        <v>340</v>
      </c>
      <c r="B59" s="81">
        <v>0.34841</v>
      </c>
      <c r="C59" s="83">
        <v>2862.4</v>
      </c>
      <c r="D59" s="83">
        <v>3141.1</v>
      </c>
      <c r="E59" s="82">
        <v>7.3765999999999998</v>
      </c>
      <c r="F59" s="82"/>
      <c r="G59" s="28"/>
      <c r="H59" s="28"/>
    </row>
    <row r="60" spans="1:8" ht="18.75" customHeight="1" x14ac:dyDescent="0.25">
      <c r="A60" s="7">
        <v>350</v>
      </c>
      <c r="B60" s="81">
        <v>0.35442000000000001</v>
      </c>
      <c r="C60" s="83">
        <v>2878.7</v>
      </c>
      <c r="D60" s="83">
        <v>3162.2</v>
      </c>
      <c r="E60" s="82">
        <v>7.4105999999999996</v>
      </c>
      <c r="F60" s="82"/>
      <c r="G60" s="28"/>
      <c r="H60" s="28"/>
    </row>
    <row r="61" spans="1:8" ht="18.75" customHeight="1" x14ac:dyDescent="0.25">
      <c r="A61" s="7">
        <v>360</v>
      </c>
      <c r="B61" s="81">
        <v>0.36042000000000002</v>
      </c>
      <c r="C61" s="83">
        <v>2894.9</v>
      </c>
      <c r="D61" s="83">
        <v>3183.2</v>
      </c>
      <c r="E61" s="82">
        <v>7.4440999999999997</v>
      </c>
      <c r="F61" s="82"/>
      <c r="G61" s="28"/>
      <c r="H61" s="28"/>
    </row>
    <row r="62" spans="1:8" ht="18.75" customHeight="1" x14ac:dyDescent="0.25">
      <c r="A62" s="7">
        <v>370</v>
      </c>
      <c r="B62" s="81">
        <v>0.36641000000000001</v>
      </c>
      <c r="C62" s="83">
        <v>2911.2</v>
      </c>
      <c r="D62" s="83">
        <v>3204.3</v>
      </c>
      <c r="E62" s="82">
        <v>7.4771999999999998</v>
      </c>
      <c r="F62" s="82"/>
      <c r="G62" s="28"/>
      <c r="H62" s="28"/>
    </row>
    <row r="63" spans="1:8" ht="18.75" customHeight="1" x14ac:dyDescent="0.25">
      <c r="A63" s="7">
        <v>380</v>
      </c>
      <c r="B63" s="81">
        <v>0.37237999999999999</v>
      </c>
      <c r="C63" s="83">
        <v>2927.5</v>
      </c>
      <c r="D63" s="83">
        <v>3225.4</v>
      </c>
      <c r="E63" s="82">
        <v>7.5096999999999996</v>
      </c>
      <c r="F63" s="82"/>
      <c r="G63" s="28"/>
      <c r="H63" s="28"/>
    </row>
    <row r="64" spans="1:8" ht="18.75" customHeight="1" x14ac:dyDescent="0.25">
      <c r="A64" s="7">
        <v>390</v>
      </c>
      <c r="B64" s="81">
        <v>0.37834000000000001</v>
      </c>
      <c r="C64" s="83">
        <v>2943.8</v>
      </c>
      <c r="D64" s="83">
        <v>3246.5</v>
      </c>
      <c r="E64" s="82">
        <v>7.5418000000000003</v>
      </c>
      <c r="F64" s="82"/>
      <c r="G64" s="28"/>
      <c r="H64" s="28"/>
    </row>
    <row r="65" spans="1:8" ht="18.75" customHeight="1" x14ac:dyDescent="0.25">
      <c r="A65" s="7">
        <v>400</v>
      </c>
      <c r="B65" s="81">
        <v>0.38428000000000001</v>
      </c>
      <c r="C65" s="83">
        <v>2960.2</v>
      </c>
      <c r="D65" s="83">
        <v>3267.6</v>
      </c>
      <c r="E65" s="82">
        <v>7.5734000000000004</v>
      </c>
      <c r="F65" s="82"/>
      <c r="G65" s="28"/>
      <c r="H65" s="28"/>
    </row>
    <row r="66" spans="1:8" ht="18.75" customHeight="1" x14ac:dyDescent="0.25">
      <c r="A66" s="7">
        <v>410</v>
      </c>
      <c r="B66" s="81">
        <v>0.39022000000000001</v>
      </c>
      <c r="C66" s="83">
        <v>2976.6</v>
      </c>
      <c r="D66" s="83">
        <v>3288.8</v>
      </c>
      <c r="E66" s="82">
        <v>7.6045999999999996</v>
      </c>
      <c r="F66" s="82"/>
      <c r="G66" s="28"/>
      <c r="H66" s="28"/>
    </row>
    <row r="67" spans="1:8" ht="18.75" customHeight="1" x14ac:dyDescent="0.25">
      <c r="A67" s="7">
        <v>420</v>
      </c>
      <c r="B67" s="81">
        <v>0.39615</v>
      </c>
      <c r="C67" s="83">
        <v>2993.1</v>
      </c>
      <c r="D67" s="83">
        <v>3310</v>
      </c>
      <c r="E67" s="82">
        <v>7.6355000000000004</v>
      </c>
      <c r="F67" s="82"/>
      <c r="G67" s="28"/>
      <c r="H67" s="28"/>
    </row>
    <row r="68" spans="1:8" ht="18.75" customHeight="1" x14ac:dyDescent="0.25">
      <c r="A68" s="7">
        <v>430</v>
      </c>
      <c r="B68" s="81">
        <v>0.40206999999999998</v>
      </c>
      <c r="C68" s="83">
        <v>3009.6</v>
      </c>
      <c r="D68" s="83">
        <v>3331.3</v>
      </c>
      <c r="E68" s="82">
        <v>7.6658999999999997</v>
      </c>
      <c r="F68" s="82"/>
      <c r="G68" s="28"/>
      <c r="H68" s="28"/>
    </row>
    <row r="69" spans="1:8" ht="18.75" customHeight="1" x14ac:dyDescent="0.25">
      <c r="A69" s="7">
        <v>440</v>
      </c>
      <c r="B69" s="81">
        <v>0.40798000000000001</v>
      </c>
      <c r="C69" s="83">
        <v>3026.2</v>
      </c>
      <c r="D69" s="83">
        <v>3352.6</v>
      </c>
      <c r="E69" s="82">
        <v>7.6959999999999997</v>
      </c>
      <c r="F69" s="82"/>
      <c r="G69" s="28"/>
      <c r="H69" s="28"/>
    </row>
    <row r="70" spans="1:8" ht="18.75" customHeight="1" x14ac:dyDescent="0.25">
      <c r="A70" s="7">
        <v>450</v>
      </c>
      <c r="B70" s="81">
        <v>0.41388999999999998</v>
      </c>
      <c r="C70" s="83">
        <v>3042.8</v>
      </c>
      <c r="D70" s="83">
        <v>3373.9</v>
      </c>
      <c r="E70" s="82">
        <v>7.7256999999999998</v>
      </c>
      <c r="F70" s="82"/>
      <c r="G70" s="28"/>
      <c r="H70" s="28"/>
    </row>
    <row r="71" spans="1:8" ht="18.75" customHeight="1" x14ac:dyDescent="0.25">
      <c r="A71" s="7">
        <v>460</v>
      </c>
      <c r="B71" s="81">
        <v>0.41979</v>
      </c>
      <c r="C71" s="83">
        <v>3059.5</v>
      </c>
      <c r="D71" s="83">
        <v>3395.3</v>
      </c>
      <c r="E71" s="82">
        <v>7.7549999999999999</v>
      </c>
      <c r="F71" s="82"/>
      <c r="G71" s="28"/>
      <c r="H71" s="28"/>
    </row>
    <row r="72" spans="1:8" ht="18.75" customHeight="1" x14ac:dyDescent="0.25">
      <c r="A72" s="7">
        <v>470</v>
      </c>
      <c r="B72" s="81">
        <v>0.42568</v>
      </c>
      <c r="C72" s="83">
        <v>3076.2</v>
      </c>
      <c r="D72" s="83">
        <v>3416.7</v>
      </c>
      <c r="E72" s="82">
        <v>7.7839999999999998</v>
      </c>
      <c r="F72" s="82"/>
      <c r="G72" s="28"/>
      <c r="H72" s="28"/>
    </row>
    <row r="73" spans="1:8" ht="18.75" customHeight="1" x14ac:dyDescent="0.25">
      <c r="A73" s="7">
        <v>480</v>
      </c>
      <c r="B73" s="81">
        <v>0.43157000000000001</v>
      </c>
      <c r="C73" s="83">
        <v>3092.9</v>
      </c>
      <c r="D73" s="83">
        <v>3438.2</v>
      </c>
      <c r="E73" s="82">
        <v>7.8127000000000004</v>
      </c>
      <c r="F73" s="82"/>
      <c r="G73" s="28"/>
      <c r="H73" s="28"/>
    </row>
    <row r="74" spans="1:8" ht="18.75" customHeight="1" x14ac:dyDescent="0.25">
      <c r="A74" s="7">
        <v>490</v>
      </c>
      <c r="B74" s="81">
        <v>0.43745000000000001</v>
      </c>
      <c r="C74" s="83">
        <v>3109.7</v>
      </c>
      <c r="D74" s="83">
        <v>3459.7</v>
      </c>
      <c r="E74" s="82">
        <v>7.8411</v>
      </c>
      <c r="F74" s="82"/>
      <c r="G74" s="28"/>
      <c r="H74" s="28"/>
    </row>
    <row r="75" spans="1:8" ht="18.75" customHeight="1" x14ac:dyDescent="0.25">
      <c r="A75" s="7">
        <v>500</v>
      </c>
      <c r="B75" s="81">
        <v>0.44331999999999999</v>
      </c>
      <c r="C75" s="83">
        <v>3126.6</v>
      </c>
      <c r="D75" s="83">
        <v>3481.3</v>
      </c>
      <c r="E75" s="82">
        <v>7.8692000000000002</v>
      </c>
      <c r="F75" s="82"/>
      <c r="G75" s="28"/>
      <c r="H75" s="28"/>
    </row>
    <row r="76" spans="1:8" ht="18.75" customHeight="1" x14ac:dyDescent="0.25">
      <c r="A76" s="7">
        <v>520</v>
      </c>
      <c r="B76" s="81">
        <v>0.45506000000000002</v>
      </c>
      <c r="C76" s="83">
        <v>3160.6</v>
      </c>
      <c r="D76" s="83">
        <v>3524.6</v>
      </c>
      <c r="E76" s="82">
        <v>7.9245000000000001</v>
      </c>
      <c r="F76" s="82"/>
      <c r="G76" s="28"/>
      <c r="H76" s="28"/>
    </row>
    <row r="77" spans="1:8" ht="18.75" customHeight="1" x14ac:dyDescent="0.25">
      <c r="A77" s="7">
        <v>540</v>
      </c>
      <c r="B77" s="81">
        <v>0.46677999999999997</v>
      </c>
      <c r="C77" s="83">
        <v>3194.7</v>
      </c>
      <c r="D77" s="83">
        <v>3568.1</v>
      </c>
      <c r="E77" s="82">
        <v>7.9786999999999999</v>
      </c>
      <c r="F77" s="82"/>
      <c r="G77" s="28"/>
      <c r="H77" s="28"/>
    </row>
    <row r="78" spans="1:8" ht="18.75" customHeight="1" x14ac:dyDescent="0.25">
      <c r="A78" s="7">
        <v>560</v>
      </c>
      <c r="B78" s="81">
        <v>0.47848000000000002</v>
      </c>
      <c r="C78" s="83">
        <v>3229.1</v>
      </c>
      <c r="D78" s="83">
        <v>3611.9</v>
      </c>
      <c r="E78" s="82">
        <v>8.0319000000000003</v>
      </c>
      <c r="F78" s="82"/>
      <c r="G78" s="28"/>
      <c r="H78" s="28"/>
    </row>
    <row r="79" spans="1:8" ht="18.75" customHeight="1" x14ac:dyDescent="0.25">
      <c r="A79" s="7">
        <v>580</v>
      </c>
      <c r="B79" s="81">
        <v>0.49016999999999999</v>
      </c>
      <c r="C79" s="83">
        <v>3263.8</v>
      </c>
      <c r="D79" s="83">
        <v>3655.9</v>
      </c>
      <c r="E79" s="82">
        <v>8.0840999999999994</v>
      </c>
      <c r="F79" s="82"/>
      <c r="G79" s="28"/>
      <c r="H79" s="28"/>
    </row>
    <row r="80" spans="1:8" ht="18.75" customHeight="1" x14ac:dyDescent="0.25">
      <c r="A80" s="7">
        <v>600</v>
      </c>
      <c r="B80" s="81">
        <v>0.50185000000000002</v>
      </c>
      <c r="C80" s="83">
        <v>3298.6</v>
      </c>
      <c r="D80" s="83">
        <v>3700.1</v>
      </c>
      <c r="E80" s="82">
        <v>8.1354000000000006</v>
      </c>
      <c r="F80" s="82"/>
      <c r="G80" s="28"/>
      <c r="H80" s="28"/>
    </row>
    <row r="81" spans="1:8" ht="18.75" customHeight="1" x14ac:dyDescent="0.25">
      <c r="A81" s="7">
        <v>620</v>
      </c>
      <c r="B81" s="81">
        <v>0.51351999999999998</v>
      </c>
      <c r="C81" s="83">
        <v>3333.8</v>
      </c>
      <c r="D81" s="83">
        <v>3744.6</v>
      </c>
      <c r="E81" s="82">
        <v>8.1858000000000004</v>
      </c>
      <c r="F81" s="82"/>
      <c r="G81" s="28"/>
      <c r="H81" s="28"/>
    </row>
    <row r="82" spans="1:8" ht="18.75" customHeight="1" x14ac:dyDescent="0.25">
      <c r="A82" s="7">
        <v>640</v>
      </c>
      <c r="B82" s="81">
        <v>0.52517999999999998</v>
      </c>
      <c r="C82" s="83">
        <v>3369.3</v>
      </c>
      <c r="D82" s="83">
        <v>3789.4</v>
      </c>
      <c r="E82" s="82">
        <v>8.2353000000000005</v>
      </c>
      <c r="F82" s="82"/>
      <c r="G82" s="28"/>
      <c r="H82" s="28"/>
    </row>
    <row r="83" spans="1:8" ht="18.75" customHeight="1" x14ac:dyDescent="0.25">
      <c r="A83" s="7">
        <v>660</v>
      </c>
      <c r="B83" s="81">
        <v>0.53683000000000003</v>
      </c>
      <c r="C83" s="83">
        <v>3404.9</v>
      </c>
      <c r="D83" s="83">
        <v>3834.4</v>
      </c>
      <c r="E83" s="82">
        <v>8.2841000000000005</v>
      </c>
      <c r="F83" s="82"/>
      <c r="G83" s="28"/>
      <c r="H83" s="28"/>
    </row>
    <row r="84" spans="1:8" ht="18.75" customHeight="1" x14ac:dyDescent="0.25">
      <c r="A84" s="7">
        <v>680</v>
      </c>
      <c r="B84" s="81">
        <v>0.54847000000000001</v>
      </c>
      <c r="C84" s="83">
        <v>3440.9</v>
      </c>
      <c r="D84" s="83">
        <v>3879.7</v>
      </c>
      <c r="E84" s="82">
        <v>8.3321000000000005</v>
      </c>
      <c r="F84" s="82"/>
      <c r="G84" s="28"/>
      <c r="H84" s="28"/>
    </row>
    <row r="85" spans="1:8" ht="18.75" customHeight="1" x14ac:dyDescent="0.25">
      <c r="A85" s="7">
        <v>700</v>
      </c>
      <c r="B85" s="81">
        <v>0.56011</v>
      </c>
      <c r="C85" s="83">
        <v>3477.2</v>
      </c>
      <c r="D85" s="83">
        <v>3925.3</v>
      </c>
      <c r="E85" s="82">
        <v>8.3794000000000004</v>
      </c>
      <c r="F85" s="82"/>
      <c r="G85" s="28"/>
      <c r="H85" s="28"/>
    </row>
    <row r="86" spans="1:8" ht="18.75" customHeight="1" x14ac:dyDescent="0.25">
      <c r="A86" s="7">
        <v>720</v>
      </c>
      <c r="B86" s="81">
        <v>0.57174000000000003</v>
      </c>
      <c r="C86" s="83">
        <v>3513.7</v>
      </c>
      <c r="D86" s="83">
        <v>3971.1</v>
      </c>
      <c r="E86" s="82">
        <v>8.4260000000000002</v>
      </c>
      <c r="F86" s="82"/>
      <c r="G86" s="28"/>
      <c r="H86" s="28"/>
    </row>
    <row r="87" spans="1:8" ht="18.75" customHeight="1" x14ac:dyDescent="0.25">
      <c r="A87" s="7">
        <v>740</v>
      </c>
      <c r="B87" s="81">
        <v>0.58335999999999999</v>
      </c>
      <c r="C87" s="83">
        <v>3550.5</v>
      </c>
      <c r="D87" s="83">
        <v>4017.2</v>
      </c>
      <c r="E87" s="82">
        <v>8.4719999999999995</v>
      </c>
      <c r="F87" s="82"/>
      <c r="G87" s="28"/>
      <c r="H87" s="28"/>
    </row>
    <row r="88" spans="1:8" ht="18.75" customHeight="1" x14ac:dyDescent="0.25">
      <c r="A88" s="7">
        <v>760</v>
      </c>
      <c r="B88" s="81">
        <v>0.59497999999999995</v>
      </c>
      <c r="C88" s="83">
        <v>3587.5</v>
      </c>
      <c r="D88" s="83">
        <v>4063.5</v>
      </c>
      <c r="E88" s="82">
        <v>8.5173000000000005</v>
      </c>
      <c r="F88" s="82"/>
      <c r="G88" s="28"/>
      <c r="H88" s="28"/>
    </row>
    <row r="89" spans="1:8" ht="18.75" customHeight="1" x14ac:dyDescent="0.25">
      <c r="A89" s="7">
        <v>780</v>
      </c>
      <c r="B89" s="81">
        <v>0.60658999999999996</v>
      </c>
      <c r="C89" s="83">
        <v>3624.8</v>
      </c>
      <c r="D89" s="83">
        <v>4110.1000000000004</v>
      </c>
      <c r="E89" s="82">
        <v>8.5618999999999996</v>
      </c>
      <c r="F89" s="82"/>
      <c r="G89" s="28"/>
      <c r="H89" s="28"/>
    </row>
    <row r="90" spans="1:8" ht="18.75" customHeight="1" x14ac:dyDescent="0.25">
      <c r="A90" s="7">
        <v>800</v>
      </c>
      <c r="B90" s="81">
        <v>0.61819999999999997</v>
      </c>
      <c r="C90" s="83">
        <v>3662.4</v>
      </c>
      <c r="D90" s="83">
        <v>4157</v>
      </c>
      <c r="E90" s="82">
        <v>8.6060999999999996</v>
      </c>
      <c r="F90" s="82"/>
      <c r="G90" s="28"/>
      <c r="H90" s="28"/>
    </row>
    <row r="91" spans="1:8" ht="18.75" customHeight="1" x14ac:dyDescent="0.25">
      <c r="A91" s="7">
        <v>820</v>
      </c>
      <c r="B91" s="81">
        <v>0.62980999999999998</v>
      </c>
      <c r="C91" s="83">
        <v>3700.4</v>
      </c>
      <c r="D91" s="83">
        <v>4204.2</v>
      </c>
      <c r="E91" s="82">
        <v>8.6495999999999995</v>
      </c>
      <c r="F91" s="82"/>
      <c r="G91" s="28"/>
      <c r="H91" s="28"/>
    </row>
    <row r="92" spans="1:8" ht="18.75" customHeight="1" x14ac:dyDescent="0.25">
      <c r="A92" s="7">
        <v>840</v>
      </c>
      <c r="B92" s="81">
        <v>0.64141000000000004</v>
      </c>
      <c r="C92" s="83">
        <v>3738.5</v>
      </c>
      <c r="D92" s="83">
        <v>4251.6000000000004</v>
      </c>
      <c r="E92" s="82">
        <v>8.6926000000000005</v>
      </c>
      <c r="F92" s="82"/>
      <c r="G92" s="28"/>
      <c r="H92" s="28"/>
    </row>
    <row r="93" spans="1:8" ht="18.75" customHeight="1" x14ac:dyDescent="0.25">
      <c r="A93" s="7">
        <v>860</v>
      </c>
      <c r="B93" s="81">
        <v>0.65300000000000002</v>
      </c>
      <c r="C93" s="83">
        <v>3776.9</v>
      </c>
      <c r="D93" s="83">
        <v>4299.3</v>
      </c>
      <c r="E93" s="82">
        <v>8.7350999999999992</v>
      </c>
      <c r="F93" s="82"/>
      <c r="G93" s="28"/>
      <c r="H93" s="28"/>
    </row>
    <row r="94" spans="1:8" ht="18.75" customHeight="1" x14ac:dyDescent="0.25">
      <c r="A94" s="7">
        <v>880</v>
      </c>
      <c r="B94" s="81">
        <v>0.66459999999999997</v>
      </c>
      <c r="C94" s="83">
        <v>3815.5</v>
      </c>
      <c r="D94" s="83">
        <v>4347.2</v>
      </c>
      <c r="E94" s="82">
        <v>8.7769999999999992</v>
      </c>
      <c r="F94" s="82"/>
      <c r="G94" s="28"/>
      <c r="H94" s="28"/>
    </row>
    <row r="95" spans="1:8" ht="18.75" customHeight="1" x14ac:dyDescent="0.25">
      <c r="A95" s="7">
        <v>900</v>
      </c>
      <c r="B95" s="81">
        <v>0.67618999999999996</v>
      </c>
      <c r="C95" s="83">
        <v>3854.5</v>
      </c>
      <c r="D95" s="83">
        <v>4395.5</v>
      </c>
      <c r="E95" s="82">
        <v>8.8185000000000002</v>
      </c>
      <c r="F95" s="82"/>
      <c r="G95" s="28"/>
      <c r="H95" s="28"/>
    </row>
    <row r="96" spans="1:8" ht="18.75" customHeight="1" x14ac:dyDescent="0.25">
      <c r="A96" s="7">
        <v>920</v>
      </c>
      <c r="B96" s="81">
        <v>0.68777999999999995</v>
      </c>
      <c r="C96" s="83">
        <v>3893.8</v>
      </c>
      <c r="D96" s="83">
        <v>4444</v>
      </c>
      <c r="E96" s="82">
        <v>8.8595000000000006</v>
      </c>
      <c r="F96" s="82"/>
      <c r="G96" s="28"/>
      <c r="H96" s="28"/>
    </row>
    <row r="97" spans="1:8" ht="18.75" customHeight="1" x14ac:dyDescent="0.25">
      <c r="A97" s="7">
        <v>940</v>
      </c>
      <c r="B97" s="81">
        <v>0.69935999999999998</v>
      </c>
      <c r="C97" s="83">
        <v>3933.2</v>
      </c>
      <c r="D97" s="83">
        <v>4492.7</v>
      </c>
      <c r="E97" s="82">
        <v>8.9</v>
      </c>
      <c r="F97" s="82"/>
      <c r="G97" s="28"/>
      <c r="H97" s="28"/>
    </row>
    <row r="98" spans="1:8" ht="18.75" customHeight="1" x14ac:dyDescent="0.25">
      <c r="A98" s="7">
        <v>960</v>
      </c>
      <c r="B98" s="81">
        <v>0.71094999999999997</v>
      </c>
      <c r="C98" s="83">
        <v>3972.9</v>
      </c>
      <c r="D98" s="83">
        <v>4541.7</v>
      </c>
      <c r="E98" s="82">
        <v>8.94</v>
      </c>
      <c r="F98" s="82"/>
      <c r="G98" s="28"/>
      <c r="H98" s="28"/>
    </row>
    <row r="99" spans="1:8" ht="18.75" customHeight="1" x14ac:dyDescent="0.25">
      <c r="A99" s="7">
        <v>980</v>
      </c>
      <c r="B99" s="81">
        <v>0.72253000000000001</v>
      </c>
      <c r="C99" s="83">
        <v>4013</v>
      </c>
      <c r="D99" s="83">
        <v>4591</v>
      </c>
      <c r="E99" s="82">
        <v>8.9796999999999993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0.73411000000000004</v>
      </c>
      <c r="C100" s="83">
        <v>4053.2</v>
      </c>
      <c r="D100" s="83">
        <v>4640.5</v>
      </c>
      <c r="E100" s="82">
        <v>9.0189000000000004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H100"/>
  <sheetViews>
    <sheetView topLeftCell="A24" workbookViewId="0">
      <selection activeCell="A41" sqref="A41:XFD41"/>
    </sheetView>
  </sheetViews>
  <sheetFormatPr defaultRowHeight="13.2" x14ac:dyDescent="0.25"/>
  <cols>
    <col min="1" max="1" width="10.77734375" style="28" customWidth="1"/>
    <col min="2" max="2" width="9.5546875" style="28" customWidth="1"/>
    <col min="3" max="3" width="6.88671875" style="28" customWidth="1"/>
    <col min="4" max="4" width="7.109375" style="28" customWidth="1"/>
    <col min="5" max="5" width="6.88671875" style="28" customWidth="1"/>
    <col min="6" max="6" width="3.5546875" style="28" customWidth="1"/>
    <col min="7" max="7" width="6.88671875" style="28" customWidth="1"/>
    <col min="8" max="8" width="75.77734375" style="28" customWidth="1"/>
    <col min="9" max="16384" width="8.88671875" style="28"/>
  </cols>
  <sheetData>
    <row r="1" spans="1:8" ht="18.75" customHeight="1" x14ac:dyDescent="0.25">
      <c r="A1" s="193" t="s">
        <v>65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900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91" t="s">
        <v>112</v>
      </c>
      <c r="C3" s="77" t="s">
        <v>28</v>
      </c>
      <c r="D3" s="77" t="s">
        <v>29</v>
      </c>
      <c r="E3" s="77" t="s">
        <v>30</v>
      </c>
      <c r="F3" s="77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</row>
    <row r="5" spans="1:8" ht="18.75" customHeight="1" x14ac:dyDescent="0.25">
      <c r="A5" s="7">
        <v>0</v>
      </c>
      <c r="B5" s="79">
        <v>9.9974999999999999E-4</v>
      </c>
      <c r="C5" s="80">
        <v>-0.03</v>
      </c>
      <c r="D5" s="80">
        <v>0.87</v>
      </c>
      <c r="E5" s="81">
        <v>-9.0000000000000006E-5</v>
      </c>
      <c r="F5" s="81"/>
    </row>
    <row r="6" spans="1:8" ht="18.75" customHeight="1" x14ac:dyDescent="0.25">
      <c r="A6" s="7">
        <v>5</v>
      </c>
      <c r="B6" s="79">
        <v>9.9963999999999999E-4</v>
      </c>
      <c r="C6" s="80">
        <v>21.01</v>
      </c>
      <c r="D6" s="80">
        <v>21.91</v>
      </c>
      <c r="E6" s="81">
        <v>7.6240000000000002E-2</v>
      </c>
      <c r="F6" s="81"/>
    </row>
    <row r="7" spans="1:8" ht="18.75" customHeight="1" x14ac:dyDescent="0.25">
      <c r="A7" s="7">
        <v>10</v>
      </c>
      <c r="B7" s="79">
        <v>9.9992000000000006E-4</v>
      </c>
      <c r="C7" s="80">
        <v>42</v>
      </c>
      <c r="D7" s="80">
        <v>42.9</v>
      </c>
      <c r="E7" s="81">
        <v>0.15101000000000001</v>
      </c>
      <c r="F7" s="81"/>
    </row>
    <row r="8" spans="1:8" ht="18.75" customHeight="1" x14ac:dyDescent="0.25">
      <c r="A8" s="7">
        <v>15</v>
      </c>
      <c r="B8" s="79">
        <v>1.0005299999999999E-3</v>
      </c>
      <c r="C8" s="80">
        <v>62.94</v>
      </c>
      <c r="D8" s="80">
        <v>63.84</v>
      </c>
      <c r="E8" s="81">
        <v>0.22433</v>
      </c>
      <c r="F8" s="81"/>
    </row>
    <row r="9" spans="1:8" ht="18.75" customHeight="1" x14ac:dyDescent="0.25">
      <c r="A9" s="7">
        <v>20</v>
      </c>
      <c r="B9" s="79">
        <v>1.00143E-3</v>
      </c>
      <c r="C9" s="80">
        <v>83.86</v>
      </c>
      <c r="D9" s="80">
        <v>84.76</v>
      </c>
      <c r="E9" s="81">
        <v>0.29630000000000001</v>
      </c>
      <c r="F9" s="81"/>
    </row>
    <row r="10" spans="1:8" ht="18.75" customHeight="1" x14ac:dyDescent="0.25">
      <c r="A10" s="7">
        <v>25</v>
      </c>
      <c r="B10" s="79">
        <v>1.0026E-3</v>
      </c>
      <c r="C10" s="80">
        <v>104.76</v>
      </c>
      <c r="D10" s="80">
        <v>105.66</v>
      </c>
      <c r="E10" s="81">
        <v>0.36698999999999998</v>
      </c>
      <c r="F10" s="81"/>
    </row>
    <row r="11" spans="1:8" ht="18.75" customHeight="1" x14ac:dyDescent="0.25">
      <c r="A11" s="7">
        <v>30</v>
      </c>
      <c r="B11" s="79">
        <v>1.0040100000000001E-3</v>
      </c>
      <c r="C11" s="80">
        <v>125.65</v>
      </c>
      <c r="D11" s="80">
        <v>126.55</v>
      </c>
      <c r="E11" s="81">
        <v>0.43647999999999998</v>
      </c>
      <c r="F11" s="81"/>
    </row>
    <row r="12" spans="1:8" ht="18.75" customHeight="1" x14ac:dyDescent="0.25">
      <c r="A12" s="7">
        <v>35</v>
      </c>
      <c r="B12" s="79">
        <v>1.0056500000000001E-3</v>
      </c>
      <c r="C12" s="80">
        <v>146.53</v>
      </c>
      <c r="D12" s="80">
        <v>147.44</v>
      </c>
      <c r="E12" s="81">
        <v>0.50482000000000005</v>
      </c>
      <c r="F12" s="81"/>
    </row>
    <row r="13" spans="1:8" ht="18.75" customHeight="1" x14ac:dyDescent="0.25">
      <c r="A13" s="7">
        <v>40</v>
      </c>
      <c r="B13" s="79">
        <v>1.00749E-3</v>
      </c>
      <c r="C13" s="80">
        <v>167.41</v>
      </c>
      <c r="D13" s="80">
        <v>168.32</v>
      </c>
      <c r="E13" s="81">
        <v>0.57204999999999995</v>
      </c>
      <c r="F13" s="81"/>
    </row>
    <row r="14" spans="1:8" ht="18.75" customHeight="1" x14ac:dyDescent="0.25">
      <c r="A14" s="7">
        <v>45</v>
      </c>
      <c r="B14" s="79">
        <v>1.00953E-3</v>
      </c>
      <c r="C14" s="80">
        <v>188.3</v>
      </c>
      <c r="D14" s="80">
        <v>189.21</v>
      </c>
      <c r="E14" s="81">
        <v>0.63822999999999996</v>
      </c>
      <c r="F14" s="81"/>
    </row>
    <row r="15" spans="1:8" ht="18.75" customHeight="1" x14ac:dyDescent="0.25">
      <c r="A15" s="7">
        <v>50</v>
      </c>
      <c r="B15" s="79">
        <v>1.0117500000000001E-3</v>
      </c>
      <c r="C15" s="80">
        <v>209.2</v>
      </c>
      <c r="D15" s="80">
        <v>210.11</v>
      </c>
      <c r="E15" s="81">
        <v>0.70340000000000003</v>
      </c>
      <c r="F15" s="81"/>
    </row>
    <row r="16" spans="1:8" ht="18.75" customHeight="1" x14ac:dyDescent="0.25">
      <c r="A16" s="7">
        <v>55</v>
      </c>
      <c r="B16" s="79">
        <v>1.0141600000000001E-3</v>
      </c>
      <c r="C16" s="80">
        <v>230.1</v>
      </c>
      <c r="D16" s="80">
        <v>231.01</v>
      </c>
      <c r="E16" s="81">
        <v>0.76758000000000004</v>
      </c>
      <c r="F16" s="81"/>
    </row>
    <row r="17" spans="1:6" ht="18.75" customHeight="1" x14ac:dyDescent="0.25">
      <c r="A17" s="7">
        <v>60</v>
      </c>
      <c r="B17" s="79">
        <v>1.01673E-3</v>
      </c>
      <c r="C17" s="80">
        <v>251</v>
      </c>
      <c r="D17" s="80">
        <v>251.92</v>
      </c>
      <c r="E17" s="81">
        <v>0.83082</v>
      </c>
      <c r="F17" s="81"/>
    </row>
    <row r="18" spans="1:6" ht="18.75" customHeight="1" x14ac:dyDescent="0.25">
      <c r="A18" s="7">
        <v>65</v>
      </c>
      <c r="B18" s="79">
        <v>1.01947E-3</v>
      </c>
      <c r="C18" s="80">
        <v>271.92</v>
      </c>
      <c r="D18" s="80">
        <v>272.83999999999997</v>
      </c>
      <c r="E18" s="81">
        <v>0.89315999999999995</v>
      </c>
      <c r="F18" s="81"/>
    </row>
    <row r="19" spans="1:6" ht="18.75" customHeight="1" x14ac:dyDescent="0.25">
      <c r="A19" s="7">
        <v>70</v>
      </c>
      <c r="B19" s="79">
        <v>1.0223700000000001E-3</v>
      </c>
      <c r="C19" s="80">
        <v>292.86</v>
      </c>
      <c r="D19" s="80">
        <v>293.77999999999997</v>
      </c>
      <c r="E19" s="81">
        <v>0.95460999999999996</v>
      </c>
      <c r="F19" s="81"/>
    </row>
    <row r="20" spans="1:6" ht="18.75" customHeight="1" x14ac:dyDescent="0.25">
      <c r="A20" s="7">
        <v>75</v>
      </c>
      <c r="B20" s="79">
        <v>1.0254299999999999E-3</v>
      </c>
      <c r="C20" s="80">
        <v>313.8</v>
      </c>
      <c r="D20" s="80">
        <v>314.72000000000003</v>
      </c>
      <c r="E20" s="82">
        <v>1.0152000000000001</v>
      </c>
      <c r="F20" s="82"/>
    </row>
    <row r="21" spans="1:6" ht="18.75" customHeight="1" x14ac:dyDescent="0.25">
      <c r="A21" s="7">
        <v>80</v>
      </c>
      <c r="B21" s="79">
        <v>1.0286500000000001E-3</v>
      </c>
      <c r="C21" s="80">
        <v>334.76</v>
      </c>
      <c r="D21" s="80">
        <v>335.69</v>
      </c>
      <c r="E21" s="82">
        <v>1.075</v>
      </c>
      <c r="F21" s="82"/>
    </row>
    <row r="22" spans="1:6" ht="18.75" customHeight="1" x14ac:dyDescent="0.25">
      <c r="A22" s="7">
        <v>85</v>
      </c>
      <c r="B22" s="79">
        <v>1.03202E-3</v>
      </c>
      <c r="C22" s="80">
        <v>355.75</v>
      </c>
      <c r="D22" s="80">
        <v>356.68</v>
      </c>
      <c r="E22" s="82">
        <v>1.1339999999999999</v>
      </c>
      <c r="F22" s="82"/>
    </row>
    <row r="23" spans="1:6" ht="18.75" customHeight="1" x14ac:dyDescent="0.25">
      <c r="A23" s="7">
        <v>90</v>
      </c>
      <c r="B23" s="79">
        <v>1.0355500000000001E-3</v>
      </c>
      <c r="C23" s="80">
        <v>376.75</v>
      </c>
      <c r="D23" s="80">
        <v>377.68</v>
      </c>
      <c r="E23" s="82">
        <v>1.1922999999999999</v>
      </c>
      <c r="F23" s="82"/>
    </row>
    <row r="24" spans="1:6" ht="18.75" customHeight="1" x14ac:dyDescent="0.25">
      <c r="A24" s="7">
        <v>95</v>
      </c>
      <c r="B24" s="79">
        <v>1.03922E-3</v>
      </c>
      <c r="C24" s="80">
        <v>397.77</v>
      </c>
      <c r="D24" s="80">
        <v>398.71</v>
      </c>
      <c r="E24" s="82">
        <v>1.2498</v>
      </c>
      <c r="F24" s="82"/>
    </row>
    <row r="25" spans="1:6" ht="18.75" customHeight="1" x14ac:dyDescent="0.25">
      <c r="A25" s="7">
        <v>100</v>
      </c>
      <c r="B25" s="79">
        <v>1.04305E-3</v>
      </c>
      <c r="C25" s="80">
        <v>418.83</v>
      </c>
      <c r="D25" s="80">
        <v>419.77</v>
      </c>
      <c r="E25" s="82">
        <v>1.3066</v>
      </c>
      <c r="F25" s="82"/>
    </row>
    <row r="26" spans="1:6" ht="18.75" customHeight="1" x14ac:dyDescent="0.25">
      <c r="A26" s="7">
        <v>105</v>
      </c>
      <c r="B26" s="79">
        <v>1.0470399999999999E-3</v>
      </c>
      <c r="C26" s="80">
        <v>439.91</v>
      </c>
      <c r="D26" s="80">
        <v>440.85</v>
      </c>
      <c r="E26" s="82">
        <v>1.3627</v>
      </c>
      <c r="F26" s="82"/>
    </row>
    <row r="27" spans="1:6" ht="18.75" customHeight="1" x14ac:dyDescent="0.25">
      <c r="A27" s="7">
        <v>110</v>
      </c>
      <c r="B27" s="79">
        <v>1.0511800000000001E-3</v>
      </c>
      <c r="C27" s="80">
        <v>461.02</v>
      </c>
      <c r="D27" s="80">
        <v>461.97</v>
      </c>
      <c r="E27" s="82">
        <v>1.4181999999999999</v>
      </c>
      <c r="F27" s="82"/>
    </row>
    <row r="28" spans="1:6" ht="18.75" customHeight="1" x14ac:dyDescent="0.25">
      <c r="A28" s="7">
        <v>115</v>
      </c>
      <c r="B28" s="79">
        <v>1.05547E-3</v>
      </c>
      <c r="C28" s="80">
        <v>482.17</v>
      </c>
      <c r="D28" s="80">
        <v>483.12</v>
      </c>
      <c r="E28" s="82">
        <v>1.4730000000000001</v>
      </c>
      <c r="F28" s="82"/>
    </row>
    <row r="29" spans="1:6" ht="18.75" customHeight="1" x14ac:dyDescent="0.25">
      <c r="A29" s="7">
        <v>120</v>
      </c>
      <c r="B29" s="79">
        <v>1.0599299999999999E-3</v>
      </c>
      <c r="C29" s="80">
        <v>503.35</v>
      </c>
      <c r="D29" s="80">
        <v>504.3</v>
      </c>
      <c r="E29" s="82">
        <v>1.5273000000000001</v>
      </c>
      <c r="F29" s="82"/>
    </row>
    <row r="30" spans="1:6" ht="18.75" customHeight="1" x14ac:dyDescent="0.25">
      <c r="A30" s="7">
        <v>125</v>
      </c>
      <c r="B30" s="79">
        <v>1.06455E-3</v>
      </c>
      <c r="C30" s="80">
        <v>524.57000000000005</v>
      </c>
      <c r="D30" s="80">
        <v>525.53</v>
      </c>
      <c r="E30" s="82">
        <v>1.5809</v>
      </c>
      <c r="F30" s="82"/>
    </row>
    <row r="31" spans="1:6" ht="18.75" customHeight="1" x14ac:dyDescent="0.25">
      <c r="A31" s="7">
        <v>130</v>
      </c>
      <c r="B31" s="79">
        <v>1.0693300000000001E-3</v>
      </c>
      <c r="C31" s="80">
        <v>545.85</v>
      </c>
      <c r="D31" s="80">
        <v>546.80999999999995</v>
      </c>
      <c r="E31" s="82">
        <v>1.6339999999999999</v>
      </c>
      <c r="F31" s="82"/>
    </row>
    <row r="32" spans="1:6" ht="18.75" customHeight="1" x14ac:dyDescent="0.25">
      <c r="A32" s="7">
        <v>135</v>
      </c>
      <c r="B32" s="79">
        <v>1.0742900000000001E-3</v>
      </c>
      <c r="C32" s="80">
        <v>567.16</v>
      </c>
      <c r="D32" s="80">
        <v>568.13</v>
      </c>
      <c r="E32" s="82">
        <v>1.6866000000000001</v>
      </c>
      <c r="F32" s="82"/>
    </row>
    <row r="33" spans="1:6" ht="18.75" customHeight="1" x14ac:dyDescent="0.25">
      <c r="A33" s="7">
        <v>140</v>
      </c>
      <c r="B33" s="79">
        <v>1.07942E-3</v>
      </c>
      <c r="C33" s="80">
        <v>588.54</v>
      </c>
      <c r="D33" s="80">
        <v>589.51</v>
      </c>
      <c r="E33" s="82">
        <v>1.7386999999999999</v>
      </c>
      <c r="F33" s="82"/>
    </row>
    <row r="34" spans="1:6" ht="18.75" customHeight="1" x14ac:dyDescent="0.25">
      <c r="A34" s="7">
        <v>145</v>
      </c>
      <c r="B34" s="79">
        <v>1.08472E-3</v>
      </c>
      <c r="C34" s="80">
        <v>609.96</v>
      </c>
      <c r="D34" s="80">
        <v>610.94000000000005</v>
      </c>
      <c r="E34" s="82">
        <v>1.7902</v>
      </c>
      <c r="F34" s="82"/>
    </row>
    <row r="35" spans="1:6" ht="18.75" customHeight="1" x14ac:dyDescent="0.25">
      <c r="A35" s="7">
        <v>150</v>
      </c>
      <c r="B35" s="79">
        <v>1.09022E-3</v>
      </c>
      <c r="C35" s="80">
        <v>631.46</v>
      </c>
      <c r="D35" s="80">
        <v>632.44000000000005</v>
      </c>
      <c r="E35" s="82">
        <v>1.8412999999999999</v>
      </c>
      <c r="F35" s="82"/>
    </row>
    <row r="36" spans="1:6" ht="18.75" customHeight="1" x14ac:dyDescent="0.25">
      <c r="A36" s="7">
        <v>155</v>
      </c>
      <c r="B36" s="79">
        <v>1.0958999999999999E-3</v>
      </c>
      <c r="C36" s="80">
        <v>653.01</v>
      </c>
      <c r="D36" s="80">
        <v>654</v>
      </c>
      <c r="E36" s="82">
        <v>1.8919999999999999</v>
      </c>
      <c r="F36" s="82"/>
    </row>
    <row r="37" spans="1:6" ht="18.75" customHeight="1" x14ac:dyDescent="0.25">
      <c r="A37" s="7">
        <v>160</v>
      </c>
      <c r="B37" s="79">
        <v>1.1017900000000001E-3</v>
      </c>
      <c r="C37" s="80">
        <v>674.65</v>
      </c>
      <c r="D37" s="80">
        <v>675.64</v>
      </c>
      <c r="E37" s="82">
        <v>1.9421999999999999</v>
      </c>
      <c r="F37" s="82"/>
    </row>
    <row r="38" spans="1:6" ht="18.75" customHeight="1" x14ac:dyDescent="0.25">
      <c r="A38" s="7">
        <v>165</v>
      </c>
      <c r="B38" s="79">
        <v>1.1078800000000001E-3</v>
      </c>
      <c r="C38" s="80">
        <v>696.35</v>
      </c>
      <c r="D38" s="80">
        <v>697.35</v>
      </c>
      <c r="E38" s="82">
        <v>1.9921</v>
      </c>
      <c r="F38" s="82"/>
    </row>
    <row r="39" spans="1:6" ht="18.75" customHeight="1" x14ac:dyDescent="0.25">
      <c r="A39" s="7">
        <v>170</v>
      </c>
      <c r="B39" s="79">
        <v>1.11418E-3</v>
      </c>
      <c r="C39" s="80">
        <v>718.14</v>
      </c>
      <c r="D39" s="80">
        <v>719.14</v>
      </c>
      <c r="E39" s="82">
        <v>2.0415000000000001</v>
      </c>
      <c r="F39" s="82"/>
    </row>
    <row r="40" spans="1:6" ht="18.75" customHeight="1" x14ac:dyDescent="0.25">
      <c r="A40" s="7">
        <v>175</v>
      </c>
      <c r="B40" s="79">
        <v>1.12072E-3</v>
      </c>
      <c r="C40" s="80">
        <v>740.01</v>
      </c>
      <c r="D40" s="80">
        <v>741.02</v>
      </c>
      <c r="E40" s="82">
        <v>2.0905999999999998</v>
      </c>
      <c r="F40" s="82"/>
    </row>
    <row r="41" spans="1:6" ht="18.75" customHeight="1" x14ac:dyDescent="0.25">
      <c r="A41" s="7">
        <v>180</v>
      </c>
      <c r="B41" s="81">
        <v>0.21792</v>
      </c>
      <c r="C41" s="83">
        <v>2589.1</v>
      </c>
      <c r="D41" s="83">
        <v>2785.2</v>
      </c>
      <c r="E41" s="82">
        <v>6.6482000000000001</v>
      </c>
      <c r="F41" s="82"/>
    </row>
    <row r="42" spans="1:6" ht="18.75" customHeight="1" x14ac:dyDescent="0.25">
      <c r="A42" s="7">
        <v>185</v>
      </c>
      <c r="B42" s="81">
        <v>0.22112000000000001</v>
      </c>
      <c r="C42" s="83">
        <v>2598.8000000000002</v>
      </c>
      <c r="D42" s="83">
        <v>2797.8</v>
      </c>
      <c r="E42" s="82">
        <v>6.6759000000000004</v>
      </c>
      <c r="F42" s="82"/>
    </row>
    <row r="43" spans="1:6" ht="18.75" customHeight="1" x14ac:dyDescent="0.25">
      <c r="A43" s="7">
        <v>190</v>
      </c>
      <c r="B43" s="81">
        <v>0.22425999999999999</v>
      </c>
      <c r="C43" s="83">
        <v>2608.3000000000002</v>
      </c>
      <c r="D43" s="83">
        <v>2810.1</v>
      </c>
      <c r="E43" s="82">
        <v>6.7027000000000001</v>
      </c>
      <c r="F43" s="82"/>
    </row>
    <row r="44" spans="1:6" ht="18.75" customHeight="1" x14ac:dyDescent="0.25">
      <c r="A44" s="7">
        <v>195</v>
      </c>
      <c r="B44" s="81">
        <v>0.22736000000000001</v>
      </c>
      <c r="C44" s="83">
        <v>2617.6</v>
      </c>
      <c r="D44" s="83">
        <v>2822.2</v>
      </c>
      <c r="E44" s="82">
        <v>6.7286000000000001</v>
      </c>
      <c r="F44" s="82"/>
    </row>
    <row r="45" spans="1:6" ht="18.75" customHeight="1" x14ac:dyDescent="0.25">
      <c r="A45" s="7">
        <v>200</v>
      </c>
      <c r="B45" s="81">
        <v>0.23042000000000001</v>
      </c>
      <c r="C45" s="83">
        <v>2626.7</v>
      </c>
      <c r="D45" s="83">
        <v>2834.1</v>
      </c>
      <c r="E45" s="82">
        <v>6.7538999999999998</v>
      </c>
      <c r="F45" s="82"/>
    </row>
    <row r="46" spans="1:6" ht="18.75" customHeight="1" x14ac:dyDescent="0.25">
      <c r="A46" s="7">
        <v>210</v>
      </c>
      <c r="B46" s="81">
        <v>0.23644000000000001</v>
      </c>
      <c r="C46" s="83">
        <v>2644.6</v>
      </c>
      <c r="D46" s="83">
        <v>2857.4</v>
      </c>
      <c r="E46" s="82">
        <v>6.8026999999999997</v>
      </c>
      <c r="F46" s="82"/>
    </row>
    <row r="47" spans="1:6" ht="18.75" customHeight="1" x14ac:dyDescent="0.25">
      <c r="A47" s="7">
        <v>220</v>
      </c>
      <c r="B47" s="81">
        <v>0.24235999999999999</v>
      </c>
      <c r="C47" s="83">
        <v>2662.2</v>
      </c>
      <c r="D47" s="83">
        <v>2880.3</v>
      </c>
      <c r="E47" s="82">
        <v>6.8494999999999999</v>
      </c>
      <c r="F47" s="82"/>
    </row>
    <row r="48" spans="1:6" ht="18.75" customHeight="1" x14ac:dyDescent="0.25">
      <c r="A48" s="7">
        <v>230</v>
      </c>
      <c r="B48" s="81">
        <v>0.24818000000000001</v>
      </c>
      <c r="C48" s="83">
        <v>2679.3</v>
      </c>
      <c r="D48" s="83">
        <v>2902.7</v>
      </c>
      <c r="E48" s="82">
        <v>6.8945999999999996</v>
      </c>
      <c r="F48" s="82"/>
    </row>
    <row r="49" spans="1:6" ht="18.75" customHeight="1" x14ac:dyDescent="0.25">
      <c r="A49" s="7">
        <v>240</v>
      </c>
      <c r="B49" s="81">
        <v>0.25392999999999999</v>
      </c>
      <c r="C49" s="83">
        <v>2696.4</v>
      </c>
      <c r="D49" s="83">
        <v>2924.9</v>
      </c>
      <c r="E49" s="82">
        <v>6.9382000000000001</v>
      </c>
      <c r="F49" s="82"/>
    </row>
    <row r="50" spans="1:6" ht="18.75" customHeight="1" x14ac:dyDescent="0.25">
      <c r="A50" s="7">
        <v>250</v>
      </c>
      <c r="B50" s="81">
        <v>0.25962000000000002</v>
      </c>
      <c r="C50" s="83">
        <v>2713.1</v>
      </c>
      <c r="D50" s="83">
        <v>2946.8</v>
      </c>
      <c r="E50" s="82">
        <v>6.9805000000000001</v>
      </c>
      <c r="F50" s="82"/>
    </row>
    <row r="51" spans="1:6" ht="18.75" customHeight="1" x14ac:dyDescent="0.25">
      <c r="A51" s="7">
        <v>260</v>
      </c>
      <c r="B51" s="81">
        <v>0.26526</v>
      </c>
      <c r="C51" s="83">
        <v>2729.8</v>
      </c>
      <c r="D51" s="83">
        <v>2968.5</v>
      </c>
      <c r="E51" s="82">
        <v>7.0216000000000003</v>
      </c>
      <c r="F51" s="82"/>
    </row>
    <row r="52" spans="1:6" ht="18.75" customHeight="1" x14ac:dyDescent="0.25">
      <c r="A52" s="7">
        <v>270</v>
      </c>
      <c r="B52" s="81">
        <v>0.27084999999999998</v>
      </c>
      <c r="C52" s="83">
        <v>2746.3</v>
      </c>
      <c r="D52" s="83">
        <v>2990.1</v>
      </c>
      <c r="E52" s="82">
        <v>7.0617999999999999</v>
      </c>
      <c r="F52" s="82"/>
    </row>
    <row r="53" spans="1:6" ht="18.75" customHeight="1" x14ac:dyDescent="0.25">
      <c r="A53" s="7">
        <v>280</v>
      </c>
      <c r="B53" s="81">
        <v>0.27639999999999998</v>
      </c>
      <c r="C53" s="83">
        <v>2762.8</v>
      </c>
      <c r="D53" s="83">
        <v>3011.6</v>
      </c>
      <c r="E53" s="82">
        <v>7.1009000000000002</v>
      </c>
      <c r="F53" s="82"/>
    </row>
    <row r="54" spans="1:6" ht="18.75" customHeight="1" x14ac:dyDescent="0.25">
      <c r="A54" s="7">
        <v>290</v>
      </c>
      <c r="B54" s="81">
        <v>0.28192</v>
      </c>
      <c r="C54" s="83">
        <v>2779.3</v>
      </c>
      <c r="D54" s="83">
        <v>3033</v>
      </c>
      <c r="E54" s="82">
        <v>7.1391999999999998</v>
      </c>
      <c r="F54" s="82"/>
    </row>
    <row r="55" spans="1:6" ht="18.75" customHeight="1" x14ac:dyDescent="0.25">
      <c r="A55" s="7">
        <v>300</v>
      </c>
      <c r="B55" s="81">
        <v>0.28739999999999999</v>
      </c>
      <c r="C55" s="83">
        <v>2795.6</v>
      </c>
      <c r="D55" s="83">
        <v>3054.3</v>
      </c>
      <c r="E55" s="82">
        <v>7.1767000000000003</v>
      </c>
      <c r="F55" s="82"/>
    </row>
    <row r="56" spans="1:6" ht="18.75" customHeight="1" x14ac:dyDescent="0.25">
      <c r="A56" s="7">
        <v>310</v>
      </c>
      <c r="B56" s="81">
        <v>0.29286000000000001</v>
      </c>
      <c r="C56" s="83">
        <v>2811.9</v>
      </c>
      <c r="D56" s="83">
        <v>3075.5</v>
      </c>
      <c r="E56" s="82">
        <v>7.2134</v>
      </c>
      <c r="F56" s="82"/>
    </row>
    <row r="57" spans="1:6" ht="18.75" customHeight="1" x14ac:dyDescent="0.25">
      <c r="A57" s="7">
        <v>320</v>
      </c>
      <c r="B57" s="81">
        <v>0.29829</v>
      </c>
      <c r="C57" s="83">
        <v>2828.2</v>
      </c>
      <c r="D57" s="83">
        <v>3096.7</v>
      </c>
      <c r="E57" s="82">
        <v>7.2495000000000003</v>
      </c>
      <c r="F57" s="82"/>
    </row>
    <row r="58" spans="1:6" ht="18.75" customHeight="1" x14ac:dyDescent="0.25">
      <c r="A58" s="7">
        <v>330</v>
      </c>
      <c r="B58" s="81">
        <v>0.30370000000000003</v>
      </c>
      <c r="C58" s="83">
        <v>2844.6</v>
      </c>
      <c r="D58" s="83">
        <v>3117.9</v>
      </c>
      <c r="E58" s="82">
        <v>7.2849000000000004</v>
      </c>
      <c r="F58" s="82"/>
    </row>
    <row r="59" spans="1:6" ht="18.75" customHeight="1" x14ac:dyDescent="0.25">
      <c r="A59" s="7">
        <v>340</v>
      </c>
      <c r="B59" s="81">
        <v>0.30908999999999998</v>
      </c>
      <c r="C59" s="83">
        <v>2860.8</v>
      </c>
      <c r="D59" s="83">
        <v>3139</v>
      </c>
      <c r="E59" s="82">
        <v>7.3197000000000001</v>
      </c>
      <c r="F59" s="82"/>
    </row>
    <row r="60" spans="1:6" ht="18.75" customHeight="1" x14ac:dyDescent="0.25">
      <c r="A60" s="7">
        <v>350</v>
      </c>
      <c r="B60" s="81">
        <v>0.31447000000000003</v>
      </c>
      <c r="C60" s="83">
        <v>2877.2</v>
      </c>
      <c r="D60" s="83">
        <v>3160.2</v>
      </c>
      <c r="E60" s="82">
        <v>7.3539000000000003</v>
      </c>
      <c r="F60" s="82"/>
    </row>
    <row r="61" spans="1:6" ht="18.75" customHeight="1" x14ac:dyDescent="0.25">
      <c r="A61" s="7">
        <v>360</v>
      </c>
      <c r="B61" s="81">
        <v>0.31983</v>
      </c>
      <c r="C61" s="83">
        <v>2893.5</v>
      </c>
      <c r="D61" s="83">
        <v>3181.3</v>
      </c>
      <c r="E61" s="82">
        <v>7.3875999999999999</v>
      </c>
      <c r="F61" s="82"/>
    </row>
    <row r="62" spans="1:6" ht="18.75" customHeight="1" x14ac:dyDescent="0.25">
      <c r="A62" s="7">
        <v>370</v>
      </c>
      <c r="B62" s="81">
        <v>0.32517000000000001</v>
      </c>
      <c r="C62" s="83">
        <v>2909.8</v>
      </c>
      <c r="D62" s="83">
        <v>3202.5</v>
      </c>
      <c r="E62" s="82">
        <v>7.4207000000000001</v>
      </c>
      <c r="F62" s="82"/>
    </row>
    <row r="63" spans="1:6" ht="18.75" customHeight="1" x14ac:dyDescent="0.25">
      <c r="A63" s="7">
        <v>380</v>
      </c>
      <c r="B63" s="81">
        <v>0.33050000000000002</v>
      </c>
      <c r="C63" s="83">
        <v>2926.3</v>
      </c>
      <c r="D63" s="83">
        <v>3223.7</v>
      </c>
      <c r="E63" s="82">
        <v>7.4534000000000002</v>
      </c>
      <c r="F63" s="82"/>
    </row>
    <row r="64" spans="1:6" ht="18.75" customHeight="1" x14ac:dyDescent="0.25">
      <c r="A64" s="7">
        <v>390</v>
      </c>
      <c r="B64" s="81">
        <v>0.33582000000000001</v>
      </c>
      <c r="C64" s="83">
        <v>2942.6</v>
      </c>
      <c r="D64" s="83">
        <v>3244.8</v>
      </c>
      <c r="E64" s="82">
        <v>7.4855999999999998</v>
      </c>
      <c r="F64" s="82"/>
    </row>
    <row r="65" spans="1:6" ht="18.75" customHeight="1" x14ac:dyDescent="0.25">
      <c r="A65" s="7">
        <v>400</v>
      </c>
      <c r="B65" s="81">
        <v>0.34112999999999999</v>
      </c>
      <c r="C65" s="83">
        <v>2959.1</v>
      </c>
      <c r="D65" s="83">
        <v>3266.1</v>
      </c>
      <c r="E65" s="82">
        <v>7.5172999999999996</v>
      </c>
      <c r="F65" s="82"/>
    </row>
    <row r="66" spans="1:6" ht="18.75" customHeight="1" x14ac:dyDescent="0.25">
      <c r="A66" s="7">
        <v>410</v>
      </c>
      <c r="B66" s="81">
        <v>0.34643000000000002</v>
      </c>
      <c r="C66" s="83">
        <v>2975.5</v>
      </c>
      <c r="D66" s="83">
        <v>3287.3</v>
      </c>
      <c r="E66" s="82">
        <v>7.5486000000000004</v>
      </c>
      <c r="F66" s="82"/>
    </row>
    <row r="67" spans="1:6" ht="18.75" customHeight="1" x14ac:dyDescent="0.25">
      <c r="A67" s="7">
        <v>420</v>
      </c>
      <c r="B67" s="81">
        <v>0.35171999999999998</v>
      </c>
      <c r="C67" s="83">
        <v>2992.1</v>
      </c>
      <c r="D67" s="83">
        <v>3308.6</v>
      </c>
      <c r="E67" s="82">
        <v>7.5795000000000003</v>
      </c>
      <c r="F67" s="82"/>
    </row>
    <row r="68" spans="1:6" ht="18.75" customHeight="1" x14ac:dyDescent="0.25">
      <c r="A68" s="7">
        <v>430</v>
      </c>
      <c r="B68" s="81">
        <v>0.35699999999999998</v>
      </c>
      <c r="C68" s="83">
        <v>3008.6</v>
      </c>
      <c r="D68" s="83">
        <v>3329.9</v>
      </c>
      <c r="E68" s="82">
        <v>7.6101000000000001</v>
      </c>
      <c r="F68" s="82"/>
    </row>
    <row r="69" spans="1:6" ht="18.75" customHeight="1" x14ac:dyDescent="0.25">
      <c r="A69" s="7">
        <v>440</v>
      </c>
      <c r="B69" s="81">
        <v>0.36226999999999998</v>
      </c>
      <c r="C69" s="83">
        <v>3025.2</v>
      </c>
      <c r="D69" s="83">
        <v>3351.2</v>
      </c>
      <c r="E69" s="82">
        <v>7.6402000000000001</v>
      </c>
      <c r="F69" s="82"/>
    </row>
    <row r="70" spans="1:6" ht="18.75" customHeight="1" x14ac:dyDescent="0.25">
      <c r="A70" s="7">
        <v>450</v>
      </c>
      <c r="B70" s="81">
        <v>0.36753000000000002</v>
      </c>
      <c r="C70" s="83">
        <v>3041.8</v>
      </c>
      <c r="D70" s="83">
        <v>3372.6</v>
      </c>
      <c r="E70" s="82">
        <v>7.67</v>
      </c>
      <c r="F70" s="82"/>
    </row>
    <row r="71" spans="1:6" ht="18.75" customHeight="1" x14ac:dyDescent="0.25">
      <c r="A71" s="7">
        <v>460</v>
      </c>
      <c r="B71" s="81">
        <v>0.37279000000000001</v>
      </c>
      <c r="C71" s="83">
        <v>3058.5</v>
      </c>
      <c r="D71" s="83">
        <v>3394</v>
      </c>
      <c r="E71" s="82">
        <v>7.6993999999999998</v>
      </c>
      <c r="F71" s="82"/>
    </row>
    <row r="72" spans="1:6" ht="18.75" customHeight="1" x14ac:dyDescent="0.25">
      <c r="A72" s="7">
        <v>470</v>
      </c>
      <c r="B72" s="81">
        <v>0.37803999999999999</v>
      </c>
      <c r="C72" s="83">
        <v>3075.3</v>
      </c>
      <c r="D72" s="83">
        <v>3415.5</v>
      </c>
      <c r="E72" s="82">
        <v>7.7285000000000004</v>
      </c>
      <c r="F72" s="82"/>
    </row>
    <row r="73" spans="1:6" ht="18.75" customHeight="1" x14ac:dyDescent="0.25">
      <c r="A73" s="7">
        <v>480</v>
      </c>
      <c r="B73" s="81">
        <v>0.38329000000000002</v>
      </c>
      <c r="C73" s="83">
        <v>3092</v>
      </c>
      <c r="D73" s="83">
        <v>3437</v>
      </c>
      <c r="E73" s="82">
        <v>7.7572000000000001</v>
      </c>
      <c r="F73" s="82"/>
    </row>
    <row r="74" spans="1:6" ht="18.75" customHeight="1" x14ac:dyDescent="0.25">
      <c r="A74" s="7">
        <v>490</v>
      </c>
      <c r="B74" s="81">
        <v>0.38852999999999999</v>
      </c>
      <c r="C74" s="83">
        <v>3108.9</v>
      </c>
      <c r="D74" s="83">
        <v>3458.6</v>
      </c>
      <c r="E74" s="82">
        <v>7.7857000000000003</v>
      </c>
      <c r="F74" s="82"/>
    </row>
    <row r="75" spans="1:6" ht="18.75" customHeight="1" x14ac:dyDescent="0.25">
      <c r="A75" s="7">
        <v>500</v>
      </c>
      <c r="B75" s="81">
        <v>0.39376</v>
      </c>
      <c r="C75" s="83">
        <v>3125.8</v>
      </c>
      <c r="D75" s="83">
        <v>3480.2</v>
      </c>
      <c r="E75" s="82">
        <v>7.8137999999999996</v>
      </c>
      <c r="F75" s="82"/>
    </row>
    <row r="76" spans="1:6" ht="18.75" customHeight="1" x14ac:dyDescent="0.25">
      <c r="A76" s="7">
        <v>520</v>
      </c>
      <c r="B76" s="81">
        <v>0.40422000000000002</v>
      </c>
      <c r="C76" s="83">
        <v>3159.8</v>
      </c>
      <c r="D76" s="83">
        <v>3523.6</v>
      </c>
      <c r="E76" s="82">
        <v>7.8692000000000002</v>
      </c>
      <c r="F76" s="82"/>
    </row>
    <row r="77" spans="1:6" ht="18.75" customHeight="1" x14ac:dyDescent="0.25">
      <c r="A77" s="7">
        <v>540</v>
      </c>
      <c r="B77" s="81">
        <v>0.41465000000000002</v>
      </c>
      <c r="C77" s="83">
        <v>3194</v>
      </c>
      <c r="D77" s="83">
        <v>3567.2</v>
      </c>
      <c r="E77" s="82">
        <v>7.9234999999999998</v>
      </c>
      <c r="F77" s="82"/>
    </row>
    <row r="78" spans="1:6" ht="18.75" customHeight="1" x14ac:dyDescent="0.25">
      <c r="A78" s="7">
        <v>560</v>
      </c>
      <c r="B78" s="81">
        <v>0.42508000000000001</v>
      </c>
      <c r="C78" s="83">
        <v>3228.4</v>
      </c>
      <c r="D78" s="83">
        <v>3611</v>
      </c>
      <c r="E78" s="82">
        <v>7.9767999999999999</v>
      </c>
      <c r="F78" s="82"/>
    </row>
    <row r="79" spans="1:6" ht="18.75" customHeight="1" x14ac:dyDescent="0.25">
      <c r="A79" s="7">
        <v>580</v>
      </c>
      <c r="B79" s="81">
        <v>0.43548999999999999</v>
      </c>
      <c r="C79" s="83">
        <v>3263.2</v>
      </c>
      <c r="D79" s="83">
        <v>3655.1</v>
      </c>
      <c r="E79" s="82">
        <v>8.0289999999999999</v>
      </c>
      <c r="F79" s="82"/>
    </row>
    <row r="80" spans="1:6" ht="18.75" customHeight="1" x14ac:dyDescent="0.25">
      <c r="A80" s="7">
        <v>600</v>
      </c>
      <c r="B80" s="81">
        <v>0.44588</v>
      </c>
      <c r="C80" s="83">
        <v>3298.1</v>
      </c>
      <c r="D80" s="83">
        <v>3699.4</v>
      </c>
      <c r="E80" s="82">
        <v>8.0802999999999994</v>
      </c>
      <c r="F80" s="82"/>
    </row>
    <row r="81" spans="1:6" ht="18.75" customHeight="1" x14ac:dyDescent="0.25">
      <c r="A81" s="7">
        <v>620</v>
      </c>
      <c r="B81" s="81">
        <v>0.45627000000000001</v>
      </c>
      <c r="C81" s="83">
        <v>3333.3</v>
      </c>
      <c r="D81" s="83">
        <v>3743.9</v>
      </c>
      <c r="E81" s="82">
        <v>8.1308000000000007</v>
      </c>
      <c r="F81" s="82"/>
    </row>
    <row r="82" spans="1:6" ht="18.75" customHeight="1" x14ac:dyDescent="0.25">
      <c r="A82" s="7">
        <v>640</v>
      </c>
      <c r="B82" s="81">
        <v>0.46665000000000001</v>
      </c>
      <c r="C82" s="83">
        <v>3368.7</v>
      </c>
      <c r="D82" s="83">
        <v>3788.7</v>
      </c>
      <c r="E82" s="82">
        <v>8.1804000000000006</v>
      </c>
      <c r="F82" s="82"/>
    </row>
    <row r="83" spans="1:6" ht="18.75" customHeight="1" x14ac:dyDescent="0.25">
      <c r="A83" s="7">
        <v>660</v>
      </c>
      <c r="B83" s="81">
        <v>0.47702</v>
      </c>
      <c r="C83" s="83">
        <v>3404.5</v>
      </c>
      <c r="D83" s="83">
        <v>3833.8</v>
      </c>
      <c r="E83" s="82">
        <v>8.2292000000000005</v>
      </c>
      <c r="F83" s="82"/>
    </row>
    <row r="84" spans="1:6" ht="18.75" customHeight="1" x14ac:dyDescent="0.25">
      <c r="A84" s="7">
        <v>680</v>
      </c>
      <c r="B84" s="81">
        <v>0.48737999999999998</v>
      </c>
      <c r="C84" s="83">
        <v>3440.5</v>
      </c>
      <c r="D84" s="83">
        <v>3879.1</v>
      </c>
      <c r="E84" s="82">
        <v>8.2773000000000003</v>
      </c>
      <c r="F84" s="82"/>
    </row>
    <row r="85" spans="1:6" ht="18.75" customHeight="1" x14ac:dyDescent="0.25">
      <c r="A85" s="7">
        <v>700</v>
      </c>
      <c r="B85" s="81">
        <v>0.49773000000000001</v>
      </c>
      <c r="C85" s="83">
        <v>3476.7</v>
      </c>
      <c r="D85" s="83">
        <v>3924.7</v>
      </c>
      <c r="E85" s="82">
        <v>8.3246000000000002</v>
      </c>
      <c r="F85" s="82"/>
    </row>
    <row r="86" spans="1:6" ht="18.75" customHeight="1" x14ac:dyDescent="0.25">
      <c r="A86" s="7">
        <v>720</v>
      </c>
      <c r="B86" s="81">
        <v>0.50807999999999998</v>
      </c>
      <c r="C86" s="83">
        <v>3513.2</v>
      </c>
      <c r="D86" s="83">
        <v>3970.5</v>
      </c>
      <c r="E86" s="82">
        <v>8.3712</v>
      </c>
      <c r="F86" s="82"/>
    </row>
    <row r="87" spans="1:6" ht="18.75" customHeight="1" x14ac:dyDescent="0.25">
      <c r="A87" s="7">
        <v>740</v>
      </c>
      <c r="B87" s="81">
        <v>0.51841999999999999</v>
      </c>
      <c r="C87" s="83">
        <v>3550</v>
      </c>
      <c r="D87" s="83">
        <v>4016.6</v>
      </c>
      <c r="E87" s="82">
        <v>8.4171999999999993</v>
      </c>
      <c r="F87" s="82"/>
    </row>
    <row r="88" spans="1:6" ht="18.75" customHeight="1" x14ac:dyDescent="0.25">
      <c r="A88" s="7">
        <v>760</v>
      </c>
      <c r="B88" s="81">
        <v>0.52876000000000001</v>
      </c>
      <c r="C88" s="83">
        <v>3587.1</v>
      </c>
      <c r="D88" s="83">
        <v>4063</v>
      </c>
      <c r="E88" s="82">
        <v>8.4625000000000004</v>
      </c>
      <c r="F88" s="82"/>
    </row>
    <row r="89" spans="1:6" ht="18.75" customHeight="1" x14ac:dyDescent="0.25">
      <c r="A89" s="7">
        <v>780</v>
      </c>
      <c r="B89" s="81">
        <v>0.53908999999999996</v>
      </c>
      <c r="C89" s="83">
        <v>3624.4</v>
      </c>
      <c r="D89" s="83">
        <v>4109.6000000000004</v>
      </c>
      <c r="E89" s="82">
        <v>8.5071999999999992</v>
      </c>
      <c r="F89" s="82"/>
    </row>
    <row r="90" spans="1:6" ht="18.75" customHeight="1" x14ac:dyDescent="0.25">
      <c r="A90" s="7">
        <v>800</v>
      </c>
      <c r="B90" s="81">
        <v>0.54940999999999995</v>
      </c>
      <c r="C90" s="83">
        <v>3662.1</v>
      </c>
      <c r="D90" s="83">
        <v>4156.6000000000004</v>
      </c>
      <c r="E90" s="82">
        <v>8.5513999999999992</v>
      </c>
      <c r="F90" s="82"/>
    </row>
    <row r="91" spans="1:6" ht="18.75" customHeight="1" x14ac:dyDescent="0.25">
      <c r="A91" s="7">
        <v>820</v>
      </c>
      <c r="B91" s="81">
        <v>0.55974000000000002</v>
      </c>
      <c r="C91" s="83">
        <v>3699.9</v>
      </c>
      <c r="D91" s="83">
        <v>4203.7</v>
      </c>
      <c r="E91" s="82">
        <v>8.5949000000000009</v>
      </c>
      <c r="F91" s="82"/>
    </row>
    <row r="92" spans="1:6" ht="18.75" customHeight="1" x14ac:dyDescent="0.25">
      <c r="A92" s="7">
        <v>840</v>
      </c>
      <c r="B92" s="81">
        <v>0.57004999999999995</v>
      </c>
      <c r="C92" s="83">
        <v>3738.2</v>
      </c>
      <c r="D92" s="83">
        <v>4251.2</v>
      </c>
      <c r="E92" s="82">
        <v>8.6379000000000001</v>
      </c>
      <c r="F92" s="82"/>
    </row>
    <row r="93" spans="1:6" ht="18.75" customHeight="1" x14ac:dyDescent="0.25">
      <c r="A93" s="7">
        <v>860</v>
      </c>
      <c r="B93" s="81">
        <v>0.58037000000000005</v>
      </c>
      <c r="C93" s="83">
        <v>3776.6</v>
      </c>
      <c r="D93" s="83">
        <v>4298.8999999999996</v>
      </c>
      <c r="E93" s="82">
        <v>8.6804000000000006</v>
      </c>
      <c r="F93" s="82"/>
    </row>
    <row r="94" spans="1:6" ht="18.75" customHeight="1" x14ac:dyDescent="0.25">
      <c r="A94" s="7">
        <v>880</v>
      </c>
      <c r="B94" s="81">
        <v>0.59067999999999998</v>
      </c>
      <c r="C94" s="83">
        <v>3815.3</v>
      </c>
      <c r="D94" s="83">
        <v>4346.8999999999996</v>
      </c>
      <c r="E94" s="82">
        <v>8.7224000000000004</v>
      </c>
      <c r="F94" s="82"/>
    </row>
    <row r="95" spans="1:6" ht="18.75" customHeight="1" x14ac:dyDescent="0.25">
      <c r="A95" s="7">
        <v>900</v>
      </c>
      <c r="B95" s="81">
        <v>0.60099000000000002</v>
      </c>
      <c r="C95" s="83">
        <v>3854.2</v>
      </c>
      <c r="D95" s="83">
        <v>4395.1000000000004</v>
      </c>
      <c r="E95" s="82">
        <v>8.7638999999999996</v>
      </c>
      <c r="F95" s="82"/>
    </row>
    <row r="96" spans="1:6" ht="18.75" customHeight="1" x14ac:dyDescent="0.25">
      <c r="A96" s="7">
        <v>920</v>
      </c>
      <c r="B96" s="81">
        <v>0.61129999999999995</v>
      </c>
      <c r="C96" s="83">
        <v>3893.4</v>
      </c>
      <c r="D96" s="83">
        <v>4443.6000000000004</v>
      </c>
      <c r="E96" s="82">
        <v>8.8048999999999999</v>
      </c>
      <c r="F96" s="82"/>
    </row>
    <row r="97" spans="1:6" ht="18.75" customHeight="1" x14ac:dyDescent="0.25">
      <c r="A97" s="7">
        <v>940</v>
      </c>
      <c r="B97" s="81">
        <v>0.62160000000000004</v>
      </c>
      <c r="C97" s="83">
        <v>3933</v>
      </c>
      <c r="D97" s="83">
        <v>4492.3999999999996</v>
      </c>
      <c r="E97" s="82">
        <v>8.8453999999999997</v>
      </c>
      <c r="F97" s="82"/>
    </row>
    <row r="98" spans="1:6" ht="18.75" customHeight="1" x14ac:dyDescent="0.25">
      <c r="A98" s="7">
        <v>960</v>
      </c>
      <c r="B98" s="81">
        <v>0.63190000000000002</v>
      </c>
      <c r="C98" s="83">
        <v>3972.7</v>
      </c>
      <c r="D98" s="83">
        <v>4541.3999999999996</v>
      </c>
      <c r="E98" s="82">
        <v>8.8855000000000004</v>
      </c>
      <c r="F98" s="82"/>
    </row>
    <row r="99" spans="1:6" ht="18.75" customHeight="1" x14ac:dyDescent="0.25">
      <c r="A99" s="7">
        <v>980</v>
      </c>
      <c r="B99" s="81">
        <v>0.64219999999999999</v>
      </c>
      <c r="C99" s="83">
        <v>4012.7</v>
      </c>
      <c r="D99" s="83">
        <v>4590.7</v>
      </c>
      <c r="E99" s="82">
        <v>8.9251000000000005</v>
      </c>
      <c r="F99" s="82"/>
    </row>
    <row r="100" spans="1:6" ht="18.75" customHeight="1" x14ac:dyDescent="0.25">
      <c r="A100" s="7">
        <v>1000</v>
      </c>
      <c r="B100" s="81">
        <v>0.65249999999999997</v>
      </c>
      <c r="C100" s="83">
        <v>4053</v>
      </c>
      <c r="D100" s="83">
        <v>4640.2</v>
      </c>
      <c r="E100" s="82">
        <v>8.9642999999999997</v>
      </c>
      <c r="F100" s="82"/>
    </row>
  </sheetData>
  <mergeCells count="1">
    <mergeCell ref="A1:H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H100"/>
  <sheetViews>
    <sheetView topLeftCell="A24" workbookViewId="0">
      <selection activeCell="A41" sqref="A41:XFD41"/>
    </sheetView>
  </sheetViews>
  <sheetFormatPr defaultRowHeight="13.2" x14ac:dyDescent="0.25"/>
  <cols>
    <col min="1" max="1" width="8.77734375" customWidth="1"/>
    <col min="2" max="2" width="9.441406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66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9.9970000000000007E-4</v>
      </c>
      <c r="C5" s="80">
        <v>-0.02</v>
      </c>
      <c r="D5" s="80">
        <v>0.98</v>
      </c>
      <c r="E5" s="81">
        <v>-9.0000000000000006E-5</v>
      </c>
      <c r="F5" s="81"/>
      <c r="G5" s="28"/>
      <c r="H5" s="28"/>
    </row>
    <row r="6" spans="1:8" ht="18.75" customHeight="1" x14ac:dyDescent="0.25">
      <c r="A6" s="7">
        <v>5</v>
      </c>
      <c r="B6" s="79">
        <v>9.9959000000000007E-4</v>
      </c>
      <c r="C6" s="80">
        <v>21.01</v>
      </c>
      <c r="D6" s="80">
        <v>22.01</v>
      </c>
      <c r="E6" s="81">
        <v>7.6240000000000002E-2</v>
      </c>
      <c r="F6" s="81"/>
      <c r="G6" s="28"/>
      <c r="H6" s="28"/>
    </row>
    <row r="7" spans="1:8" ht="18.75" customHeight="1" x14ac:dyDescent="0.25">
      <c r="A7" s="7">
        <v>10</v>
      </c>
      <c r="B7" s="79">
        <v>9.9986999999999993E-4</v>
      </c>
      <c r="C7" s="80">
        <v>41.99</v>
      </c>
      <c r="D7" s="80">
        <v>42.99</v>
      </c>
      <c r="E7" s="81">
        <v>0.151</v>
      </c>
      <c r="F7" s="81"/>
      <c r="G7" s="28"/>
      <c r="H7" s="28"/>
    </row>
    <row r="8" spans="1:8" ht="18.75" customHeight="1" x14ac:dyDescent="0.25">
      <c r="A8" s="7">
        <v>15</v>
      </c>
      <c r="B8" s="79">
        <v>1.00048E-3</v>
      </c>
      <c r="C8" s="80">
        <v>62.94</v>
      </c>
      <c r="D8" s="80">
        <v>63.94</v>
      </c>
      <c r="E8" s="81">
        <v>0.22431000000000001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1.0013800000000001E-3</v>
      </c>
      <c r="C9" s="80">
        <v>83.85</v>
      </c>
      <c r="D9" s="80">
        <v>84.85</v>
      </c>
      <c r="E9" s="81">
        <v>0.29627999999999999</v>
      </c>
      <c r="F9" s="81"/>
      <c r="G9" s="28"/>
      <c r="H9" s="28"/>
    </row>
    <row r="10" spans="1:8" ht="18.75" customHeight="1" x14ac:dyDescent="0.25">
      <c r="A10" s="7">
        <v>25</v>
      </c>
      <c r="B10" s="79">
        <v>1.0025500000000001E-3</v>
      </c>
      <c r="C10" s="80">
        <v>104.75</v>
      </c>
      <c r="D10" s="80">
        <v>105.75</v>
      </c>
      <c r="E10" s="81">
        <v>0.36697000000000002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1.0039700000000001E-3</v>
      </c>
      <c r="C11" s="80">
        <v>125.64</v>
      </c>
      <c r="D11" s="80">
        <v>126.64</v>
      </c>
      <c r="E11" s="81">
        <v>0.43645</v>
      </c>
      <c r="F11" s="81"/>
      <c r="G11" s="28"/>
      <c r="H11" s="28"/>
    </row>
    <row r="12" spans="1:8" ht="18.75" customHeight="1" x14ac:dyDescent="0.25">
      <c r="A12" s="7">
        <v>35</v>
      </c>
      <c r="B12" s="79">
        <v>1.0055999999999999E-3</v>
      </c>
      <c r="C12" s="80">
        <v>146.52000000000001</v>
      </c>
      <c r="D12" s="80">
        <v>147.53</v>
      </c>
      <c r="E12" s="81">
        <v>0.50478000000000001</v>
      </c>
      <c r="F12" s="81"/>
      <c r="G12" s="28"/>
      <c r="H12" s="28"/>
    </row>
    <row r="13" spans="1:8" ht="18.75" customHeight="1" x14ac:dyDescent="0.25">
      <c r="A13" s="7">
        <v>40</v>
      </c>
      <c r="B13" s="79">
        <v>1.0074400000000001E-3</v>
      </c>
      <c r="C13" s="80">
        <v>167.4</v>
      </c>
      <c r="D13" s="80">
        <v>168.41</v>
      </c>
      <c r="E13" s="81">
        <v>0.57201999999999997</v>
      </c>
      <c r="F13" s="81"/>
      <c r="G13" s="28"/>
      <c r="H13" s="28"/>
    </row>
    <row r="14" spans="1:8" ht="18.75" customHeight="1" x14ac:dyDescent="0.25">
      <c r="A14" s="7">
        <v>45</v>
      </c>
      <c r="B14" s="79">
        <v>1.0094800000000001E-3</v>
      </c>
      <c r="C14" s="80">
        <v>188.29</v>
      </c>
      <c r="D14" s="80">
        <v>189.3</v>
      </c>
      <c r="E14" s="81">
        <v>0.63819000000000004</v>
      </c>
      <c r="F14" s="81"/>
      <c r="G14" s="28"/>
      <c r="H14" s="28"/>
    </row>
    <row r="15" spans="1:8" ht="18.75" customHeight="1" x14ac:dyDescent="0.25">
      <c r="A15" s="7">
        <v>50</v>
      </c>
      <c r="B15" s="79">
        <v>1.0117100000000001E-3</v>
      </c>
      <c r="C15" s="80">
        <v>209.18</v>
      </c>
      <c r="D15" s="80">
        <v>210.19</v>
      </c>
      <c r="E15" s="81">
        <v>0.70335000000000003</v>
      </c>
      <c r="F15" s="81"/>
      <c r="G15" s="28"/>
      <c r="H15" s="28"/>
    </row>
    <row r="16" spans="1:8" ht="18.75" customHeight="1" x14ac:dyDescent="0.25">
      <c r="A16" s="7">
        <v>55</v>
      </c>
      <c r="B16" s="79">
        <v>1.0141099999999999E-3</v>
      </c>
      <c r="C16" s="80">
        <v>230.08</v>
      </c>
      <c r="D16" s="80">
        <v>231.09</v>
      </c>
      <c r="E16" s="81">
        <v>0.76753000000000005</v>
      </c>
      <c r="F16" s="81"/>
      <c r="G16" s="28"/>
      <c r="H16" s="28"/>
    </row>
    <row r="17" spans="1:8" ht="18.75" customHeight="1" x14ac:dyDescent="0.25">
      <c r="A17" s="7">
        <v>60</v>
      </c>
      <c r="B17" s="79">
        <v>1.01669E-3</v>
      </c>
      <c r="C17" s="80">
        <v>250.98</v>
      </c>
      <c r="D17" s="80">
        <v>252</v>
      </c>
      <c r="E17" s="81">
        <v>0.83077000000000001</v>
      </c>
      <c r="F17" s="81"/>
      <c r="G17" s="28"/>
      <c r="H17" s="28"/>
    </row>
    <row r="18" spans="1:8" ht="18.75" customHeight="1" x14ac:dyDescent="0.25">
      <c r="A18" s="7">
        <v>65</v>
      </c>
      <c r="B18" s="79">
        <v>1.01943E-3</v>
      </c>
      <c r="C18" s="80">
        <v>271.89999999999998</v>
      </c>
      <c r="D18" s="80">
        <v>272.92</v>
      </c>
      <c r="E18" s="81">
        <v>0.8931</v>
      </c>
      <c r="F18" s="81"/>
      <c r="G18" s="28"/>
      <c r="H18" s="28"/>
    </row>
    <row r="19" spans="1:8" ht="18.75" customHeight="1" x14ac:dyDescent="0.25">
      <c r="A19" s="7">
        <v>70</v>
      </c>
      <c r="B19" s="79">
        <v>1.0223299999999999E-3</v>
      </c>
      <c r="C19" s="80">
        <v>292.83999999999997</v>
      </c>
      <c r="D19" s="80">
        <v>293.86</v>
      </c>
      <c r="E19" s="81">
        <v>0.95455000000000001</v>
      </c>
      <c r="F19" s="81"/>
      <c r="G19" s="28"/>
      <c r="H19" s="28"/>
    </row>
    <row r="20" spans="1:8" ht="18.75" customHeight="1" x14ac:dyDescent="0.25">
      <c r="A20" s="7">
        <v>75</v>
      </c>
      <c r="B20" s="79">
        <v>1.0253899999999999E-3</v>
      </c>
      <c r="C20" s="80">
        <v>313.77999999999997</v>
      </c>
      <c r="D20" s="80">
        <v>314.81</v>
      </c>
      <c r="E20" s="82">
        <v>1.0152000000000001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1.0286E-3</v>
      </c>
      <c r="C21" s="80">
        <v>334.74</v>
      </c>
      <c r="D21" s="80">
        <v>335.77</v>
      </c>
      <c r="E21" s="82">
        <v>1.075</v>
      </c>
      <c r="F21" s="82"/>
      <c r="G21" s="28"/>
      <c r="H21" s="28"/>
    </row>
    <row r="22" spans="1:8" ht="18.75" customHeight="1" x14ac:dyDescent="0.25">
      <c r="A22" s="7">
        <v>85</v>
      </c>
      <c r="B22" s="79">
        <v>1.0319699999999999E-3</v>
      </c>
      <c r="C22" s="80">
        <v>355.72</v>
      </c>
      <c r="D22" s="80">
        <v>356.75</v>
      </c>
      <c r="E22" s="82">
        <v>1.1339999999999999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1.0355E-3</v>
      </c>
      <c r="C23" s="80">
        <v>376.72</v>
      </c>
      <c r="D23" s="80">
        <v>377.76</v>
      </c>
      <c r="E23" s="82">
        <v>1.1921999999999999</v>
      </c>
      <c r="F23" s="82"/>
      <c r="G23" s="28"/>
      <c r="H23" s="28"/>
    </row>
    <row r="24" spans="1:8" ht="18.75" customHeight="1" x14ac:dyDescent="0.25">
      <c r="A24" s="7">
        <v>95</v>
      </c>
      <c r="B24" s="79">
        <v>1.0391700000000001E-3</v>
      </c>
      <c r="C24" s="80">
        <v>397.75</v>
      </c>
      <c r="D24" s="80">
        <v>398.79</v>
      </c>
      <c r="E24" s="82">
        <v>1.2497</v>
      </c>
      <c r="F24" s="82"/>
      <c r="G24" s="28"/>
      <c r="H24" s="28"/>
    </row>
    <row r="25" spans="1:8" ht="18.75" customHeight="1" x14ac:dyDescent="0.25">
      <c r="A25" s="7">
        <v>100</v>
      </c>
      <c r="B25" s="79">
        <v>1.0430000000000001E-3</v>
      </c>
      <c r="C25" s="80">
        <v>418.8</v>
      </c>
      <c r="D25" s="80">
        <v>419.84</v>
      </c>
      <c r="E25" s="82">
        <v>1.3065</v>
      </c>
      <c r="F25" s="82"/>
      <c r="G25" s="28"/>
      <c r="H25" s="28"/>
    </row>
    <row r="26" spans="1:8" ht="18.75" customHeight="1" x14ac:dyDescent="0.25">
      <c r="A26" s="7">
        <v>105</v>
      </c>
      <c r="B26" s="79">
        <v>1.04699E-3</v>
      </c>
      <c r="C26" s="80">
        <v>439.87</v>
      </c>
      <c r="D26" s="80">
        <v>440.92</v>
      </c>
      <c r="E26" s="82">
        <v>1.3626</v>
      </c>
      <c r="F26" s="82"/>
      <c r="G26" s="28"/>
      <c r="H26" s="28"/>
    </row>
    <row r="27" spans="1:8" ht="18.75" customHeight="1" x14ac:dyDescent="0.25">
      <c r="A27" s="7">
        <v>110</v>
      </c>
      <c r="B27" s="79">
        <v>1.05112E-3</v>
      </c>
      <c r="C27" s="80">
        <v>460.99</v>
      </c>
      <c r="D27" s="80">
        <v>462.04</v>
      </c>
      <c r="E27" s="82">
        <v>1.4180999999999999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1.0554200000000001E-3</v>
      </c>
      <c r="C28" s="80">
        <v>482.13</v>
      </c>
      <c r="D28" s="80">
        <v>483.19</v>
      </c>
      <c r="E28" s="82">
        <v>1.4729000000000001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1.0598700000000001E-3</v>
      </c>
      <c r="C29" s="80">
        <v>503.32</v>
      </c>
      <c r="D29" s="80">
        <v>504.38</v>
      </c>
      <c r="E29" s="82">
        <v>1.5271999999999999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1.06449E-3</v>
      </c>
      <c r="C30" s="80">
        <v>524.54</v>
      </c>
      <c r="D30" s="80">
        <v>525.6</v>
      </c>
      <c r="E30" s="82">
        <v>1.5808</v>
      </c>
      <c r="F30" s="82"/>
      <c r="G30" s="28"/>
      <c r="H30" s="28"/>
    </row>
    <row r="31" spans="1:8" ht="18.75" customHeight="1" x14ac:dyDescent="0.25">
      <c r="A31" s="7">
        <v>130</v>
      </c>
      <c r="B31" s="79">
        <v>1.06927E-3</v>
      </c>
      <c r="C31" s="80">
        <v>545.80999999999995</v>
      </c>
      <c r="D31" s="80">
        <v>546.88</v>
      </c>
      <c r="E31" s="82">
        <v>1.6338999999999999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1.07423E-3</v>
      </c>
      <c r="C32" s="80">
        <v>567.13</v>
      </c>
      <c r="D32" s="80">
        <v>568.20000000000005</v>
      </c>
      <c r="E32" s="82">
        <v>1.6865000000000001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1.07935E-3</v>
      </c>
      <c r="C33" s="80">
        <v>588.5</v>
      </c>
      <c r="D33" s="80">
        <v>589.58000000000004</v>
      </c>
      <c r="E33" s="82">
        <v>1.7385999999999999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1.0846600000000001E-3</v>
      </c>
      <c r="C34" s="80">
        <v>609.92999999999995</v>
      </c>
      <c r="D34" s="80">
        <v>611.01</v>
      </c>
      <c r="E34" s="82">
        <v>1.7901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1.09015E-3</v>
      </c>
      <c r="C35" s="80">
        <v>631.41</v>
      </c>
      <c r="D35" s="80">
        <v>632.5</v>
      </c>
      <c r="E35" s="82">
        <v>1.8411999999999999</v>
      </c>
      <c r="F35" s="82"/>
      <c r="G35" s="28"/>
      <c r="H35" s="28"/>
    </row>
    <row r="36" spans="1:8" ht="18.75" customHeight="1" x14ac:dyDescent="0.25">
      <c r="A36" s="7">
        <v>155</v>
      </c>
      <c r="B36" s="79">
        <v>1.0958299999999999E-3</v>
      </c>
      <c r="C36" s="80">
        <v>652.96</v>
      </c>
      <c r="D36" s="80">
        <v>654.05999999999995</v>
      </c>
      <c r="E36" s="82">
        <v>1.8918999999999999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1.1017100000000001E-3</v>
      </c>
      <c r="C37" s="80">
        <v>674.6</v>
      </c>
      <c r="D37" s="80">
        <v>675.7</v>
      </c>
      <c r="E37" s="82">
        <v>1.9420999999999999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1.1077999999999999E-3</v>
      </c>
      <c r="C38" s="80">
        <v>696.3</v>
      </c>
      <c r="D38" s="80">
        <v>697.41</v>
      </c>
      <c r="E38" s="82">
        <v>1.9919</v>
      </c>
      <c r="F38" s="82"/>
      <c r="G38" s="28"/>
      <c r="H38" s="28"/>
    </row>
    <row r="39" spans="1:8" ht="18.75" customHeight="1" x14ac:dyDescent="0.25">
      <c r="A39" s="7">
        <v>170</v>
      </c>
      <c r="B39" s="79">
        <v>1.1141E-3</v>
      </c>
      <c r="C39" s="80">
        <v>718.09</v>
      </c>
      <c r="D39" s="80">
        <v>719.2</v>
      </c>
      <c r="E39" s="82">
        <v>2.0413999999999999</v>
      </c>
      <c r="F39" s="82"/>
      <c r="G39" s="28"/>
      <c r="H39" s="28"/>
    </row>
    <row r="40" spans="1:8" ht="18.75" customHeight="1" x14ac:dyDescent="0.25">
      <c r="A40" s="7">
        <v>175</v>
      </c>
      <c r="B40" s="79">
        <v>1.1206300000000001E-3</v>
      </c>
      <c r="C40" s="80">
        <v>739.96</v>
      </c>
      <c r="D40" s="80">
        <v>741.08</v>
      </c>
      <c r="E40" s="82">
        <v>2.0905</v>
      </c>
      <c r="F40" s="82"/>
      <c r="G40" s="28"/>
      <c r="H40" s="28"/>
    </row>
    <row r="41" spans="1:8" ht="18.75" customHeight="1" x14ac:dyDescent="0.25">
      <c r="A41" s="7">
        <v>180</v>
      </c>
      <c r="B41" s="81">
        <v>0.19444</v>
      </c>
      <c r="C41" s="83">
        <v>2583</v>
      </c>
      <c r="D41" s="83">
        <v>2777.4</v>
      </c>
      <c r="E41" s="82">
        <v>6.5857000000000001</v>
      </c>
      <c r="F41" s="82"/>
      <c r="G41" s="28"/>
      <c r="H41" s="28"/>
    </row>
    <row r="42" spans="1:8" ht="18.75" customHeight="1" x14ac:dyDescent="0.25">
      <c r="A42" s="7">
        <v>185</v>
      </c>
      <c r="B42" s="81">
        <v>0.19742000000000001</v>
      </c>
      <c r="C42" s="83">
        <v>2593.3000000000002</v>
      </c>
      <c r="D42" s="83">
        <v>2790.7</v>
      </c>
      <c r="E42" s="82">
        <v>6.6147999999999998</v>
      </c>
      <c r="F42" s="82"/>
      <c r="G42" s="28"/>
      <c r="H42" s="28"/>
    </row>
    <row r="43" spans="1:8" ht="18.75" customHeight="1" x14ac:dyDescent="0.25">
      <c r="A43" s="7">
        <v>190</v>
      </c>
      <c r="B43" s="81">
        <v>0.20033999999999999</v>
      </c>
      <c r="C43" s="83">
        <v>2603.1999999999998</v>
      </c>
      <c r="D43" s="83">
        <v>2803.5</v>
      </c>
      <c r="E43" s="82">
        <v>6.6426999999999996</v>
      </c>
      <c r="F43" s="82"/>
      <c r="G43" s="28"/>
      <c r="H43" s="28"/>
    </row>
    <row r="44" spans="1:8" ht="18.75" customHeight="1" x14ac:dyDescent="0.25">
      <c r="A44" s="7">
        <v>195</v>
      </c>
      <c r="B44" s="81">
        <v>0.20319999999999999</v>
      </c>
      <c r="C44" s="83">
        <v>2612.8000000000002</v>
      </c>
      <c r="D44" s="83">
        <v>2816</v>
      </c>
      <c r="E44" s="82">
        <v>6.6695000000000002</v>
      </c>
      <c r="F44" s="82"/>
      <c r="G44" s="28"/>
      <c r="H44" s="28"/>
    </row>
    <row r="45" spans="1:8" ht="18.75" customHeight="1" x14ac:dyDescent="0.25">
      <c r="A45" s="7">
        <v>200</v>
      </c>
      <c r="B45" s="81">
        <v>0.20602000000000001</v>
      </c>
      <c r="C45" s="83">
        <v>2622.3</v>
      </c>
      <c r="D45" s="83">
        <v>2828.3</v>
      </c>
      <c r="E45" s="82">
        <v>6.6955</v>
      </c>
      <c r="F45" s="82"/>
      <c r="G45" s="28"/>
      <c r="H45" s="28"/>
    </row>
    <row r="46" spans="1:8" ht="18.75" customHeight="1" x14ac:dyDescent="0.25">
      <c r="A46" s="7">
        <v>210</v>
      </c>
      <c r="B46" s="81">
        <v>0.21156</v>
      </c>
      <c r="C46" s="83">
        <v>2640.6</v>
      </c>
      <c r="D46" s="83">
        <v>2852.2</v>
      </c>
      <c r="E46" s="82">
        <v>6.7455999999999996</v>
      </c>
      <c r="F46" s="82"/>
      <c r="G46" s="28"/>
      <c r="H46" s="28"/>
    </row>
    <row r="47" spans="1:8" ht="18.75" customHeight="1" x14ac:dyDescent="0.25">
      <c r="A47" s="7">
        <v>220</v>
      </c>
      <c r="B47" s="81">
        <v>0.21698000000000001</v>
      </c>
      <c r="C47" s="83">
        <v>2658.5</v>
      </c>
      <c r="D47" s="83">
        <v>2875.5</v>
      </c>
      <c r="E47" s="82">
        <v>6.7934000000000001</v>
      </c>
      <c r="F47" s="82"/>
      <c r="G47" s="28"/>
      <c r="H47" s="28"/>
    </row>
    <row r="48" spans="1:8" ht="18.75" customHeight="1" x14ac:dyDescent="0.25">
      <c r="A48" s="7">
        <v>230</v>
      </c>
      <c r="B48" s="81">
        <v>0.22231000000000001</v>
      </c>
      <c r="C48" s="83">
        <v>2676.1</v>
      </c>
      <c r="D48" s="83">
        <v>2898.4</v>
      </c>
      <c r="E48" s="82">
        <v>6.8392999999999997</v>
      </c>
      <c r="F48" s="82"/>
      <c r="G48" s="28"/>
      <c r="H48" s="28"/>
    </row>
    <row r="49" spans="1:8" ht="18.75" customHeight="1" x14ac:dyDescent="0.25">
      <c r="A49" s="7">
        <v>240</v>
      </c>
      <c r="B49" s="81">
        <v>0.22756000000000001</v>
      </c>
      <c r="C49" s="83">
        <v>2693.3</v>
      </c>
      <c r="D49" s="83">
        <v>2920.9</v>
      </c>
      <c r="E49" s="82">
        <v>6.8836000000000004</v>
      </c>
      <c r="F49" s="82"/>
      <c r="G49" s="28"/>
      <c r="H49" s="28"/>
    </row>
    <row r="50" spans="1:8" ht="18.75" customHeight="1" x14ac:dyDescent="0.25">
      <c r="A50" s="7">
        <v>250</v>
      </c>
      <c r="B50" s="81">
        <v>0.23275000000000001</v>
      </c>
      <c r="C50" s="83">
        <v>2710.4</v>
      </c>
      <c r="D50" s="83">
        <v>2943.1</v>
      </c>
      <c r="E50" s="82">
        <v>6.9264999999999999</v>
      </c>
      <c r="F50" s="82"/>
      <c r="G50" s="28"/>
      <c r="H50" s="28"/>
    </row>
    <row r="51" spans="1:8" ht="18.75" customHeight="1" x14ac:dyDescent="0.25">
      <c r="A51" s="7">
        <v>260</v>
      </c>
      <c r="B51" s="81">
        <v>0.23788000000000001</v>
      </c>
      <c r="C51" s="83">
        <v>2727.2</v>
      </c>
      <c r="D51" s="83">
        <v>2965.1</v>
      </c>
      <c r="E51" s="82">
        <v>6.9680999999999997</v>
      </c>
      <c r="F51" s="82"/>
      <c r="G51" s="28"/>
      <c r="H51" s="28"/>
    </row>
    <row r="52" spans="1:8" ht="18.75" customHeight="1" x14ac:dyDescent="0.25">
      <c r="A52" s="7">
        <v>270</v>
      </c>
      <c r="B52" s="81">
        <v>0.24296000000000001</v>
      </c>
      <c r="C52" s="83">
        <v>2743.9</v>
      </c>
      <c r="D52" s="83">
        <v>2986.9</v>
      </c>
      <c r="E52" s="82">
        <v>7.0087000000000002</v>
      </c>
      <c r="F52" s="82"/>
      <c r="G52" s="28"/>
      <c r="H52" s="28"/>
    </row>
    <row r="53" spans="1:8" ht="18.75" customHeight="1" x14ac:dyDescent="0.25">
      <c r="A53" s="7">
        <v>280</v>
      </c>
      <c r="B53" s="81">
        <v>0.24801000000000001</v>
      </c>
      <c r="C53" s="83">
        <v>2760.6</v>
      </c>
      <c r="D53" s="83">
        <v>3008.6</v>
      </c>
      <c r="E53" s="82">
        <v>7.0481999999999996</v>
      </c>
      <c r="F53" s="82"/>
      <c r="G53" s="28"/>
      <c r="H53" s="28"/>
    </row>
    <row r="54" spans="1:8" ht="18.75" customHeight="1" x14ac:dyDescent="0.25">
      <c r="A54" s="7">
        <v>290</v>
      </c>
      <c r="B54" s="81">
        <v>0.25301000000000001</v>
      </c>
      <c r="C54" s="83">
        <v>2777.2</v>
      </c>
      <c r="D54" s="83">
        <v>3030.2</v>
      </c>
      <c r="E54" s="82">
        <v>7.0868000000000002</v>
      </c>
      <c r="F54" s="82"/>
      <c r="G54" s="28"/>
      <c r="H54" s="28"/>
    </row>
    <row r="55" spans="1:8" ht="18.75" customHeight="1" x14ac:dyDescent="0.25">
      <c r="A55" s="7">
        <v>300</v>
      </c>
      <c r="B55" s="81">
        <v>0.25799</v>
      </c>
      <c r="C55" s="83">
        <v>2793.6</v>
      </c>
      <c r="D55" s="83">
        <v>3051.6</v>
      </c>
      <c r="E55" s="82">
        <v>7.1246</v>
      </c>
      <c r="F55" s="82"/>
      <c r="G55" s="28"/>
      <c r="H55" s="28"/>
    </row>
    <row r="56" spans="1:8" ht="18.75" customHeight="1" x14ac:dyDescent="0.25">
      <c r="A56" s="7">
        <v>310</v>
      </c>
      <c r="B56" s="81">
        <v>0.26294000000000001</v>
      </c>
      <c r="C56" s="83">
        <v>2810.1</v>
      </c>
      <c r="D56" s="83">
        <v>3073</v>
      </c>
      <c r="E56" s="82">
        <v>7.1616</v>
      </c>
      <c r="F56" s="82"/>
      <c r="G56" s="28"/>
      <c r="H56" s="28"/>
    </row>
    <row r="57" spans="1:8" ht="18.75" customHeight="1" x14ac:dyDescent="0.25">
      <c r="A57" s="7">
        <v>320</v>
      </c>
      <c r="B57" s="81">
        <v>0.26785999999999999</v>
      </c>
      <c r="C57" s="83">
        <v>2826.5</v>
      </c>
      <c r="D57" s="83">
        <v>3094.4</v>
      </c>
      <c r="E57" s="82">
        <v>7.1978999999999997</v>
      </c>
      <c r="F57" s="82"/>
      <c r="G57" s="28"/>
      <c r="H57" s="28"/>
    </row>
    <row r="58" spans="1:8" ht="18.75" customHeight="1" x14ac:dyDescent="0.25">
      <c r="A58" s="7">
        <v>330</v>
      </c>
      <c r="B58" s="81">
        <v>0.27276</v>
      </c>
      <c r="C58" s="83">
        <v>2842.9</v>
      </c>
      <c r="D58" s="83">
        <v>3115.7</v>
      </c>
      <c r="E58" s="82">
        <v>7.2335000000000003</v>
      </c>
      <c r="F58" s="82"/>
      <c r="G58" s="28"/>
      <c r="H58" s="28"/>
    </row>
    <row r="59" spans="1:8" ht="18.75" customHeight="1" x14ac:dyDescent="0.25">
      <c r="A59" s="7">
        <v>340</v>
      </c>
      <c r="B59" s="81">
        <v>0.27764</v>
      </c>
      <c r="C59" s="83">
        <v>2859.3</v>
      </c>
      <c r="D59" s="83">
        <v>3136.9</v>
      </c>
      <c r="E59" s="82">
        <v>7.2685000000000004</v>
      </c>
      <c r="F59" s="82"/>
      <c r="G59" s="28"/>
      <c r="H59" s="28"/>
    </row>
    <row r="60" spans="1:8" ht="18.75" customHeight="1" x14ac:dyDescent="0.25">
      <c r="A60" s="7">
        <v>350</v>
      </c>
      <c r="B60" s="81">
        <v>0.28249999999999997</v>
      </c>
      <c r="C60" s="83">
        <v>2875.7</v>
      </c>
      <c r="D60" s="83">
        <v>3158.2</v>
      </c>
      <c r="E60" s="82">
        <v>7.3029000000000002</v>
      </c>
      <c r="F60" s="82"/>
      <c r="G60" s="28"/>
      <c r="H60" s="28"/>
    </row>
    <row r="61" spans="1:8" ht="18.75" customHeight="1" x14ac:dyDescent="0.25">
      <c r="A61" s="7">
        <v>360</v>
      </c>
      <c r="B61" s="81">
        <v>0.28734999999999999</v>
      </c>
      <c r="C61" s="83">
        <v>2892</v>
      </c>
      <c r="D61" s="83">
        <v>3179.4</v>
      </c>
      <c r="E61" s="82">
        <v>7.3367000000000004</v>
      </c>
      <c r="F61" s="82"/>
      <c r="G61" s="28"/>
      <c r="H61" s="28"/>
    </row>
    <row r="62" spans="1:8" ht="18.75" customHeight="1" x14ac:dyDescent="0.25">
      <c r="A62" s="7">
        <v>370</v>
      </c>
      <c r="B62" s="81">
        <v>0.29218</v>
      </c>
      <c r="C62" s="83">
        <v>2908.5</v>
      </c>
      <c r="D62" s="83">
        <v>3200.7</v>
      </c>
      <c r="E62" s="82">
        <v>7.37</v>
      </c>
      <c r="F62" s="82"/>
      <c r="G62" s="28"/>
      <c r="H62" s="28"/>
    </row>
    <row r="63" spans="1:8" ht="18.75" customHeight="1" x14ac:dyDescent="0.25">
      <c r="A63" s="7">
        <v>380</v>
      </c>
      <c r="B63" s="81">
        <v>0.29699999999999999</v>
      </c>
      <c r="C63" s="83">
        <v>2924.9</v>
      </c>
      <c r="D63" s="83">
        <v>3221.9</v>
      </c>
      <c r="E63" s="82">
        <v>7.4028</v>
      </c>
      <c r="F63" s="82"/>
      <c r="G63" s="28"/>
      <c r="H63" s="28"/>
    </row>
    <row r="64" spans="1:8" ht="18.75" customHeight="1" x14ac:dyDescent="0.25">
      <c r="A64" s="7">
        <v>390</v>
      </c>
      <c r="B64" s="81">
        <v>0.30181000000000002</v>
      </c>
      <c r="C64" s="83">
        <v>2941.4</v>
      </c>
      <c r="D64" s="83">
        <v>3243.2</v>
      </c>
      <c r="E64" s="82">
        <v>7.4351000000000003</v>
      </c>
      <c r="F64" s="82"/>
      <c r="G64" s="28"/>
      <c r="H64" s="28"/>
    </row>
    <row r="65" spans="1:8" ht="18.75" customHeight="1" x14ac:dyDescent="0.25">
      <c r="A65" s="7">
        <v>400</v>
      </c>
      <c r="B65" s="81">
        <v>0.30660999999999999</v>
      </c>
      <c r="C65" s="83">
        <v>2957.9</v>
      </c>
      <c r="D65" s="83">
        <v>3264.5</v>
      </c>
      <c r="E65" s="82">
        <v>7.4668999999999999</v>
      </c>
      <c r="F65" s="82"/>
      <c r="G65" s="28"/>
      <c r="H65" s="28"/>
    </row>
    <row r="66" spans="1:8" ht="18.75" customHeight="1" x14ac:dyDescent="0.25">
      <c r="A66" s="7">
        <v>410</v>
      </c>
      <c r="B66" s="81">
        <v>0.31139</v>
      </c>
      <c r="C66" s="83">
        <v>2974.4</v>
      </c>
      <c r="D66" s="83">
        <v>3285.8</v>
      </c>
      <c r="E66" s="82">
        <v>7.4984000000000002</v>
      </c>
      <c r="F66" s="82"/>
      <c r="G66" s="28"/>
      <c r="H66" s="28"/>
    </row>
    <row r="67" spans="1:8" ht="18.75" customHeight="1" x14ac:dyDescent="0.25">
      <c r="A67" s="7">
        <v>420</v>
      </c>
      <c r="B67" s="81">
        <v>0.31617000000000001</v>
      </c>
      <c r="C67" s="83">
        <v>2990.9</v>
      </c>
      <c r="D67" s="83">
        <v>3307.1</v>
      </c>
      <c r="E67" s="82">
        <v>7.5293999999999999</v>
      </c>
      <c r="F67" s="82"/>
      <c r="G67" s="28"/>
      <c r="H67" s="28"/>
    </row>
    <row r="68" spans="1:8" ht="18.75" customHeight="1" x14ac:dyDescent="0.25">
      <c r="A68" s="7">
        <v>430</v>
      </c>
      <c r="B68" s="81">
        <v>0.32094</v>
      </c>
      <c r="C68" s="83">
        <v>3007.6</v>
      </c>
      <c r="D68" s="83">
        <v>3328.5</v>
      </c>
      <c r="E68" s="82">
        <v>7.56</v>
      </c>
      <c r="F68" s="82"/>
      <c r="G68" s="28"/>
      <c r="H68" s="28"/>
    </row>
    <row r="69" spans="1:8" ht="18.75" customHeight="1" x14ac:dyDescent="0.25">
      <c r="A69" s="7">
        <v>440</v>
      </c>
      <c r="B69" s="81">
        <v>0.32568999999999998</v>
      </c>
      <c r="C69" s="83">
        <v>3024.2</v>
      </c>
      <c r="D69" s="83">
        <v>3349.9</v>
      </c>
      <c r="E69" s="82">
        <v>7.5902000000000003</v>
      </c>
      <c r="F69" s="82"/>
      <c r="G69" s="28"/>
      <c r="H69" s="28"/>
    </row>
    <row r="70" spans="1:8" ht="18.75" customHeight="1" x14ac:dyDescent="0.25">
      <c r="A70" s="7">
        <v>450</v>
      </c>
      <c r="B70" s="81">
        <v>0.33045000000000002</v>
      </c>
      <c r="C70" s="83">
        <v>3040.9</v>
      </c>
      <c r="D70" s="83">
        <v>3371.3</v>
      </c>
      <c r="E70" s="82">
        <v>7.62</v>
      </c>
      <c r="F70" s="82"/>
      <c r="G70" s="28"/>
      <c r="H70" s="28"/>
    </row>
    <row r="71" spans="1:8" ht="18.75" customHeight="1" x14ac:dyDescent="0.25">
      <c r="A71" s="7">
        <v>460</v>
      </c>
      <c r="B71" s="81">
        <v>0.33518999999999999</v>
      </c>
      <c r="C71" s="83">
        <v>3057.6</v>
      </c>
      <c r="D71" s="83">
        <v>3392.8</v>
      </c>
      <c r="E71" s="82">
        <v>7.6494999999999997</v>
      </c>
      <c r="F71" s="82"/>
      <c r="G71" s="28"/>
      <c r="H71" s="28"/>
    </row>
    <row r="72" spans="1:8" ht="18.75" customHeight="1" x14ac:dyDescent="0.25">
      <c r="A72" s="7">
        <v>470</v>
      </c>
      <c r="B72" s="81">
        <v>0.33993000000000001</v>
      </c>
      <c r="C72" s="83">
        <v>3074.4</v>
      </c>
      <c r="D72" s="83">
        <v>3414.3</v>
      </c>
      <c r="E72" s="82">
        <v>7.6786000000000003</v>
      </c>
      <c r="F72" s="82"/>
      <c r="G72" s="28"/>
      <c r="H72" s="28"/>
    </row>
    <row r="73" spans="1:8" ht="18.75" customHeight="1" x14ac:dyDescent="0.25">
      <c r="A73" s="7">
        <v>480</v>
      </c>
      <c r="B73" s="81">
        <v>0.34466000000000002</v>
      </c>
      <c r="C73" s="83">
        <v>3091.1</v>
      </c>
      <c r="D73" s="83">
        <v>3435.8</v>
      </c>
      <c r="E73" s="82">
        <v>7.7074999999999996</v>
      </c>
      <c r="F73" s="82"/>
      <c r="G73" s="28"/>
      <c r="H73" s="28"/>
    </row>
    <row r="74" spans="1:8" ht="18.75" customHeight="1" x14ac:dyDescent="0.25">
      <c r="A74" s="7">
        <v>490</v>
      </c>
      <c r="B74" s="81">
        <v>0.34938999999999998</v>
      </c>
      <c r="C74" s="83">
        <v>3108</v>
      </c>
      <c r="D74" s="83">
        <v>3457.4</v>
      </c>
      <c r="E74" s="82">
        <v>7.7359999999999998</v>
      </c>
      <c r="F74" s="82"/>
      <c r="G74" s="28"/>
      <c r="H74" s="28"/>
    </row>
    <row r="75" spans="1:8" ht="18.75" customHeight="1" x14ac:dyDescent="0.25">
      <c r="A75" s="7">
        <v>500</v>
      </c>
      <c r="B75" s="81">
        <v>0.35410999999999998</v>
      </c>
      <c r="C75" s="83">
        <v>3125</v>
      </c>
      <c r="D75" s="83">
        <v>3479.1</v>
      </c>
      <c r="E75" s="82">
        <v>7.7641</v>
      </c>
      <c r="F75" s="82"/>
      <c r="G75" s="28"/>
      <c r="H75" s="28"/>
    </row>
    <row r="76" spans="1:8" ht="18.75" customHeight="1" x14ac:dyDescent="0.25">
      <c r="A76" s="7">
        <v>520</v>
      </c>
      <c r="B76" s="81">
        <v>0.36353999999999997</v>
      </c>
      <c r="C76" s="83">
        <v>3159.1</v>
      </c>
      <c r="D76" s="83">
        <v>3522.6</v>
      </c>
      <c r="E76" s="82">
        <v>7.8196000000000003</v>
      </c>
      <c r="F76" s="82"/>
      <c r="G76" s="28"/>
      <c r="H76" s="28"/>
    </row>
    <row r="77" spans="1:8" ht="18.75" customHeight="1" x14ac:dyDescent="0.25">
      <c r="A77" s="7">
        <v>540</v>
      </c>
      <c r="B77" s="81">
        <v>0.37295</v>
      </c>
      <c r="C77" s="83">
        <v>3193.3</v>
      </c>
      <c r="D77" s="83">
        <v>3566.2</v>
      </c>
      <c r="E77" s="82">
        <v>7.8739999999999997</v>
      </c>
      <c r="F77" s="82"/>
      <c r="G77" s="28"/>
      <c r="H77" s="28"/>
    </row>
    <row r="78" spans="1:8" ht="18.75" customHeight="1" x14ac:dyDescent="0.25">
      <c r="A78" s="7">
        <v>560</v>
      </c>
      <c r="B78" s="81">
        <v>0.38235000000000002</v>
      </c>
      <c r="C78" s="83">
        <v>3227.8</v>
      </c>
      <c r="D78" s="83">
        <v>3610.1</v>
      </c>
      <c r="E78" s="82">
        <v>7.9272999999999998</v>
      </c>
      <c r="F78" s="82"/>
      <c r="G78" s="28"/>
      <c r="H78" s="28"/>
    </row>
    <row r="79" spans="1:8" ht="18.75" customHeight="1" x14ac:dyDescent="0.25">
      <c r="A79" s="7">
        <v>580</v>
      </c>
      <c r="B79" s="81">
        <v>0.39173999999999998</v>
      </c>
      <c r="C79" s="83">
        <v>3262.5</v>
      </c>
      <c r="D79" s="83">
        <v>3654.2</v>
      </c>
      <c r="E79" s="82">
        <v>7.9795999999999996</v>
      </c>
      <c r="F79" s="82"/>
      <c r="G79" s="28"/>
      <c r="H79" s="28"/>
    </row>
    <row r="80" spans="1:8" ht="18.75" customHeight="1" x14ac:dyDescent="0.25">
      <c r="A80" s="7">
        <v>600</v>
      </c>
      <c r="B80" s="81">
        <v>0.40111000000000002</v>
      </c>
      <c r="C80" s="83">
        <v>3297.5</v>
      </c>
      <c r="D80" s="83">
        <v>3698.6</v>
      </c>
      <c r="E80" s="82">
        <v>8.0310000000000006</v>
      </c>
      <c r="F80" s="82"/>
      <c r="G80" s="28"/>
      <c r="H80" s="28"/>
    </row>
    <row r="81" spans="1:8" ht="18.75" customHeight="1" x14ac:dyDescent="0.25">
      <c r="A81" s="7">
        <v>620</v>
      </c>
      <c r="B81" s="81">
        <v>0.41047</v>
      </c>
      <c r="C81" s="83">
        <v>3332.7</v>
      </c>
      <c r="D81" s="83">
        <v>3743.2</v>
      </c>
      <c r="E81" s="82">
        <v>8.0815000000000001</v>
      </c>
      <c r="F81" s="82"/>
      <c r="G81" s="28"/>
      <c r="H81" s="28"/>
    </row>
    <row r="82" spans="1:8" ht="18.75" customHeight="1" x14ac:dyDescent="0.25">
      <c r="A82" s="7">
        <v>640</v>
      </c>
      <c r="B82" s="81">
        <v>0.41982000000000003</v>
      </c>
      <c r="C82" s="83">
        <v>3368.2</v>
      </c>
      <c r="D82" s="83">
        <v>3788</v>
      </c>
      <c r="E82" s="82">
        <v>8.1311999999999998</v>
      </c>
      <c r="F82" s="82"/>
      <c r="G82" s="28"/>
      <c r="H82" s="28"/>
    </row>
    <row r="83" spans="1:8" ht="18.75" customHeight="1" x14ac:dyDescent="0.25">
      <c r="A83" s="7">
        <v>660</v>
      </c>
      <c r="B83" s="81">
        <v>0.42915999999999999</v>
      </c>
      <c r="C83" s="83">
        <v>3403.9</v>
      </c>
      <c r="D83" s="83">
        <v>3833.1</v>
      </c>
      <c r="E83" s="82">
        <v>8.18</v>
      </c>
      <c r="F83" s="82"/>
      <c r="G83" s="28"/>
      <c r="H83" s="28"/>
    </row>
    <row r="84" spans="1:8" ht="18.75" customHeight="1" x14ac:dyDescent="0.25">
      <c r="A84" s="7">
        <v>680</v>
      </c>
      <c r="B84" s="81">
        <v>0.4385</v>
      </c>
      <c r="C84" s="83">
        <v>3440</v>
      </c>
      <c r="D84" s="83">
        <v>3878.5</v>
      </c>
      <c r="E84" s="82">
        <v>8.2280999999999995</v>
      </c>
      <c r="F84" s="82"/>
      <c r="G84" s="28"/>
      <c r="H84" s="28"/>
    </row>
    <row r="85" spans="1:8" ht="18.75" customHeight="1" x14ac:dyDescent="0.25">
      <c r="A85" s="7">
        <v>700</v>
      </c>
      <c r="B85" s="81">
        <v>0.44783000000000001</v>
      </c>
      <c r="C85" s="83">
        <v>3476.3</v>
      </c>
      <c r="D85" s="83">
        <v>3924.1</v>
      </c>
      <c r="E85" s="82">
        <v>8.2754999999999992</v>
      </c>
      <c r="F85" s="82"/>
      <c r="G85" s="28"/>
      <c r="H85" s="28"/>
    </row>
    <row r="86" spans="1:8" ht="18.75" customHeight="1" x14ac:dyDescent="0.25">
      <c r="A86" s="7">
        <v>720</v>
      </c>
      <c r="B86" s="81">
        <v>0.45715</v>
      </c>
      <c r="C86" s="83">
        <v>3512.9</v>
      </c>
      <c r="D86" s="83">
        <v>3970</v>
      </c>
      <c r="E86" s="82">
        <v>8.3221000000000007</v>
      </c>
      <c r="F86" s="82"/>
      <c r="G86" s="28"/>
      <c r="H86" s="28"/>
    </row>
    <row r="87" spans="1:8" ht="18.75" customHeight="1" x14ac:dyDescent="0.25">
      <c r="A87" s="7">
        <v>740</v>
      </c>
      <c r="B87" s="81">
        <v>0.46647</v>
      </c>
      <c r="C87" s="83">
        <v>3549.6</v>
      </c>
      <c r="D87" s="83">
        <v>4016.1</v>
      </c>
      <c r="E87" s="82">
        <v>8.3681000000000001</v>
      </c>
      <c r="F87" s="82"/>
      <c r="G87" s="28"/>
      <c r="H87" s="28"/>
    </row>
    <row r="88" spans="1:8" ht="18.75" customHeight="1" x14ac:dyDescent="0.25">
      <c r="A88" s="7">
        <v>760</v>
      </c>
      <c r="B88" s="81">
        <v>0.47577999999999998</v>
      </c>
      <c r="C88" s="83">
        <v>3586.7</v>
      </c>
      <c r="D88" s="83">
        <v>4062.5</v>
      </c>
      <c r="E88" s="82">
        <v>8.4135000000000009</v>
      </c>
      <c r="F88" s="82"/>
      <c r="G88" s="28"/>
      <c r="H88" s="28"/>
    </row>
    <row r="89" spans="1:8" ht="18.75" customHeight="1" x14ac:dyDescent="0.25">
      <c r="A89" s="7">
        <v>780</v>
      </c>
      <c r="B89" s="81">
        <v>0.48508000000000001</v>
      </c>
      <c r="C89" s="83">
        <v>3624.1</v>
      </c>
      <c r="D89" s="83">
        <v>4109.2</v>
      </c>
      <c r="E89" s="82">
        <v>8.4581999999999997</v>
      </c>
      <c r="F89" s="82"/>
      <c r="G89" s="28"/>
      <c r="H89" s="28"/>
    </row>
    <row r="90" spans="1:8" ht="18.75" customHeight="1" x14ac:dyDescent="0.25">
      <c r="A90" s="7">
        <v>800</v>
      </c>
      <c r="B90" s="81">
        <v>0.49437999999999999</v>
      </c>
      <c r="C90" s="83">
        <v>3661.7</v>
      </c>
      <c r="D90" s="83">
        <v>4156.1000000000004</v>
      </c>
      <c r="E90" s="82">
        <v>8.5023999999999997</v>
      </c>
      <c r="F90" s="82"/>
      <c r="G90" s="28"/>
      <c r="H90" s="28"/>
    </row>
    <row r="91" spans="1:8" ht="18.75" customHeight="1" x14ac:dyDescent="0.25">
      <c r="A91" s="7">
        <v>820</v>
      </c>
      <c r="B91" s="81">
        <v>0.50368000000000002</v>
      </c>
      <c r="C91" s="83">
        <v>3699.6</v>
      </c>
      <c r="D91" s="83">
        <v>4203.3</v>
      </c>
      <c r="E91" s="82">
        <v>8.5459999999999994</v>
      </c>
      <c r="F91" s="82"/>
      <c r="G91" s="28"/>
      <c r="H91" s="28"/>
    </row>
    <row r="92" spans="1:8" ht="18.75" customHeight="1" x14ac:dyDescent="0.25">
      <c r="A92" s="7">
        <v>840</v>
      </c>
      <c r="B92" s="81">
        <v>0.51297000000000004</v>
      </c>
      <c r="C92" s="83">
        <v>3737.8</v>
      </c>
      <c r="D92" s="83">
        <v>4250.8</v>
      </c>
      <c r="E92" s="82">
        <v>8.5890000000000004</v>
      </c>
      <c r="F92" s="82"/>
      <c r="G92" s="28"/>
      <c r="H92" s="28"/>
    </row>
    <row r="93" spans="1:8" ht="18.75" customHeight="1" x14ac:dyDescent="0.25">
      <c r="A93" s="7">
        <v>860</v>
      </c>
      <c r="B93" s="81">
        <v>0.52225999999999995</v>
      </c>
      <c r="C93" s="83">
        <v>3776.2</v>
      </c>
      <c r="D93" s="83">
        <v>4298.5</v>
      </c>
      <c r="E93" s="82">
        <v>8.6315000000000008</v>
      </c>
      <c r="F93" s="82"/>
      <c r="G93" s="28"/>
      <c r="H93" s="28"/>
    </row>
    <row r="94" spans="1:8" ht="18.75" customHeight="1" x14ac:dyDescent="0.25">
      <c r="A94" s="7">
        <v>880</v>
      </c>
      <c r="B94" s="81">
        <v>0.53154999999999997</v>
      </c>
      <c r="C94" s="83">
        <v>3814.9</v>
      </c>
      <c r="D94" s="83">
        <v>4346.5</v>
      </c>
      <c r="E94" s="82">
        <v>8.6735000000000007</v>
      </c>
      <c r="F94" s="82"/>
      <c r="G94" s="28"/>
      <c r="H94" s="28"/>
    </row>
    <row r="95" spans="1:8" ht="18.75" customHeight="1" x14ac:dyDescent="0.25">
      <c r="A95" s="7">
        <v>900</v>
      </c>
      <c r="B95" s="81">
        <v>0.54083000000000003</v>
      </c>
      <c r="C95" s="83">
        <v>3854</v>
      </c>
      <c r="D95" s="83">
        <v>4394.8</v>
      </c>
      <c r="E95" s="82">
        <v>8.7149999999999999</v>
      </c>
      <c r="F95" s="82"/>
      <c r="G95" s="28"/>
      <c r="H95" s="28"/>
    </row>
    <row r="96" spans="1:8" ht="18.75" customHeight="1" x14ac:dyDescent="0.25">
      <c r="A96" s="7">
        <v>920</v>
      </c>
      <c r="B96" s="81">
        <v>0.55010999999999999</v>
      </c>
      <c r="C96" s="83">
        <v>3893.2</v>
      </c>
      <c r="D96" s="83">
        <v>4443.3</v>
      </c>
      <c r="E96" s="82">
        <v>8.7560000000000002</v>
      </c>
      <c r="F96" s="82"/>
      <c r="G96" s="28"/>
      <c r="H96" s="28"/>
    </row>
    <row r="97" spans="1:8" ht="18.75" customHeight="1" x14ac:dyDescent="0.25">
      <c r="A97" s="7">
        <v>940</v>
      </c>
      <c r="B97" s="81">
        <v>0.55939000000000005</v>
      </c>
      <c r="C97" s="83">
        <v>3932.7</v>
      </c>
      <c r="D97" s="83">
        <v>4492.1000000000004</v>
      </c>
      <c r="E97" s="82">
        <v>8.7965</v>
      </c>
      <c r="F97" s="82"/>
      <c r="G97" s="28"/>
      <c r="H97" s="28"/>
    </row>
    <row r="98" spans="1:8" ht="18.75" customHeight="1" x14ac:dyDescent="0.25">
      <c r="A98" s="7">
        <v>960</v>
      </c>
      <c r="B98" s="81">
        <v>0.56867000000000001</v>
      </c>
      <c r="C98" s="83">
        <v>3972.4</v>
      </c>
      <c r="D98" s="83">
        <v>4541.1000000000004</v>
      </c>
      <c r="E98" s="82">
        <v>8.8366000000000007</v>
      </c>
      <c r="F98" s="82"/>
      <c r="G98" s="28"/>
      <c r="H98" s="28"/>
    </row>
    <row r="99" spans="1:8" ht="18.75" customHeight="1" x14ac:dyDescent="0.25">
      <c r="A99" s="7">
        <v>980</v>
      </c>
      <c r="B99" s="81">
        <v>0.57794000000000001</v>
      </c>
      <c r="C99" s="83">
        <v>4012.5</v>
      </c>
      <c r="D99" s="83">
        <v>4590.3999999999996</v>
      </c>
      <c r="E99" s="82">
        <v>8.8763000000000005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0.58721000000000001</v>
      </c>
      <c r="C100" s="83">
        <v>4052.7</v>
      </c>
      <c r="D100" s="83">
        <v>4639.8999999999996</v>
      </c>
      <c r="E100" s="82">
        <v>8.9154999999999998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H100"/>
  <sheetViews>
    <sheetView topLeftCell="A25" workbookViewId="0">
      <selection activeCell="A42" sqref="A42:XFD42"/>
    </sheetView>
  </sheetViews>
  <sheetFormatPr defaultRowHeight="13.2" x14ac:dyDescent="0.25"/>
  <cols>
    <col min="1" max="1" width="9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67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1100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9.9964999999999993E-4</v>
      </c>
      <c r="C5" s="80">
        <v>-0.02</v>
      </c>
      <c r="D5" s="80">
        <v>1.08</v>
      </c>
      <c r="E5" s="81">
        <v>-8.0000000000000007E-5</v>
      </c>
      <c r="F5" s="81"/>
      <c r="G5" s="28"/>
      <c r="H5" s="28"/>
    </row>
    <row r="6" spans="1:8" ht="18.75" customHeight="1" x14ac:dyDescent="0.25">
      <c r="A6" s="7">
        <v>5</v>
      </c>
      <c r="B6" s="79">
        <v>9.9953999999999993E-4</v>
      </c>
      <c r="C6" s="80">
        <v>21.01</v>
      </c>
      <c r="D6" s="80">
        <v>22.11</v>
      </c>
      <c r="E6" s="81">
        <v>7.6230000000000006E-2</v>
      </c>
      <c r="F6" s="81"/>
      <c r="G6" s="28"/>
      <c r="H6" s="28"/>
    </row>
    <row r="7" spans="1:8" ht="18.75" customHeight="1" x14ac:dyDescent="0.25">
      <c r="A7" s="7">
        <v>10</v>
      </c>
      <c r="B7" s="79">
        <v>9.9982000000000001E-4</v>
      </c>
      <c r="C7" s="80">
        <v>41.99</v>
      </c>
      <c r="D7" s="80">
        <v>43.09</v>
      </c>
      <c r="E7" s="81">
        <v>0.15099000000000001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1.0004300000000001E-3</v>
      </c>
      <c r="C8" s="80">
        <v>62.93</v>
      </c>
      <c r="D8" s="80">
        <v>64.03</v>
      </c>
      <c r="E8" s="81">
        <v>0.2243</v>
      </c>
      <c r="F8" s="81"/>
      <c r="G8" s="28"/>
      <c r="H8" s="28"/>
    </row>
    <row r="9" spans="1:8" ht="18.75" customHeight="1" x14ac:dyDescent="0.25">
      <c r="A9" s="7">
        <v>20</v>
      </c>
      <c r="B9" s="79">
        <v>1.0013400000000001E-3</v>
      </c>
      <c r="C9" s="80">
        <v>83.85</v>
      </c>
      <c r="D9" s="80">
        <v>84.95</v>
      </c>
      <c r="E9" s="81">
        <v>0.29626000000000002</v>
      </c>
      <c r="F9" s="81"/>
      <c r="G9" s="28"/>
      <c r="H9" s="28"/>
    </row>
    <row r="10" spans="1:8" ht="18.75" customHeight="1" x14ac:dyDescent="0.25">
      <c r="A10" s="7">
        <v>25</v>
      </c>
      <c r="B10" s="79">
        <v>1.0025100000000001E-3</v>
      </c>
      <c r="C10" s="80">
        <v>104.74</v>
      </c>
      <c r="D10" s="80">
        <v>105.84</v>
      </c>
      <c r="E10" s="81">
        <v>0.36693999999999999</v>
      </c>
      <c r="F10" s="81"/>
      <c r="G10" s="28"/>
      <c r="H10" s="28"/>
    </row>
    <row r="11" spans="1:8" ht="18.75" customHeight="1" x14ac:dyDescent="0.25">
      <c r="A11" s="7">
        <v>30</v>
      </c>
      <c r="B11" s="79">
        <v>1.0039199999999999E-3</v>
      </c>
      <c r="C11" s="80">
        <v>125.63</v>
      </c>
      <c r="D11" s="80">
        <v>126.73</v>
      </c>
      <c r="E11" s="81">
        <v>0.43641999999999997</v>
      </c>
      <c r="F11" s="81"/>
      <c r="G11" s="28"/>
      <c r="H11" s="28"/>
    </row>
    <row r="12" spans="1:8" ht="18.75" customHeight="1" x14ac:dyDescent="0.25">
      <c r="A12" s="7">
        <v>35</v>
      </c>
      <c r="B12" s="79">
        <v>1.00556E-3</v>
      </c>
      <c r="C12" s="80">
        <v>146.51</v>
      </c>
      <c r="D12" s="80">
        <v>147.62</v>
      </c>
      <c r="E12" s="81">
        <v>0.50475000000000003</v>
      </c>
      <c r="F12" s="81"/>
      <c r="G12" s="28"/>
      <c r="H12" s="28"/>
    </row>
    <row r="13" spans="1:8" ht="18.75" customHeight="1" x14ac:dyDescent="0.25">
      <c r="A13" s="7">
        <v>40</v>
      </c>
      <c r="B13" s="79">
        <v>1.0074000000000001E-3</v>
      </c>
      <c r="C13" s="80">
        <v>167.39</v>
      </c>
      <c r="D13" s="80">
        <v>168.5</v>
      </c>
      <c r="E13" s="81">
        <v>0.57198000000000004</v>
      </c>
      <c r="F13" s="81"/>
      <c r="G13" s="28"/>
      <c r="H13" s="28"/>
    </row>
    <row r="14" spans="1:8" ht="18.75" customHeight="1" x14ac:dyDescent="0.25">
      <c r="A14" s="7">
        <v>45</v>
      </c>
      <c r="B14" s="79">
        <v>1.0094399999999999E-3</v>
      </c>
      <c r="C14" s="80">
        <v>188.28</v>
      </c>
      <c r="D14" s="80">
        <v>189.39</v>
      </c>
      <c r="E14" s="81">
        <v>0.63815</v>
      </c>
      <c r="F14" s="81"/>
      <c r="G14" s="28"/>
      <c r="H14" s="28"/>
    </row>
    <row r="15" spans="1:8" ht="18.75" customHeight="1" x14ac:dyDescent="0.25">
      <c r="A15" s="7">
        <v>50</v>
      </c>
      <c r="B15" s="79">
        <v>1.0116599999999999E-3</v>
      </c>
      <c r="C15" s="80">
        <v>209.17</v>
      </c>
      <c r="D15" s="80">
        <v>210.28</v>
      </c>
      <c r="E15" s="81">
        <v>0.70330000000000004</v>
      </c>
      <c r="F15" s="81"/>
      <c r="G15" s="28"/>
      <c r="H15" s="28"/>
    </row>
    <row r="16" spans="1:8" ht="18.75" customHeight="1" x14ac:dyDescent="0.25">
      <c r="A16" s="7">
        <v>55</v>
      </c>
      <c r="B16" s="79">
        <v>1.0140699999999999E-3</v>
      </c>
      <c r="C16" s="80">
        <v>230.06</v>
      </c>
      <c r="D16" s="80">
        <v>231.18</v>
      </c>
      <c r="E16" s="81">
        <v>0.76748000000000005</v>
      </c>
      <c r="F16" s="81"/>
      <c r="G16" s="28"/>
      <c r="H16" s="28"/>
    </row>
    <row r="17" spans="1:8" ht="18.75" customHeight="1" x14ac:dyDescent="0.25">
      <c r="A17" s="7">
        <v>60</v>
      </c>
      <c r="B17" s="79">
        <v>1.0166400000000001E-3</v>
      </c>
      <c r="C17" s="80">
        <v>250.97</v>
      </c>
      <c r="D17" s="80">
        <v>252.09</v>
      </c>
      <c r="E17" s="81">
        <v>0.83072000000000001</v>
      </c>
      <c r="F17" s="81"/>
      <c r="G17" s="28"/>
      <c r="H17" s="28"/>
    </row>
    <row r="18" spans="1:8" ht="18.75" customHeight="1" x14ac:dyDescent="0.25">
      <c r="A18" s="7">
        <v>65</v>
      </c>
      <c r="B18" s="79">
        <v>1.0193800000000001E-3</v>
      </c>
      <c r="C18" s="80">
        <v>271.89</v>
      </c>
      <c r="D18" s="80">
        <v>273.01</v>
      </c>
      <c r="E18" s="81">
        <v>0.89305000000000001</v>
      </c>
      <c r="F18" s="81"/>
      <c r="G18" s="28"/>
      <c r="H18" s="28"/>
    </row>
    <row r="19" spans="1:8" ht="18.75" customHeight="1" x14ac:dyDescent="0.25">
      <c r="A19" s="7">
        <v>70</v>
      </c>
      <c r="B19" s="79">
        <v>1.02228E-3</v>
      </c>
      <c r="C19" s="80">
        <v>292.82</v>
      </c>
      <c r="D19" s="80">
        <v>293.94</v>
      </c>
      <c r="E19" s="81">
        <v>0.95448999999999995</v>
      </c>
      <c r="F19" s="81"/>
      <c r="G19" s="28"/>
      <c r="H19" s="28"/>
    </row>
    <row r="20" spans="1:8" ht="18.75" customHeight="1" x14ac:dyDescent="0.25">
      <c r="A20" s="7">
        <v>75</v>
      </c>
      <c r="B20" s="79">
        <v>1.02534E-3</v>
      </c>
      <c r="C20" s="80">
        <v>313.76</v>
      </c>
      <c r="D20" s="80">
        <v>314.89</v>
      </c>
      <c r="E20" s="82">
        <v>1.0150999999999999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1.02856E-3</v>
      </c>
      <c r="C21" s="80">
        <v>334.72</v>
      </c>
      <c r="D21" s="80">
        <v>335.85</v>
      </c>
      <c r="E21" s="82">
        <v>1.0749</v>
      </c>
      <c r="F21" s="82"/>
      <c r="G21" s="28"/>
      <c r="H21" s="28"/>
    </row>
    <row r="22" spans="1:8" ht="18.75" customHeight="1" x14ac:dyDescent="0.25">
      <c r="A22" s="7">
        <v>85</v>
      </c>
      <c r="B22" s="79">
        <v>1.03192E-3</v>
      </c>
      <c r="C22" s="80">
        <v>355.69</v>
      </c>
      <c r="D22" s="80">
        <v>356.83</v>
      </c>
      <c r="E22" s="82">
        <v>1.1338999999999999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1.03545E-3</v>
      </c>
      <c r="C23" s="80">
        <v>376.7</v>
      </c>
      <c r="D23" s="80">
        <v>377.84</v>
      </c>
      <c r="E23" s="82">
        <v>1.1920999999999999</v>
      </c>
      <c r="F23" s="82"/>
      <c r="G23" s="28"/>
      <c r="H23" s="28"/>
    </row>
    <row r="24" spans="1:8" ht="18.75" customHeight="1" x14ac:dyDescent="0.25">
      <c r="A24" s="7">
        <v>95</v>
      </c>
      <c r="B24" s="79">
        <v>1.0391199999999999E-3</v>
      </c>
      <c r="C24" s="80">
        <v>397.72</v>
      </c>
      <c r="D24" s="80">
        <v>398.86</v>
      </c>
      <c r="E24" s="82">
        <v>1.2496</v>
      </c>
      <c r="F24" s="82"/>
      <c r="G24" s="28"/>
      <c r="H24" s="28"/>
    </row>
    <row r="25" spans="1:8" ht="18.75" customHeight="1" x14ac:dyDescent="0.25">
      <c r="A25" s="7">
        <v>100</v>
      </c>
      <c r="B25" s="79">
        <v>1.04295E-3</v>
      </c>
      <c r="C25" s="80">
        <v>418.77</v>
      </c>
      <c r="D25" s="80">
        <v>419.92</v>
      </c>
      <c r="E25" s="82">
        <v>1.3064</v>
      </c>
      <c r="F25" s="82"/>
      <c r="G25" s="28"/>
      <c r="H25" s="28"/>
    </row>
    <row r="26" spans="1:8" ht="18.75" customHeight="1" x14ac:dyDescent="0.25">
      <c r="A26" s="7">
        <v>105</v>
      </c>
      <c r="B26" s="79">
        <v>1.04693E-3</v>
      </c>
      <c r="C26" s="80">
        <v>439.85</v>
      </c>
      <c r="D26" s="80">
        <v>441</v>
      </c>
      <c r="E26" s="82">
        <v>1.3626</v>
      </c>
      <c r="F26" s="82"/>
      <c r="G26" s="28"/>
      <c r="H26" s="28"/>
    </row>
    <row r="27" spans="1:8" ht="18.75" customHeight="1" x14ac:dyDescent="0.25">
      <c r="A27" s="7">
        <v>110</v>
      </c>
      <c r="B27" s="79">
        <v>1.0510700000000001E-3</v>
      </c>
      <c r="C27" s="80">
        <v>460.95</v>
      </c>
      <c r="D27" s="80">
        <v>462.11</v>
      </c>
      <c r="E27" s="82">
        <v>1.4179999999999999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1.0553699999999999E-3</v>
      </c>
      <c r="C28" s="80">
        <v>482.1</v>
      </c>
      <c r="D28" s="80">
        <v>483.26</v>
      </c>
      <c r="E28" s="82">
        <v>1.4729000000000001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1.0598199999999999E-3</v>
      </c>
      <c r="C29" s="80">
        <v>503.28</v>
      </c>
      <c r="D29" s="80">
        <v>504.45</v>
      </c>
      <c r="E29" s="82">
        <v>1.5270999999999999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1.0644300000000001E-3</v>
      </c>
      <c r="C30" s="80">
        <v>524.5</v>
      </c>
      <c r="D30" s="80">
        <v>525.66999999999996</v>
      </c>
      <c r="E30" s="82">
        <v>1.5807</v>
      </c>
      <c r="F30" s="82"/>
      <c r="G30" s="28"/>
      <c r="H30" s="28"/>
    </row>
    <row r="31" spans="1:8" ht="18.75" customHeight="1" x14ac:dyDescent="0.25">
      <c r="A31" s="7">
        <v>130</v>
      </c>
      <c r="B31" s="79">
        <v>1.0692200000000001E-3</v>
      </c>
      <c r="C31" s="80">
        <v>545.77</v>
      </c>
      <c r="D31" s="80">
        <v>546.95000000000005</v>
      </c>
      <c r="E31" s="82">
        <v>1.6337999999999999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1.0741699999999999E-3</v>
      </c>
      <c r="C32" s="80">
        <v>567.09</v>
      </c>
      <c r="D32" s="80">
        <v>568.27</v>
      </c>
      <c r="E32" s="82">
        <v>1.6863999999999999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1.0792899999999999E-3</v>
      </c>
      <c r="C33" s="80">
        <v>588.45000000000005</v>
      </c>
      <c r="D33" s="80">
        <v>589.64</v>
      </c>
      <c r="E33" s="82">
        <v>1.7383999999999999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1.0845900000000001E-3</v>
      </c>
      <c r="C34" s="80">
        <v>609.88</v>
      </c>
      <c r="D34" s="80">
        <v>611.07000000000005</v>
      </c>
      <c r="E34" s="82">
        <v>1.79</v>
      </c>
      <c r="F34" s="82"/>
      <c r="G34" s="28"/>
      <c r="H34" s="28"/>
    </row>
    <row r="35" spans="1:8" ht="18.75" customHeight="1" x14ac:dyDescent="0.25">
      <c r="A35" s="7">
        <v>150</v>
      </c>
      <c r="B35" s="79">
        <v>1.09008E-3</v>
      </c>
      <c r="C35" s="80">
        <v>631.36</v>
      </c>
      <c r="D35" s="80">
        <v>632.55999999999995</v>
      </c>
      <c r="E35" s="82">
        <v>1.8411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1.0957600000000001E-3</v>
      </c>
      <c r="C36" s="80">
        <v>652.91</v>
      </c>
      <c r="D36" s="80">
        <v>654.12</v>
      </c>
      <c r="E36" s="82">
        <v>1.8917999999999999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1.1016400000000001E-3</v>
      </c>
      <c r="C37" s="80">
        <v>674.54</v>
      </c>
      <c r="D37" s="80">
        <v>675.75</v>
      </c>
      <c r="E37" s="82">
        <v>1.9419999999999999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1.1077299999999999E-3</v>
      </c>
      <c r="C38" s="80">
        <v>696.24</v>
      </c>
      <c r="D38" s="80">
        <v>697.46</v>
      </c>
      <c r="E38" s="82">
        <v>1.9918</v>
      </c>
      <c r="F38" s="82"/>
      <c r="G38" s="28"/>
      <c r="H38" s="28"/>
    </row>
    <row r="39" spans="1:8" ht="18.75" customHeight="1" x14ac:dyDescent="0.25">
      <c r="A39" s="7">
        <v>170</v>
      </c>
      <c r="B39" s="79">
        <v>1.11403E-3</v>
      </c>
      <c r="C39" s="80">
        <v>718.02</v>
      </c>
      <c r="D39" s="80">
        <v>719.25</v>
      </c>
      <c r="E39" s="82">
        <v>2.0413000000000001</v>
      </c>
      <c r="F39" s="82"/>
      <c r="G39" s="28"/>
      <c r="H39" s="28"/>
    </row>
    <row r="40" spans="1:8" ht="18.75" customHeight="1" x14ac:dyDescent="0.25">
      <c r="A40" s="7">
        <v>175</v>
      </c>
      <c r="B40" s="79">
        <v>1.1205500000000001E-3</v>
      </c>
      <c r="C40" s="80">
        <v>739.9</v>
      </c>
      <c r="D40" s="80">
        <v>741.13</v>
      </c>
      <c r="E40" s="82">
        <v>2.0903999999999998</v>
      </c>
      <c r="F40" s="82"/>
      <c r="G40" s="28"/>
      <c r="H40" s="28"/>
    </row>
    <row r="41" spans="1:8" ht="18.75" customHeight="1" x14ac:dyDescent="0.25">
      <c r="A41" s="7">
        <v>180</v>
      </c>
      <c r="B41" s="79">
        <v>1.1273100000000001E-3</v>
      </c>
      <c r="C41" s="80">
        <v>761.86</v>
      </c>
      <c r="D41" s="80">
        <v>763.1</v>
      </c>
      <c r="E41" s="82">
        <v>2.1391</v>
      </c>
      <c r="F41" s="82"/>
      <c r="G41" s="28"/>
      <c r="H41" s="28"/>
    </row>
    <row r="42" spans="1:8" ht="18.75" customHeight="1" x14ac:dyDescent="0.25">
      <c r="A42" s="7">
        <v>185</v>
      </c>
      <c r="B42" s="81">
        <v>0.17796999999999999</v>
      </c>
      <c r="C42" s="83">
        <v>2587.4</v>
      </c>
      <c r="D42" s="83">
        <v>2783.2</v>
      </c>
      <c r="E42" s="82">
        <v>6.5575999999999999</v>
      </c>
      <c r="F42" s="82"/>
      <c r="G42" s="28"/>
      <c r="H42" s="28"/>
    </row>
    <row r="43" spans="1:8" ht="18.75" customHeight="1" x14ac:dyDescent="0.25">
      <c r="A43" s="7">
        <v>190</v>
      </c>
      <c r="B43" s="81">
        <v>0.18071999999999999</v>
      </c>
      <c r="C43" s="83">
        <v>2597.8000000000002</v>
      </c>
      <c r="D43" s="83">
        <v>2796.6</v>
      </c>
      <c r="E43" s="82">
        <v>6.5868000000000002</v>
      </c>
      <c r="F43" s="82"/>
      <c r="G43" s="28"/>
      <c r="H43" s="28"/>
    </row>
    <row r="44" spans="1:8" ht="18.75" customHeight="1" x14ac:dyDescent="0.25">
      <c r="A44" s="7">
        <v>195</v>
      </c>
      <c r="B44" s="81">
        <v>0.18340000000000001</v>
      </c>
      <c r="C44" s="83">
        <v>2607.9</v>
      </c>
      <c r="D44" s="83">
        <v>2809.6</v>
      </c>
      <c r="E44" s="82">
        <v>6.6146000000000003</v>
      </c>
      <c r="F44" s="82"/>
      <c r="G44" s="28"/>
      <c r="H44" s="28"/>
    </row>
    <row r="45" spans="1:8" ht="18.75" customHeight="1" x14ac:dyDescent="0.25">
      <c r="A45" s="7">
        <v>200</v>
      </c>
      <c r="B45" s="81">
        <v>0.18603</v>
      </c>
      <c r="C45" s="83">
        <v>2617.6999999999998</v>
      </c>
      <c r="D45" s="83">
        <v>2822.3</v>
      </c>
      <c r="E45" s="82">
        <v>6.6414999999999997</v>
      </c>
      <c r="F45" s="82"/>
      <c r="G45" s="28"/>
      <c r="H45" s="28"/>
    </row>
    <row r="46" spans="1:8" ht="18.75" customHeight="1" x14ac:dyDescent="0.25">
      <c r="A46" s="7">
        <v>210</v>
      </c>
      <c r="B46" s="81">
        <v>0.19117999999999999</v>
      </c>
      <c r="C46" s="83">
        <v>2636.5</v>
      </c>
      <c r="D46" s="83">
        <v>2846.8</v>
      </c>
      <c r="E46" s="82">
        <v>6.6928999999999998</v>
      </c>
      <c r="F46" s="82"/>
      <c r="G46" s="28"/>
      <c r="H46" s="28"/>
    </row>
    <row r="47" spans="1:8" ht="18.75" customHeight="1" x14ac:dyDescent="0.25">
      <c r="A47" s="7">
        <v>220</v>
      </c>
      <c r="B47" s="81">
        <v>0.19620000000000001</v>
      </c>
      <c r="C47" s="83">
        <v>2654.9</v>
      </c>
      <c r="D47" s="83">
        <v>2870.7</v>
      </c>
      <c r="E47" s="82">
        <v>6.7416999999999998</v>
      </c>
      <c r="F47" s="82"/>
      <c r="G47" s="28"/>
      <c r="H47" s="28"/>
    </row>
    <row r="48" spans="1:8" ht="18.75" customHeight="1" x14ac:dyDescent="0.25">
      <c r="A48" s="7">
        <v>230</v>
      </c>
      <c r="B48" s="81">
        <v>0.20113</v>
      </c>
      <c r="C48" s="83">
        <v>2672.8</v>
      </c>
      <c r="D48" s="83">
        <v>2894</v>
      </c>
      <c r="E48" s="82">
        <v>6.7885</v>
      </c>
      <c r="F48" s="82"/>
      <c r="G48" s="28"/>
      <c r="H48" s="28"/>
    </row>
    <row r="49" spans="1:8" ht="18.75" customHeight="1" x14ac:dyDescent="0.25">
      <c r="A49" s="7">
        <v>240</v>
      </c>
      <c r="B49" s="81">
        <v>0.20596999999999999</v>
      </c>
      <c r="C49" s="83">
        <v>2690.2</v>
      </c>
      <c r="D49" s="83">
        <v>2916.8</v>
      </c>
      <c r="E49" s="82">
        <v>6.8334999999999999</v>
      </c>
      <c r="F49" s="82"/>
      <c r="G49" s="28"/>
      <c r="H49" s="28"/>
    </row>
    <row r="50" spans="1:8" ht="18.75" customHeight="1" x14ac:dyDescent="0.25">
      <c r="A50" s="7">
        <v>250</v>
      </c>
      <c r="B50" s="81">
        <v>0.21074999999999999</v>
      </c>
      <c r="C50" s="83">
        <v>2707.6</v>
      </c>
      <c r="D50" s="83">
        <v>2939.4</v>
      </c>
      <c r="E50" s="82">
        <v>6.8769999999999998</v>
      </c>
      <c r="F50" s="82"/>
      <c r="G50" s="28"/>
      <c r="H50" s="28"/>
    </row>
    <row r="51" spans="1:8" ht="18.75" customHeight="1" x14ac:dyDescent="0.25">
      <c r="A51" s="7">
        <v>260</v>
      </c>
      <c r="B51" s="81">
        <v>0.21546999999999999</v>
      </c>
      <c r="C51" s="83">
        <v>2724.7</v>
      </c>
      <c r="D51" s="83">
        <v>2961.7</v>
      </c>
      <c r="E51" s="82">
        <v>6.9192</v>
      </c>
      <c r="F51" s="82"/>
      <c r="G51" s="28"/>
      <c r="H51" s="28"/>
    </row>
    <row r="52" spans="1:8" ht="18.75" customHeight="1" x14ac:dyDescent="0.25">
      <c r="A52" s="7">
        <v>270</v>
      </c>
      <c r="B52" s="81">
        <v>0.22014</v>
      </c>
      <c r="C52" s="83">
        <v>2741.5</v>
      </c>
      <c r="D52" s="83">
        <v>2983.7</v>
      </c>
      <c r="E52" s="82">
        <v>6.9602000000000004</v>
      </c>
      <c r="F52" s="82"/>
      <c r="G52" s="28"/>
      <c r="H52" s="28"/>
    </row>
    <row r="53" spans="1:8" ht="18.75" customHeight="1" x14ac:dyDescent="0.25">
      <c r="A53" s="7">
        <v>280</v>
      </c>
      <c r="B53" s="81">
        <v>0.22477</v>
      </c>
      <c r="C53" s="83">
        <v>2758.4</v>
      </c>
      <c r="D53" s="83">
        <v>3005.6</v>
      </c>
      <c r="E53" s="82">
        <v>7.0000999999999998</v>
      </c>
      <c r="F53" s="82"/>
      <c r="G53" s="28"/>
      <c r="H53" s="28"/>
    </row>
    <row r="54" spans="1:8" ht="18.75" customHeight="1" x14ac:dyDescent="0.25">
      <c r="A54" s="7">
        <v>290</v>
      </c>
      <c r="B54" s="81">
        <v>0.22936000000000001</v>
      </c>
      <c r="C54" s="83">
        <v>2775.1</v>
      </c>
      <c r="D54" s="83">
        <v>3027.4</v>
      </c>
      <c r="E54" s="82">
        <v>7.0391000000000004</v>
      </c>
      <c r="F54" s="82"/>
      <c r="G54" s="28"/>
      <c r="H54" s="28"/>
    </row>
    <row r="55" spans="1:8" ht="18.75" customHeight="1" x14ac:dyDescent="0.25">
      <c r="A55" s="7">
        <v>300</v>
      </c>
      <c r="B55" s="81">
        <v>0.23391999999999999</v>
      </c>
      <c r="C55" s="83">
        <v>2791.7</v>
      </c>
      <c r="D55" s="83">
        <v>3049</v>
      </c>
      <c r="E55" s="82">
        <v>7.0772000000000004</v>
      </c>
      <c r="F55" s="82"/>
      <c r="G55" s="28"/>
      <c r="H55" s="28"/>
    </row>
    <row r="56" spans="1:8" ht="18.75" customHeight="1" x14ac:dyDescent="0.25">
      <c r="A56" s="7">
        <v>310</v>
      </c>
      <c r="B56" s="81">
        <v>0.23845</v>
      </c>
      <c r="C56" s="83">
        <v>2808.2</v>
      </c>
      <c r="D56" s="83">
        <v>3070.5</v>
      </c>
      <c r="E56" s="82">
        <v>7.1143999999999998</v>
      </c>
      <c r="F56" s="82"/>
      <c r="G56" s="28"/>
      <c r="H56" s="28"/>
    </row>
    <row r="57" spans="1:8" ht="18.75" customHeight="1" x14ac:dyDescent="0.25">
      <c r="A57" s="7">
        <v>320</v>
      </c>
      <c r="B57" s="81">
        <v>0.24296000000000001</v>
      </c>
      <c r="C57" s="83">
        <v>2824.7</v>
      </c>
      <c r="D57" s="83">
        <v>3092</v>
      </c>
      <c r="E57" s="82">
        <v>7.1509</v>
      </c>
      <c r="F57" s="82"/>
      <c r="G57" s="28"/>
      <c r="H57" s="28"/>
    </row>
    <row r="58" spans="1:8" ht="18.75" customHeight="1" x14ac:dyDescent="0.25">
      <c r="A58" s="7">
        <v>330</v>
      </c>
      <c r="B58" s="81">
        <v>0.24743999999999999</v>
      </c>
      <c r="C58" s="83">
        <v>2841.2</v>
      </c>
      <c r="D58" s="83">
        <v>3113.4</v>
      </c>
      <c r="E58" s="82">
        <v>7.1867999999999999</v>
      </c>
      <c r="F58" s="82"/>
      <c r="G58" s="28"/>
      <c r="H58" s="28"/>
    </row>
    <row r="59" spans="1:8" ht="18.75" customHeight="1" x14ac:dyDescent="0.25">
      <c r="A59" s="7">
        <v>340</v>
      </c>
      <c r="B59" s="81">
        <v>0.25190000000000001</v>
      </c>
      <c r="C59" s="83">
        <v>2857.7</v>
      </c>
      <c r="D59" s="83">
        <v>3134.8</v>
      </c>
      <c r="E59" s="82">
        <v>7.2218999999999998</v>
      </c>
      <c r="F59" s="82"/>
      <c r="G59" s="28"/>
      <c r="H59" s="28"/>
    </row>
    <row r="60" spans="1:8" ht="18.75" customHeight="1" x14ac:dyDescent="0.25">
      <c r="A60" s="7">
        <v>350</v>
      </c>
      <c r="B60" s="81">
        <v>0.25635000000000002</v>
      </c>
      <c r="C60" s="83">
        <v>2874.2</v>
      </c>
      <c r="D60" s="83">
        <v>3156.2</v>
      </c>
      <c r="E60" s="82">
        <v>7.2565</v>
      </c>
      <c r="F60" s="82"/>
      <c r="G60" s="28"/>
      <c r="H60" s="28"/>
    </row>
    <row r="61" spans="1:8" ht="18.75" customHeight="1" x14ac:dyDescent="0.25">
      <c r="A61" s="7">
        <v>360</v>
      </c>
      <c r="B61" s="81">
        <v>0.26078000000000001</v>
      </c>
      <c r="C61" s="83">
        <v>2890.6</v>
      </c>
      <c r="D61" s="83">
        <v>3177.5</v>
      </c>
      <c r="E61" s="82">
        <v>7.2904999999999998</v>
      </c>
      <c r="F61" s="82"/>
      <c r="G61" s="28"/>
      <c r="H61" s="28"/>
    </row>
    <row r="62" spans="1:8" ht="18.75" customHeight="1" x14ac:dyDescent="0.25">
      <c r="A62" s="7">
        <v>370</v>
      </c>
      <c r="B62" s="81">
        <v>0.26518999999999998</v>
      </c>
      <c r="C62" s="83">
        <v>2907.2</v>
      </c>
      <c r="D62" s="83">
        <v>3198.9</v>
      </c>
      <c r="E62" s="82">
        <v>7.3239000000000001</v>
      </c>
      <c r="F62" s="82"/>
      <c r="G62" s="28"/>
      <c r="H62" s="28"/>
    </row>
    <row r="63" spans="1:8" ht="18.75" customHeight="1" x14ac:dyDescent="0.25">
      <c r="A63" s="7">
        <v>380</v>
      </c>
      <c r="B63" s="81">
        <v>0.26959</v>
      </c>
      <c r="C63" s="83">
        <v>2923.7</v>
      </c>
      <c r="D63" s="83">
        <v>3220.2</v>
      </c>
      <c r="E63" s="82">
        <v>7.3567999999999998</v>
      </c>
      <c r="F63" s="82"/>
      <c r="G63" s="28"/>
      <c r="H63" s="28"/>
    </row>
    <row r="64" spans="1:8" ht="18.75" customHeight="1" x14ac:dyDescent="0.25">
      <c r="A64" s="7">
        <v>390</v>
      </c>
      <c r="B64" s="81">
        <v>0.27398</v>
      </c>
      <c r="C64" s="83">
        <v>2940.1</v>
      </c>
      <c r="D64" s="83">
        <v>3241.5</v>
      </c>
      <c r="E64" s="82">
        <v>7.3891999999999998</v>
      </c>
      <c r="F64" s="82"/>
      <c r="G64" s="28"/>
      <c r="H64" s="28"/>
    </row>
    <row r="65" spans="1:8" ht="18.75" customHeight="1" x14ac:dyDescent="0.25">
      <c r="A65" s="7">
        <v>400</v>
      </c>
      <c r="B65" s="81">
        <v>0.27836</v>
      </c>
      <c r="C65" s="83">
        <v>2956.7</v>
      </c>
      <c r="D65" s="83">
        <v>3262.9</v>
      </c>
      <c r="E65" s="82">
        <v>7.4211999999999998</v>
      </c>
      <c r="F65" s="82"/>
      <c r="G65" s="28"/>
      <c r="H65" s="28"/>
    </row>
    <row r="66" spans="1:8" ht="18.75" customHeight="1" x14ac:dyDescent="0.25">
      <c r="A66" s="7">
        <v>410</v>
      </c>
      <c r="B66" s="81">
        <v>0.28272000000000003</v>
      </c>
      <c r="C66" s="83">
        <v>2973.3</v>
      </c>
      <c r="D66" s="83">
        <v>3284.3</v>
      </c>
      <c r="E66" s="82">
        <v>7.4527000000000001</v>
      </c>
      <c r="F66" s="82"/>
      <c r="G66" s="28"/>
      <c r="H66" s="28"/>
    </row>
    <row r="67" spans="1:8" ht="18.75" customHeight="1" x14ac:dyDescent="0.25">
      <c r="A67" s="7">
        <v>420</v>
      </c>
      <c r="B67" s="81">
        <v>0.28708</v>
      </c>
      <c r="C67" s="83">
        <v>2989.8</v>
      </c>
      <c r="D67" s="83">
        <v>3305.6</v>
      </c>
      <c r="E67" s="82">
        <v>7.4837999999999996</v>
      </c>
      <c r="F67" s="82"/>
      <c r="G67" s="28"/>
      <c r="H67" s="28"/>
    </row>
    <row r="68" spans="1:8" ht="18.75" customHeight="1" x14ac:dyDescent="0.25">
      <c r="A68" s="7">
        <v>430</v>
      </c>
      <c r="B68" s="81">
        <v>0.29143000000000002</v>
      </c>
      <c r="C68" s="83">
        <v>3006.5</v>
      </c>
      <c r="D68" s="83">
        <v>3327.1</v>
      </c>
      <c r="E68" s="82">
        <v>7.5145</v>
      </c>
      <c r="F68" s="82"/>
      <c r="G68" s="28"/>
      <c r="H68" s="28"/>
    </row>
    <row r="69" spans="1:8" ht="18.75" customHeight="1" x14ac:dyDescent="0.25">
      <c r="A69" s="7">
        <v>440</v>
      </c>
      <c r="B69" s="81">
        <v>0.29576999999999998</v>
      </c>
      <c r="C69" s="83">
        <v>3023.2</v>
      </c>
      <c r="D69" s="83">
        <v>3348.5</v>
      </c>
      <c r="E69" s="82">
        <v>7.5448000000000004</v>
      </c>
      <c r="F69" s="82"/>
      <c r="G69" s="28"/>
      <c r="H69" s="28"/>
    </row>
    <row r="70" spans="1:8" ht="18.75" customHeight="1" x14ac:dyDescent="0.25">
      <c r="A70" s="7">
        <v>450</v>
      </c>
      <c r="B70" s="81">
        <v>0.30009999999999998</v>
      </c>
      <c r="C70" s="83">
        <v>3039.9</v>
      </c>
      <c r="D70" s="83">
        <v>3370</v>
      </c>
      <c r="E70" s="82">
        <v>7.5747</v>
      </c>
      <c r="F70" s="82"/>
      <c r="G70" s="28"/>
      <c r="H70" s="28"/>
    </row>
    <row r="71" spans="1:8" ht="18.75" customHeight="1" x14ac:dyDescent="0.25">
      <c r="A71" s="7">
        <v>460</v>
      </c>
      <c r="B71" s="81">
        <v>0.30442999999999998</v>
      </c>
      <c r="C71" s="83">
        <v>3056.6</v>
      </c>
      <c r="D71" s="83">
        <v>3391.5</v>
      </c>
      <c r="E71" s="82">
        <v>7.6041999999999996</v>
      </c>
      <c r="F71" s="82"/>
      <c r="G71" s="28"/>
      <c r="H71" s="28"/>
    </row>
    <row r="72" spans="1:8" ht="18.75" customHeight="1" x14ac:dyDescent="0.25">
      <c r="A72" s="7">
        <v>470</v>
      </c>
      <c r="B72" s="81">
        <v>0.30875000000000002</v>
      </c>
      <c r="C72" s="83">
        <v>3073.5</v>
      </c>
      <c r="D72" s="83">
        <v>3413.1</v>
      </c>
      <c r="E72" s="82">
        <v>7.6334999999999997</v>
      </c>
      <c r="F72" s="82"/>
      <c r="G72" s="28"/>
      <c r="H72" s="28"/>
    </row>
    <row r="73" spans="1:8" ht="18.75" customHeight="1" x14ac:dyDescent="0.25">
      <c r="A73" s="7">
        <v>480</v>
      </c>
      <c r="B73" s="81">
        <v>0.31306</v>
      </c>
      <c r="C73" s="83">
        <v>3090.3</v>
      </c>
      <c r="D73" s="83">
        <v>3434.7</v>
      </c>
      <c r="E73" s="82">
        <v>7.6623000000000001</v>
      </c>
      <c r="F73" s="82"/>
      <c r="G73" s="28"/>
      <c r="H73" s="28"/>
    </row>
    <row r="74" spans="1:8" ht="18.75" customHeight="1" x14ac:dyDescent="0.25">
      <c r="A74" s="7">
        <v>490</v>
      </c>
      <c r="B74" s="81">
        <v>0.31736999999999999</v>
      </c>
      <c r="C74" s="83">
        <v>3107.2</v>
      </c>
      <c r="D74" s="83">
        <v>3456.3</v>
      </c>
      <c r="E74" s="82">
        <v>7.6909000000000001</v>
      </c>
      <c r="F74" s="82"/>
      <c r="G74" s="28"/>
      <c r="H74" s="28"/>
    </row>
    <row r="75" spans="1:8" ht="18.75" customHeight="1" x14ac:dyDescent="0.25">
      <c r="A75" s="7">
        <v>500</v>
      </c>
      <c r="B75" s="81">
        <v>0.32167000000000001</v>
      </c>
      <c r="C75" s="83">
        <v>3124.2</v>
      </c>
      <c r="D75" s="83">
        <v>3478</v>
      </c>
      <c r="E75" s="82">
        <v>7.7191000000000001</v>
      </c>
      <c r="F75" s="82"/>
      <c r="G75" s="28"/>
      <c r="H75" s="28"/>
    </row>
    <row r="76" spans="1:8" ht="18.75" customHeight="1" x14ac:dyDescent="0.25">
      <c r="A76" s="7">
        <v>520</v>
      </c>
      <c r="B76" s="81">
        <v>0.33026</v>
      </c>
      <c r="C76" s="83">
        <v>3158.2</v>
      </c>
      <c r="D76" s="83">
        <v>3521.5</v>
      </c>
      <c r="E76" s="82">
        <v>7.7747000000000002</v>
      </c>
      <c r="F76" s="82"/>
      <c r="G76" s="28"/>
      <c r="H76" s="28"/>
    </row>
    <row r="77" spans="1:8" ht="18.75" customHeight="1" x14ac:dyDescent="0.25">
      <c r="A77" s="7">
        <v>540</v>
      </c>
      <c r="B77" s="81">
        <v>0.33883999999999997</v>
      </c>
      <c r="C77" s="83">
        <v>3192.6</v>
      </c>
      <c r="D77" s="83">
        <v>3565.3</v>
      </c>
      <c r="E77" s="82">
        <v>7.8291000000000004</v>
      </c>
      <c r="F77" s="82"/>
      <c r="G77" s="28"/>
      <c r="H77" s="28"/>
    </row>
    <row r="78" spans="1:8" ht="18.75" customHeight="1" x14ac:dyDescent="0.25">
      <c r="A78" s="7">
        <v>560</v>
      </c>
      <c r="B78" s="81">
        <v>0.34739999999999999</v>
      </c>
      <c r="C78" s="83">
        <v>3227.1</v>
      </c>
      <c r="D78" s="83">
        <v>3609.2</v>
      </c>
      <c r="E78" s="82">
        <v>7.8825000000000003</v>
      </c>
      <c r="F78" s="82"/>
      <c r="G78" s="28"/>
      <c r="H78" s="28"/>
    </row>
    <row r="79" spans="1:8" ht="18.75" customHeight="1" x14ac:dyDescent="0.25">
      <c r="A79" s="7">
        <v>580</v>
      </c>
      <c r="B79" s="81">
        <v>0.35593999999999998</v>
      </c>
      <c r="C79" s="83">
        <v>3261.9</v>
      </c>
      <c r="D79" s="83">
        <v>3653.4</v>
      </c>
      <c r="E79" s="82">
        <v>7.9348999999999998</v>
      </c>
      <c r="F79" s="82"/>
      <c r="G79" s="28"/>
      <c r="H79" s="28"/>
    </row>
    <row r="80" spans="1:8" ht="18.75" customHeight="1" x14ac:dyDescent="0.25">
      <c r="A80" s="7">
        <v>600</v>
      </c>
      <c r="B80" s="81">
        <v>0.36447000000000002</v>
      </c>
      <c r="C80" s="83">
        <v>3296.9</v>
      </c>
      <c r="D80" s="83">
        <v>3697.8</v>
      </c>
      <c r="E80" s="82">
        <v>7.9863999999999997</v>
      </c>
      <c r="F80" s="82"/>
      <c r="G80" s="28"/>
      <c r="H80" s="28"/>
    </row>
    <row r="81" spans="1:8" ht="18.75" customHeight="1" x14ac:dyDescent="0.25">
      <c r="A81" s="7">
        <v>620</v>
      </c>
      <c r="B81" s="81">
        <v>0.373</v>
      </c>
      <c r="C81" s="83">
        <v>3332.1</v>
      </c>
      <c r="D81" s="83">
        <v>3742.4</v>
      </c>
      <c r="E81" s="82">
        <v>8.0368999999999993</v>
      </c>
      <c r="F81" s="82"/>
      <c r="G81" s="28"/>
      <c r="H81" s="28"/>
    </row>
    <row r="82" spans="1:8" ht="18.75" customHeight="1" x14ac:dyDescent="0.25">
      <c r="A82" s="7">
        <v>640</v>
      </c>
      <c r="B82" s="81">
        <v>0.38151000000000002</v>
      </c>
      <c r="C82" s="83">
        <v>3367.6</v>
      </c>
      <c r="D82" s="83">
        <v>3787.3</v>
      </c>
      <c r="E82" s="82">
        <v>8.0866000000000007</v>
      </c>
      <c r="F82" s="82"/>
      <c r="G82" s="28"/>
      <c r="H82" s="28"/>
    </row>
    <row r="83" spans="1:8" ht="18.75" customHeight="1" x14ac:dyDescent="0.25">
      <c r="A83" s="7">
        <v>660</v>
      </c>
      <c r="B83" s="81">
        <v>0.39001000000000002</v>
      </c>
      <c r="C83" s="83">
        <v>3403.5</v>
      </c>
      <c r="D83" s="83">
        <v>3832.5</v>
      </c>
      <c r="E83" s="82">
        <v>8.1355000000000004</v>
      </c>
      <c r="F83" s="82"/>
      <c r="G83" s="28"/>
      <c r="H83" s="28"/>
    </row>
    <row r="84" spans="1:8" ht="18.75" customHeight="1" x14ac:dyDescent="0.25">
      <c r="A84" s="7">
        <v>680</v>
      </c>
      <c r="B84" s="81">
        <v>0.39850999999999998</v>
      </c>
      <c r="C84" s="83">
        <v>3439.4</v>
      </c>
      <c r="D84" s="83">
        <v>3877.8</v>
      </c>
      <c r="E84" s="82">
        <v>8.1836000000000002</v>
      </c>
      <c r="F84" s="82"/>
      <c r="G84" s="28"/>
      <c r="H84" s="28"/>
    </row>
    <row r="85" spans="1:8" ht="18.75" customHeight="1" x14ac:dyDescent="0.25">
      <c r="A85" s="7">
        <v>700</v>
      </c>
      <c r="B85" s="81">
        <v>0.40699999999999997</v>
      </c>
      <c r="C85" s="83">
        <v>3475.8</v>
      </c>
      <c r="D85" s="83">
        <v>3923.5</v>
      </c>
      <c r="E85" s="82">
        <v>8.2309999999999999</v>
      </c>
      <c r="F85" s="82"/>
      <c r="G85" s="28"/>
      <c r="H85" s="28"/>
    </row>
    <row r="86" spans="1:8" ht="18.75" customHeight="1" x14ac:dyDescent="0.25">
      <c r="A86" s="7">
        <v>720</v>
      </c>
      <c r="B86" s="81">
        <v>0.41548000000000002</v>
      </c>
      <c r="C86" s="83">
        <v>3512.4</v>
      </c>
      <c r="D86" s="83">
        <v>3969.4</v>
      </c>
      <c r="E86" s="82">
        <v>8.2776999999999994</v>
      </c>
      <c r="F86" s="82"/>
      <c r="G86" s="28"/>
      <c r="H86" s="28"/>
    </row>
    <row r="87" spans="1:8" ht="18.75" customHeight="1" x14ac:dyDescent="0.25">
      <c r="A87" s="7">
        <v>740</v>
      </c>
      <c r="B87" s="81">
        <v>0.42396</v>
      </c>
      <c r="C87" s="83">
        <v>3549.2</v>
      </c>
      <c r="D87" s="83">
        <v>4015.6</v>
      </c>
      <c r="E87" s="82">
        <v>8.3237000000000005</v>
      </c>
      <c r="F87" s="82"/>
      <c r="G87" s="28"/>
      <c r="H87" s="28"/>
    </row>
    <row r="88" spans="1:8" ht="18.75" customHeight="1" x14ac:dyDescent="0.25">
      <c r="A88" s="7">
        <v>760</v>
      </c>
      <c r="B88" s="81">
        <v>0.43242999999999998</v>
      </c>
      <c r="C88" s="83">
        <v>3586.3</v>
      </c>
      <c r="D88" s="83">
        <v>4062</v>
      </c>
      <c r="E88" s="82">
        <v>8.3690999999999995</v>
      </c>
      <c r="F88" s="82"/>
      <c r="G88" s="28"/>
      <c r="H88" s="28"/>
    </row>
    <row r="89" spans="1:8" ht="18.75" customHeight="1" x14ac:dyDescent="0.25">
      <c r="A89" s="7">
        <v>780</v>
      </c>
      <c r="B89" s="81">
        <v>0.44090000000000001</v>
      </c>
      <c r="C89" s="83">
        <v>3623.7</v>
      </c>
      <c r="D89" s="83">
        <v>4108.7</v>
      </c>
      <c r="E89" s="82">
        <v>8.4138999999999999</v>
      </c>
      <c r="F89" s="82"/>
      <c r="G89" s="28"/>
      <c r="H89" s="28"/>
    </row>
    <row r="90" spans="1:8" ht="18.75" customHeight="1" x14ac:dyDescent="0.25">
      <c r="A90" s="7">
        <v>800</v>
      </c>
      <c r="B90" s="81">
        <v>0.44935999999999998</v>
      </c>
      <c r="C90" s="83">
        <v>3661.3</v>
      </c>
      <c r="D90" s="83">
        <v>4155.6000000000004</v>
      </c>
      <c r="E90" s="82">
        <v>8.4581</v>
      </c>
      <c r="F90" s="82"/>
      <c r="G90" s="28"/>
      <c r="H90" s="28"/>
    </row>
    <row r="91" spans="1:8" ht="18.75" customHeight="1" x14ac:dyDescent="0.25">
      <c r="A91" s="7">
        <v>820</v>
      </c>
      <c r="B91" s="81">
        <v>0.45780999999999999</v>
      </c>
      <c r="C91" s="83">
        <v>3699.3</v>
      </c>
      <c r="D91" s="83">
        <v>4202.8999999999996</v>
      </c>
      <c r="E91" s="82">
        <v>8.5016999999999996</v>
      </c>
      <c r="F91" s="82"/>
      <c r="G91" s="28"/>
      <c r="H91" s="28"/>
    </row>
    <row r="92" spans="1:8" ht="18.75" customHeight="1" x14ac:dyDescent="0.25">
      <c r="A92" s="7">
        <v>840</v>
      </c>
      <c r="B92" s="81">
        <v>0.46627000000000002</v>
      </c>
      <c r="C92" s="83">
        <v>3737.4</v>
      </c>
      <c r="D92" s="83">
        <v>4250.3</v>
      </c>
      <c r="E92" s="82">
        <v>8.5447000000000006</v>
      </c>
      <c r="F92" s="82"/>
      <c r="G92" s="28"/>
      <c r="H92" s="28"/>
    </row>
    <row r="93" spans="1:8" ht="18.75" customHeight="1" x14ac:dyDescent="0.25">
      <c r="A93" s="7">
        <v>860</v>
      </c>
      <c r="B93" s="81">
        <v>0.47471999999999998</v>
      </c>
      <c r="C93" s="83">
        <v>3775.9</v>
      </c>
      <c r="D93" s="83">
        <v>4298.1000000000004</v>
      </c>
      <c r="E93" s="82">
        <v>8.5871999999999993</v>
      </c>
      <c r="F93" s="82"/>
      <c r="G93" s="28"/>
      <c r="H93" s="28"/>
    </row>
    <row r="94" spans="1:8" ht="18.75" customHeight="1" x14ac:dyDescent="0.25">
      <c r="A94" s="7">
        <v>880</v>
      </c>
      <c r="B94" s="81">
        <v>0.48316999999999999</v>
      </c>
      <c r="C94" s="83">
        <v>3814.6</v>
      </c>
      <c r="D94" s="83">
        <v>4346.1000000000004</v>
      </c>
      <c r="E94" s="82">
        <v>8.6292000000000009</v>
      </c>
      <c r="F94" s="82"/>
      <c r="G94" s="28"/>
      <c r="H94" s="28"/>
    </row>
    <row r="95" spans="1:8" ht="18.75" customHeight="1" x14ac:dyDescent="0.25">
      <c r="A95" s="7">
        <v>900</v>
      </c>
      <c r="B95" s="81">
        <v>0.49160999999999999</v>
      </c>
      <c r="C95" s="83">
        <v>3853.6</v>
      </c>
      <c r="D95" s="83">
        <v>4394.3999999999996</v>
      </c>
      <c r="E95" s="82">
        <v>8.6707000000000001</v>
      </c>
      <c r="F95" s="82"/>
      <c r="G95" s="28"/>
      <c r="H95" s="28"/>
    </row>
    <row r="96" spans="1:8" ht="18.75" customHeight="1" x14ac:dyDescent="0.25">
      <c r="A96" s="7">
        <v>920</v>
      </c>
      <c r="B96" s="81">
        <v>0.50004999999999999</v>
      </c>
      <c r="C96" s="83">
        <v>3892.8</v>
      </c>
      <c r="D96" s="83">
        <v>4442.8999999999996</v>
      </c>
      <c r="E96" s="82">
        <v>8.7117000000000004</v>
      </c>
      <c r="F96" s="82"/>
      <c r="G96" s="28"/>
      <c r="H96" s="28"/>
    </row>
    <row r="97" spans="1:8" ht="18.75" customHeight="1" x14ac:dyDescent="0.25">
      <c r="A97" s="7">
        <v>940</v>
      </c>
      <c r="B97" s="81">
        <v>0.50849</v>
      </c>
      <c r="C97" s="83">
        <v>3932.4</v>
      </c>
      <c r="D97" s="83">
        <v>4491.7</v>
      </c>
      <c r="E97" s="82">
        <v>8.7523</v>
      </c>
      <c r="F97" s="82"/>
      <c r="G97" s="28"/>
      <c r="H97" s="28"/>
    </row>
    <row r="98" spans="1:8" ht="18.75" customHeight="1" x14ac:dyDescent="0.25">
      <c r="A98" s="7">
        <v>960</v>
      </c>
      <c r="B98" s="81">
        <v>0.51693</v>
      </c>
      <c r="C98" s="83">
        <v>3972.2</v>
      </c>
      <c r="D98" s="83">
        <v>4540.8</v>
      </c>
      <c r="E98" s="82">
        <v>8.7924000000000007</v>
      </c>
      <c r="F98" s="82"/>
      <c r="G98" s="28"/>
      <c r="H98" s="28"/>
    </row>
    <row r="99" spans="1:8" ht="18.75" customHeight="1" x14ac:dyDescent="0.25">
      <c r="A99" s="7">
        <v>980</v>
      </c>
      <c r="B99" s="81">
        <v>0.52536000000000005</v>
      </c>
      <c r="C99" s="83">
        <v>4012.2</v>
      </c>
      <c r="D99" s="83">
        <v>4590.1000000000004</v>
      </c>
      <c r="E99" s="82">
        <v>8.8321000000000005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0.53378999999999999</v>
      </c>
      <c r="C100" s="83">
        <v>4052.5</v>
      </c>
      <c r="D100" s="83">
        <v>4639.7</v>
      </c>
      <c r="E100" s="82">
        <v>8.8712999999999997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H100"/>
  <sheetViews>
    <sheetView topLeftCell="A25" workbookViewId="0">
      <selection activeCell="A43" sqref="A43:XFD43"/>
    </sheetView>
  </sheetViews>
  <sheetFormatPr defaultRowHeight="13.2" x14ac:dyDescent="0.25"/>
  <cols>
    <col min="1" max="1" width="10.5546875" customWidth="1"/>
    <col min="2" max="2" width="11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68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1200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9.9960000000000001E-4</v>
      </c>
      <c r="C5" s="80">
        <v>-0.02</v>
      </c>
      <c r="D5" s="80">
        <v>1.18</v>
      </c>
      <c r="E5" s="81">
        <v>-8.0000000000000007E-5</v>
      </c>
      <c r="F5" s="81"/>
      <c r="G5" s="28"/>
      <c r="H5" s="28"/>
    </row>
    <row r="6" spans="1:8" ht="18.75" customHeight="1" x14ac:dyDescent="0.25">
      <c r="A6" s="7">
        <v>5</v>
      </c>
      <c r="B6" s="79">
        <v>9.9949000000000001E-4</v>
      </c>
      <c r="C6" s="80">
        <v>21.01</v>
      </c>
      <c r="D6" s="80">
        <v>22.21</v>
      </c>
      <c r="E6" s="81">
        <v>7.6230000000000006E-2</v>
      </c>
      <c r="F6" s="81"/>
      <c r="G6" s="28"/>
      <c r="H6" s="28"/>
    </row>
    <row r="7" spans="1:8" ht="18.75" customHeight="1" x14ac:dyDescent="0.25">
      <c r="A7" s="7">
        <v>10</v>
      </c>
      <c r="B7" s="79">
        <v>9.9977000000000009E-4</v>
      </c>
      <c r="C7" s="80">
        <v>41.99</v>
      </c>
      <c r="D7" s="80">
        <v>43.19</v>
      </c>
      <c r="E7" s="81">
        <v>0.15098</v>
      </c>
      <c r="F7" s="81"/>
      <c r="G7" s="28"/>
      <c r="H7" s="28"/>
    </row>
    <row r="8" spans="1:8" ht="18.75" customHeight="1" x14ac:dyDescent="0.25">
      <c r="A8" s="7">
        <v>15</v>
      </c>
      <c r="B8" s="79">
        <v>1.0003900000000001E-3</v>
      </c>
      <c r="C8" s="80">
        <v>62.93</v>
      </c>
      <c r="D8" s="80">
        <v>64.13</v>
      </c>
      <c r="E8" s="81">
        <v>0.22428000000000001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1.0012899999999999E-3</v>
      </c>
      <c r="C9" s="80">
        <v>83.84</v>
      </c>
      <c r="D9" s="80">
        <v>85.04</v>
      </c>
      <c r="E9" s="81">
        <v>0.29622999999999999</v>
      </c>
      <c r="F9" s="81"/>
      <c r="G9" s="28"/>
      <c r="H9" s="28"/>
    </row>
    <row r="10" spans="1:8" ht="18.75" customHeight="1" x14ac:dyDescent="0.25">
      <c r="A10" s="7">
        <v>25</v>
      </c>
      <c r="B10" s="79">
        <v>1.0024599999999999E-3</v>
      </c>
      <c r="C10" s="80">
        <v>104.74</v>
      </c>
      <c r="D10" s="80">
        <v>105.94</v>
      </c>
      <c r="E10" s="81">
        <v>0.36692000000000002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1.00388E-3</v>
      </c>
      <c r="C11" s="80">
        <v>125.62</v>
      </c>
      <c r="D11" s="80">
        <v>126.82</v>
      </c>
      <c r="E11" s="81">
        <v>0.43639</v>
      </c>
      <c r="F11" s="81"/>
      <c r="G11" s="28"/>
      <c r="H11" s="28"/>
    </row>
    <row r="12" spans="1:8" ht="18.75" customHeight="1" x14ac:dyDescent="0.25">
      <c r="A12" s="7">
        <v>35</v>
      </c>
      <c r="B12" s="79">
        <v>1.00551E-3</v>
      </c>
      <c r="C12" s="80">
        <v>146.5</v>
      </c>
      <c r="D12" s="80">
        <v>147.71</v>
      </c>
      <c r="E12" s="81">
        <v>0.50470999999999999</v>
      </c>
      <c r="F12" s="81"/>
      <c r="G12" s="28"/>
      <c r="H12" s="28"/>
    </row>
    <row r="13" spans="1:8" ht="18.75" customHeight="1" x14ac:dyDescent="0.25">
      <c r="A13" s="7">
        <v>40</v>
      </c>
      <c r="B13" s="79">
        <v>1.0073599999999999E-3</v>
      </c>
      <c r="C13" s="80">
        <v>167.38</v>
      </c>
      <c r="D13" s="80">
        <v>168.59</v>
      </c>
      <c r="E13" s="81">
        <v>0.57194</v>
      </c>
      <c r="F13" s="81"/>
      <c r="G13" s="28"/>
      <c r="H13" s="28"/>
    </row>
    <row r="14" spans="1:8" ht="18.75" customHeight="1" x14ac:dyDescent="0.25">
      <c r="A14" s="7">
        <v>45</v>
      </c>
      <c r="B14" s="79">
        <v>1.00939E-3</v>
      </c>
      <c r="C14" s="80">
        <v>188.27</v>
      </c>
      <c r="D14" s="80">
        <v>189.48</v>
      </c>
      <c r="E14" s="81">
        <v>0.63810999999999996</v>
      </c>
      <c r="F14" s="81"/>
      <c r="G14" s="28"/>
      <c r="H14" s="28"/>
    </row>
    <row r="15" spans="1:8" ht="18.75" customHeight="1" x14ac:dyDescent="0.25">
      <c r="A15" s="7">
        <v>50</v>
      </c>
      <c r="B15" s="79">
        <v>1.01162E-3</v>
      </c>
      <c r="C15" s="80">
        <v>209.16</v>
      </c>
      <c r="D15" s="80">
        <v>210.37</v>
      </c>
      <c r="E15" s="81">
        <v>0.70326</v>
      </c>
      <c r="F15" s="81"/>
      <c r="G15" s="28"/>
      <c r="H15" s="28"/>
    </row>
    <row r="16" spans="1:8" ht="18.75" customHeight="1" x14ac:dyDescent="0.25">
      <c r="A16" s="7">
        <v>55</v>
      </c>
      <c r="B16" s="79">
        <v>1.01402E-3</v>
      </c>
      <c r="C16" s="80">
        <v>230.04</v>
      </c>
      <c r="D16" s="80">
        <v>231.26</v>
      </c>
      <c r="E16" s="81">
        <v>0.76742999999999995</v>
      </c>
      <c r="F16" s="81"/>
      <c r="G16" s="28"/>
      <c r="H16" s="28"/>
    </row>
    <row r="17" spans="1:8" ht="18.75" customHeight="1" x14ac:dyDescent="0.25">
      <c r="A17" s="7">
        <v>60</v>
      </c>
      <c r="B17" s="79">
        <v>1.0166000000000001E-3</v>
      </c>
      <c r="C17" s="80">
        <v>250.95</v>
      </c>
      <c r="D17" s="80">
        <v>252.17</v>
      </c>
      <c r="E17" s="81">
        <v>0.83067000000000002</v>
      </c>
      <c r="F17" s="81"/>
      <c r="G17" s="28"/>
      <c r="H17" s="28"/>
    </row>
    <row r="18" spans="1:8" ht="18.75" customHeight="1" x14ac:dyDescent="0.25">
      <c r="A18" s="7">
        <v>65</v>
      </c>
      <c r="B18" s="79">
        <v>1.0193299999999999E-3</v>
      </c>
      <c r="C18" s="80">
        <v>271.87</v>
      </c>
      <c r="D18" s="80">
        <v>273.08999999999997</v>
      </c>
      <c r="E18" s="81">
        <v>0.89298999999999995</v>
      </c>
      <c r="F18" s="81"/>
      <c r="G18" s="28"/>
      <c r="H18" s="28"/>
    </row>
    <row r="19" spans="1:8" ht="18.75" customHeight="1" x14ac:dyDescent="0.25">
      <c r="A19" s="7">
        <v>70</v>
      </c>
      <c r="B19" s="79">
        <v>1.0222300000000001E-3</v>
      </c>
      <c r="C19" s="80">
        <v>292.79000000000002</v>
      </c>
      <c r="D19" s="80">
        <v>294.02</v>
      </c>
      <c r="E19" s="81">
        <v>0.95443999999999996</v>
      </c>
      <c r="F19" s="81"/>
      <c r="G19" s="28"/>
      <c r="H19" s="28"/>
    </row>
    <row r="20" spans="1:8" ht="18.75" customHeight="1" x14ac:dyDescent="0.25">
      <c r="A20" s="7">
        <v>75</v>
      </c>
      <c r="B20" s="79">
        <v>1.0252900000000001E-3</v>
      </c>
      <c r="C20" s="80">
        <v>313.74</v>
      </c>
      <c r="D20" s="80">
        <v>314.97000000000003</v>
      </c>
      <c r="E20" s="82">
        <v>1.0149999999999999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1.0285100000000001E-3</v>
      </c>
      <c r="C21" s="80">
        <v>334.7</v>
      </c>
      <c r="D21" s="80">
        <v>335.93</v>
      </c>
      <c r="E21" s="82">
        <v>1.0748</v>
      </c>
      <c r="F21" s="82"/>
      <c r="G21" s="28"/>
      <c r="H21" s="28"/>
    </row>
    <row r="22" spans="1:8" ht="18.75" customHeight="1" x14ac:dyDescent="0.25">
      <c r="A22" s="7">
        <v>85</v>
      </c>
      <c r="B22" s="79">
        <v>1.03188E-3</v>
      </c>
      <c r="C22" s="80">
        <v>355.67</v>
      </c>
      <c r="D22" s="80">
        <v>356.91</v>
      </c>
      <c r="E22" s="82">
        <v>1.1337999999999999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1.0353999999999999E-3</v>
      </c>
      <c r="C23" s="80">
        <v>376.67</v>
      </c>
      <c r="D23" s="80">
        <v>377.91</v>
      </c>
      <c r="E23" s="82">
        <v>1.1920999999999999</v>
      </c>
      <c r="F23" s="82"/>
      <c r="G23" s="28"/>
      <c r="H23" s="28"/>
    </row>
    <row r="24" spans="1:8" ht="18.75" customHeight="1" x14ac:dyDescent="0.25">
      <c r="A24" s="7">
        <v>95</v>
      </c>
      <c r="B24" s="79">
        <v>1.03907E-3</v>
      </c>
      <c r="C24" s="80">
        <v>397.69</v>
      </c>
      <c r="D24" s="80">
        <v>398.94</v>
      </c>
      <c r="E24" s="82">
        <v>1.2496</v>
      </c>
      <c r="F24" s="82"/>
      <c r="G24" s="28"/>
      <c r="H24" s="28"/>
    </row>
    <row r="25" spans="1:8" ht="18.75" customHeight="1" x14ac:dyDescent="0.25">
      <c r="A25" s="7">
        <v>100</v>
      </c>
      <c r="B25" s="79">
        <v>1.0429E-3</v>
      </c>
      <c r="C25" s="80">
        <v>418.74</v>
      </c>
      <c r="D25" s="80">
        <v>419.99</v>
      </c>
      <c r="E25" s="82">
        <v>1.3064</v>
      </c>
      <c r="F25" s="82"/>
      <c r="G25" s="28"/>
      <c r="H25" s="28"/>
    </row>
    <row r="26" spans="1:8" ht="18.75" customHeight="1" x14ac:dyDescent="0.25">
      <c r="A26" s="7">
        <v>105</v>
      </c>
      <c r="B26" s="79">
        <v>1.04688E-3</v>
      </c>
      <c r="C26" s="80">
        <v>439.81</v>
      </c>
      <c r="D26" s="80">
        <v>441.07</v>
      </c>
      <c r="E26" s="82">
        <v>1.3625</v>
      </c>
      <c r="F26" s="82"/>
      <c r="G26" s="28"/>
      <c r="H26" s="28"/>
    </row>
    <row r="27" spans="1:8" ht="18.75" customHeight="1" x14ac:dyDescent="0.25">
      <c r="A27" s="7">
        <v>110</v>
      </c>
      <c r="B27" s="79">
        <v>1.0510199999999999E-3</v>
      </c>
      <c r="C27" s="80">
        <v>460.92</v>
      </c>
      <c r="D27" s="80">
        <v>462.18</v>
      </c>
      <c r="E27" s="82">
        <v>1.4178999999999999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1.0553100000000001E-3</v>
      </c>
      <c r="C28" s="80">
        <v>482.06</v>
      </c>
      <c r="D28" s="80">
        <v>483.33</v>
      </c>
      <c r="E28" s="82">
        <v>1.4728000000000001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1.0597600000000001E-3</v>
      </c>
      <c r="C29" s="80">
        <v>503.25</v>
      </c>
      <c r="D29" s="80">
        <v>504.52</v>
      </c>
      <c r="E29" s="82">
        <v>1.5269999999999999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1.06438E-3</v>
      </c>
      <c r="C30" s="80">
        <v>524.46</v>
      </c>
      <c r="D30" s="80">
        <v>525.74</v>
      </c>
      <c r="E30" s="82">
        <v>1.5806</v>
      </c>
      <c r="F30" s="82"/>
      <c r="G30" s="28"/>
      <c r="H30" s="28"/>
    </row>
    <row r="31" spans="1:8" ht="18.75" customHeight="1" x14ac:dyDescent="0.25">
      <c r="A31" s="7">
        <v>130</v>
      </c>
      <c r="B31" s="79">
        <v>1.06916E-3</v>
      </c>
      <c r="C31" s="80">
        <v>545.73</v>
      </c>
      <c r="D31" s="80">
        <v>547.01</v>
      </c>
      <c r="E31" s="82">
        <v>1.6336999999999999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1.0740999999999999E-3</v>
      </c>
      <c r="C32" s="80">
        <v>567.04</v>
      </c>
      <c r="D32" s="80">
        <v>568.33000000000004</v>
      </c>
      <c r="E32" s="82">
        <v>1.6862999999999999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1.07923E-3</v>
      </c>
      <c r="C33" s="80">
        <v>588.41</v>
      </c>
      <c r="D33" s="80">
        <v>589.71</v>
      </c>
      <c r="E33" s="82">
        <v>1.7383</v>
      </c>
      <c r="F33" s="82"/>
      <c r="G33" s="28"/>
      <c r="H33" s="28"/>
    </row>
    <row r="34" spans="1:8" ht="18.75" customHeight="1" x14ac:dyDescent="0.25">
      <c r="A34" s="7">
        <v>145</v>
      </c>
      <c r="B34" s="79">
        <v>1.08453E-3</v>
      </c>
      <c r="C34" s="80">
        <v>609.83000000000004</v>
      </c>
      <c r="D34" s="80">
        <v>611.13</v>
      </c>
      <c r="E34" s="82">
        <v>1.7899</v>
      </c>
      <c r="F34" s="82"/>
      <c r="G34" s="28"/>
      <c r="H34" s="28"/>
    </row>
    <row r="35" spans="1:8" ht="18.75" customHeight="1" x14ac:dyDescent="0.25">
      <c r="A35" s="7">
        <v>150</v>
      </c>
      <c r="B35" s="79">
        <v>1.09001E-3</v>
      </c>
      <c r="C35" s="80">
        <v>631.32000000000005</v>
      </c>
      <c r="D35" s="80">
        <v>632.63</v>
      </c>
      <c r="E35" s="82">
        <v>1.841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1.0956900000000001E-3</v>
      </c>
      <c r="C36" s="80">
        <v>652.87</v>
      </c>
      <c r="D36" s="80">
        <v>654.17999999999995</v>
      </c>
      <c r="E36" s="82">
        <v>1.8915999999999999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1.1015700000000001E-3</v>
      </c>
      <c r="C37" s="80">
        <v>674.49</v>
      </c>
      <c r="D37" s="80">
        <v>675.81</v>
      </c>
      <c r="E37" s="82">
        <v>1.9419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1.10765E-3</v>
      </c>
      <c r="C38" s="80">
        <v>696.19</v>
      </c>
      <c r="D38" s="80">
        <v>697.52</v>
      </c>
      <c r="E38" s="82">
        <v>1.9917</v>
      </c>
      <c r="F38" s="82"/>
      <c r="G38" s="28"/>
      <c r="H38" s="28"/>
    </row>
    <row r="39" spans="1:8" ht="18.75" customHeight="1" x14ac:dyDescent="0.25">
      <c r="A39" s="7">
        <v>170</v>
      </c>
      <c r="B39" s="79">
        <v>1.1139500000000001E-3</v>
      </c>
      <c r="C39" s="80">
        <v>717.97</v>
      </c>
      <c r="D39" s="80">
        <v>719.31</v>
      </c>
      <c r="E39" s="82">
        <v>2.0411000000000001</v>
      </c>
      <c r="F39" s="82"/>
      <c r="G39" s="28"/>
      <c r="H39" s="28"/>
    </row>
    <row r="40" spans="1:8" ht="18.75" customHeight="1" x14ac:dyDescent="0.25">
      <c r="A40" s="7">
        <v>175</v>
      </c>
      <c r="B40" s="79">
        <v>1.1204699999999999E-3</v>
      </c>
      <c r="C40" s="80">
        <v>739.84</v>
      </c>
      <c r="D40" s="80">
        <v>741.18</v>
      </c>
      <c r="E40" s="82">
        <v>2.0901999999999998</v>
      </c>
      <c r="F40" s="82"/>
      <c r="G40" s="28"/>
      <c r="H40" s="28"/>
    </row>
    <row r="41" spans="1:8" ht="18.75" customHeight="1" x14ac:dyDescent="0.25">
      <c r="A41" s="7">
        <v>180</v>
      </c>
      <c r="B41" s="79">
        <v>1.1272299999999999E-3</v>
      </c>
      <c r="C41" s="80">
        <v>761.8</v>
      </c>
      <c r="D41" s="80">
        <v>763.15</v>
      </c>
      <c r="E41" s="82">
        <v>2.1389999999999998</v>
      </c>
      <c r="F41" s="82"/>
      <c r="G41" s="28"/>
      <c r="H41" s="28"/>
    </row>
    <row r="42" spans="1:8" ht="18.75" customHeight="1" x14ac:dyDescent="0.25">
      <c r="A42" s="7">
        <v>185</v>
      </c>
      <c r="B42" s="79">
        <v>1.1342399999999999E-3</v>
      </c>
      <c r="C42" s="80">
        <v>783.87</v>
      </c>
      <c r="D42" s="80">
        <v>785.23</v>
      </c>
      <c r="E42" s="82">
        <v>2.1873999999999998</v>
      </c>
      <c r="F42" s="82"/>
      <c r="G42" s="28"/>
      <c r="H42" s="28"/>
    </row>
    <row r="43" spans="1:8" ht="18.75" customHeight="1" x14ac:dyDescent="0.25">
      <c r="A43" s="7">
        <v>190</v>
      </c>
      <c r="B43" s="81">
        <v>0.16431999999999999</v>
      </c>
      <c r="C43" s="83">
        <v>2592.1999999999998</v>
      </c>
      <c r="D43" s="83">
        <v>2789.4</v>
      </c>
      <c r="E43" s="82">
        <v>6.5339999999999998</v>
      </c>
      <c r="F43" s="82"/>
      <c r="G43" s="28"/>
      <c r="H43" s="28"/>
    </row>
    <row r="44" spans="1:8" ht="18.75" customHeight="1" x14ac:dyDescent="0.25">
      <c r="A44" s="7">
        <v>195</v>
      </c>
      <c r="B44" s="81">
        <v>0.16686000000000001</v>
      </c>
      <c r="C44" s="83">
        <v>2602.8000000000002</v>
      </c>
      <c r="D44" s="83">
        <v>2803</v>
      </c>
      <c r="E44" s="82">
        <v>6.5631000000000004</v>
      </c>
      <c r="F44" s="82"/>
      <c r="G44" s="28"/>
      <c r="H44" s="28"/>
    </row>
    <row r="45" spans="1:8" ht="18.75" customHeight="1" x14ac:dyDescent="0.25">
      <c r="A45" s="7">
        <v>200</v>
      </c>
      <c r="B45" s="81">
        <v>0.16933999999999999</v>
      </c>
      <c r="C45" s="83">
        <v>2612.9</v>
      </c>
      <c r="D45" s="83">
        <v>2816.1</v>
      </c>
      <c r="E45" s="82">
        <v>6.5909000000000004</v>
      </c>
      <c r="F45" s="82"/>
      <c r="G45" s="28"/>
      <c r="H45" s="28"/>
    </row>
    <row r="46" spans="1:8" ht="18.75" customHeight="1" x14ac:dyDescent="0.25">
      <c r="A46" s="7">
        <v>210</v>
      </c>
      <c r="B46" s="81">
        <v>0.17416999999999999</v>
      </c>
      <c r="C46" s="83">
        <v>2632.3</v>
      </c>
      <c r="D46" s="83">
        <v>2841.3</v>
      </c>
      <c r="E46" s="82">
        <v>6.6436999999999999</v>
      </c>
      <c r="F46" s="82"/>
      <c r="G46" s="28"/>
      <c r="H46" s="28"/>
    </row>
    <row r="47" spans="1:8" ht="18.75" customHeight="1" x14ac:dyDescent="0.25">
      <c r="A47" s="7">
        <v>220</v>
      </c>
      <c r="B47" s="81">
        <v>0.17887</v>
      </c>
      <c r="C47" s="83">
        <v>2651.1</v>
      </c>
      <c r="D47" s="83">
        <v>2865.7</v>
      </c>
      <c r="E47" s="82">
        <v>6.6936999999999998</v>
      </c>
      <c r="F47" s="82"/>
      <c r="G47" s="28"/>
      <c r="H47" s="28"/>
    </row>
    <row r="48" spans="1:8" ht="18.75" customHeight="1" x14ac:dyDescent="0.25">
      <c r="A48" s="7">
        <v>230</v>
      </c>
      <c r="B48" s="81">
        <v>0.18346000000000001</v>
      </c>
      <c r="C48" s="83">
        <v>2669.3</v>
      </c>
      <c r="D48" s="83">
        <v>2889.5</v>
      </c>
      <c r="E48" s="82">
        <v>6.7413999999999996</v>
      </c>
      <c r="F48" s="82"/>
      <c r="G48" s="28"/>
      <c r="H48" s="28"/>
    </row>
    <row r="49" spans="1:8" ht="18.75" customHeight="1" x14ac:dyDescent="0.25">
      <c r="A49" s="7">
        <v>240</v>
      </c>
      <c r="B49" s="81">
        <v>0.18797</v>
      </c>
      <c r="C49" s="83">
        <v>2687.1</v>
      </c>
      <c r="D49" s="83">
        <v>2912.7</v>
      </c>
      <c r="E49" s="82">
        <v>6.7872000000000003</v>
      </c>
      <c r="F49" s="82"/>
      <c r="G49" s="28"/>
      <c r="H49" s="28"/>
    </row>
    <row r="50" spans="1:8" ht="18.75" customHeight="1" x14ac:dyDescent="0.25">
      <c r="A50" s="7">
        <v>250</v>
      </c>
      <c r="B50" s="81">
        <v>0.19241</v>
      </c>
      <c r="C50" s="83">
        <v>2704.7</v>
      </c>
      <c r="D50" s="83">
        <v>2935.6</v>
      </c>
      <c r="E50" s="82">
        <v>6.8312999999999997</v>
      </c>
      <c r="F50" s="82"/>
      <c r="G50" s="28"/>
      <c r="H50" s="28"/>
    </row>
    <row r="51" spans="1:8" ht="18.75" customHeight="1" x14ac:dyDescent="0.25">
      <c r="A51" s="7">
        <v>260</v>
      </c>
      <c r="B51" s="81">
        <v>0.19678999999999999</v>
      </c>
      <c r="C51" s="83">
        <v>2722.1</v>
      </c>
      <c r="D51" s="83">
        <v>2958.2</v>
      </c>
      <c r="E51" s="82">
        <v>6.8739999999999997</v>
      </c>
      <c r="F51" s="82"/>
      <c r="G51" s="28"/>
      <c r="H51" s="28"/>
    </row>
    <row r="52" spans="1:8" ht="18.75" customHeight="1" x14ac:dyDescent="0.25">
      <c r="A52" s="7">
        <v>270</v>
      </c>
      <c r="B52" s="81">
        <v>0.20111000000000001</v>
      </c>
      <c r="C52" s="83">
        <v>2739.2</v>
      </c>
      <c r="D52" s="83">
        <v>2980.5</v>
      </c>
      <c r="E52" s="82">
        <v>6.9154999999999998</v>
      </c>
      <c r="F52" s="82"/>
      <c r="G52" s="28"/>
      <c r="H52" s="28"/>
    </row>
    <row r="53" spans="1:8" ht="18.75" customHeight="1" x14ac:dyDescent="0.25">
      <c r="A53" s="7">
        <v>280</v>
      </c>
      <c r="B53" s="81">
        <v>0.2054</v>
      </c>
      <c r="C53" s="83">
        <v>2756.1</v>
      </c>
      <c r="D53" s="83">
        <v>3002.6</v>
      </c>
      <c r="E53" s="82">
        <v>6.9558</v>
      </c>
      <c r="F53" s="82"/>
      <c r="G53" s="28"/>
      <c r="H53" s="28"/>
    </row>
    <row r="54" spans="1:8" ht="18.75" customHeight="1" x14ac:dyDescent="0.25">
      <c r="A54" s="7">
        <v>290</v>
      </c>
      <c r="B54" s="81">
        <v>0.20963999999999999</v>
      </c>
      <c r="C54" s="83">
        <v>2772.9</v>
      </c>
      <c r="D54" s="83">
        <v>3024.5</v>
      </c>
      <c r="E54" s="82">
        <v>6.9950999999999999</v>
      </c>
      <c r="F54" s="82"/>
      <c r="G54" s="28"/>
      <c r="H54" s="28"/>
    </row>
    <row r="55" spans="1:8" ht="18.75" customHeight="1" x14ac:dyDescent="0.25">
      <c r="A55" s="7">
        <v>300</v>
      </c>
      <c r="B55" s="81">
        <v>0.21385999999999999</v>
      </c>
      <c r="C55" s="83">
        <v>2789.7</v>
      </c>
      <c r="D55" s="83">
        <v>3046.3</v>
      </c>
      <c r="E55" s="82">
        <v>7.0335000000000001</v>
      </c>
      <c r="F55" s="82"/>
      <c r="G55" s="28"/>
      <c r="H55" s="28"/>
    </row>
    <row r="56" spans="1:8" ht="18.75" customHeight="1" x14ac:dyDescent="0.25">
      <c r="A56" s="7">
        <v>310</v>
      </c>
      <c r="B56" s="81">
        <v>0.21804000000000001</v>
      </c>
      <c r="C56" s="83">
        <v>2806.4</v>
      </c>
      <c r="D56" s="83">
        <v>3068</v>
      </c>
      <c r="E56" s="82">
        <v>7.0709999999999997</v>
      </c>
      <c r="F56" s="82"/>
      <c r="G56" s="28"/>
      <c r="H56" s="28"/>
    </row>
    <row r="57" spans="1:8" ht="18.75" customHeight="1" x14ac:dyDescent="0.25">
      <c r="A57" s="7">
        <v>320</v>
      </c>
      <c r="B57" s="81">
        <v>0.22220000000000001</v>
      </c>
      <c r="C57" s="83">
        <v>2823</v>
      </c>
      <c r="D57" s="83">
        <v>3089.6</v>
      </c>
      <c r="E57" s="82">
        <v>7.1078000000000001</v>
      </c>
      <c r="F57" s="82"/>
      <c r="G57" s="28"/>
      <c r="H57" s="28"/>
    </row>
    <row r="58" spans="1:8" ht="18.75" customHeight="1" x14ac:dyDescent="0.25">
      <c r="A58" s="7">
        <v>330</v>
      </c>
      <c r="B58" s="81">
        <v>0.22634000000000001</v>
      </c>
      <c r="C58" s="83">
        <v>2839.6</v>
      </c>
      <c r="D58" s="83">
        <v>3111.2</v>
      </c>
      <c r="E58" s="82">
        <v>7.1437999999999997</v>
      </c>
      <c r="F58" s="82"/>
      <c r="G58" s="28"/>
      <c r="H58" s="28"/>
    </row>
    <row r="59" spans="1:8" ht="18.75" customHeight="1" x14ac:dyDescent="0.25">
      <c r="A59" s="7">
        <v>340</v>
      </c>
      <c r="B59" s="81">
        <v>0.23044999999999999</v>
      </c>
      <c r="C59" s="83">
        <v>2856.2</v>
      </c>
      <c r="D59" s="83">
        <v>3132.7</v>
      </c>
      <c r="E59" s="82">
        <v>7.1791999999999998</v>
      </c>
      <c r="F59" s="82"/>
      <c r="G59" s="28"/>
      <c r="H59" s="28"/>
    </row>
    <row r="60" spans="1:8" ht="18.75" customHeight="1" x14ac:dyDescent="0.25">
      <c r="A60" s="7">
        <v>350</v>
      </c>
      <c r="B60" s="81">
        <v>0.23455000000000001</v>
      </c>
      <c r="C60" s="83">
        <v>2872.7</v>
      </c>
      <c r="D60" s="83">
        <v>3154.2</v>
      </c>
      <c r="E60" s="82">
        <v>7.2138999999999998</v>
      </c>
      <c r="F60" s="82"/>
      <c r="G60" s="28"/>
      <c r="H60" s="28"/>
    </row>
    <row r="61" spans="1:8" ht="18.75" customHeight="1" x14ac:dyDescent="0.25">
      <c r="A61" s="7">
        <v>360</v>
      </c>
      <c r="B61" s="81">
        <v>0.23863000000000001</v>
      </c>
      <c r="C61" s="83">
        <v>2889.2</v>
      </c>
      <c r="D61" s="83">
        <v>3175.6</v>
      </c>
      <c r="E61" s="82">
        <v>7.2480000000000002</v>
      </c>
      <c r="F61" s="82"/>
      <c r="G61" s="28"/>
      <c r="H61" s="28"/>
    </row>
    <row r="62" spans="1:8" ht="18.75" customHeight="1" x14ac:dyDescent="0.25">
      <c r="A62" s="7">
        <v>370</v>
      </c>
      <c r="B62" s="81">
        <v>0.2427</v>
      </c>
      <c r="C62" s="83">
        <v>2905.8</v>
      </c>
      <c r="D62" s="83">
        <v>3197</v>
      </c>
      <c r="E62" s="82">
        <v>7.2816000000000001</v>
      </c>
      <c r="F62" s="82"/>
      <c r="G62" s="28"/>
      <c r="H62" s="28"/>
    </row>
    <row r="63" spans="1:8" ht="18.75" customHeight="1" x14ac:dyDescent="0.25">
      <c r="A63" s="7">
        <v>380</v>
      </c>
      <c r="B63" s="81">
        <v>0.24675</v>
      </c>
      <c r="C63" s="83">
        <v>2922.3</v>
      </c>
      <c r="D63" s="83">
        <v>3218.4</v>
      </c>
      <c r="E63" s="82">
        <v>7.3147000000000002</v>
      </c>
      <c r="F63" s="82"/>
      <c r="G63" s="28"/>
      <c r="H63" s="28"/>
    </row>
    <row r="64" spans="1:8" ht="18.75" customHeight="1" x14ac:dyDescent="0.25">
      <c r="A64" s="7">
        <v>390</v>
      </c>
      <c r="B64" s="81">
        <v>0.25079000000000001</v>
      </c>
      <c r="C64" s="83">
        <v>2939</v>
      </c>
      <c r="D64" s="83">
        <v>3239.9</v>
      </c>
      <c r="E64" s="82">
        <v>7.3472</v>
      </c>
      <c r="F64" s="82"/>
      <c r="G64" s="28"/>
      <c r="H64" s="28"/>
    </row>
    <row r="65" spans="1:8" ht="18.75" customHeight="1" x14ac:dyDescent="0.25">
      <c r="A65" s="7">
        <v>400</v>
      </c>
      <c r="B65" s="81">
        <v>0.25481999999999999</v>
      </c>
      <c r="C65" s="83">
        <v>2955.5</v>
      </c>
      <c r="D65" s="83">
        <v>3261.3</v>
      </c>
      <c r="E65" s="82">
        <v>7.3792999999999997</v>
      </c>
      <c r="F65" s="82"/>
      <c r="G65" s="28"/>
      <c r="H65" s="28"/>
    </row>
    <row r="66" spans="1:8" ht="18.75" customHeight="1" x14ac:dyDescent="0.25">
      <c r="A66" s="7">
        <v>410</v>
      </c>
      <c r="B66" s="81">
        <v>0.25883</v>
      </c>
      <c r="C66" s="83">
        <v>2972.1</v>
      </c>
      <c r="D66" s="83">
        <v>3282.7</v>
      </c>
      <c r="E66" s="82">
        <v>7.4108999999999998</v>
      </c>
      <c r="F66" s="82"/>
      <c r="G66" s="28"/>
      <c r="H66" s="28"/>
    </row>
    <row r="67" spans="1:8" ht="18.75" customHeight="1" x14ac:dyDescent="0.25">
      <c r="A67" s="7">
        <v>420</v>
      </c>
      <c r="B67" s="81">
        <v>0.26284000000000002</v>
      </c>
      <c r="C67" s="83">
        <v>2988.8</v>
      </c>
      <c r="D67" s="83">
        <v>3304.2</v>
      </c>
      <c r="E67" s="82">
        <v>7.4420999999999999</v>
      </c>
      <c r="F67" s="82"/>
      <c r="G67" s="28"/>
      <c r="H67" s="28"/>
    </row>
    <row r="68" spans="1:8" ht="18.75" customHeight="1" x14ac:dyDescent="0.25">
      <c r="A68" s="7">
        <v>430</v>
      </c>
      <c r="B68" s="81">
        <v>0.26684000000000002</v>
      </c>
      <c r="C68" s="83">
        <v>3005.5</v>
      </c>
      <c r="D68" s="83">
        <v>3325.7</v>
      </c>
      <c r="E68" s="82">
        <v>7.4728000000000003</v>
      </c>
      <c r="F68" s="82"/>
      <c r="G68" s="28"/>
      <c r="H68" s="28"/>
    </row>
    <row r="69" spans="1:8" ht="18.75" customHeight="1" x14ac:dyDescent="0.25">
      <c r="A69" s="7">
        <v>440</v>
      </c>
      <c r="B69" s="81">
        <v>0.27083000000000002</v>
      </c>
      <c r="C69" s="83">
        <v>3022.2</v>
      </c>
      <c r="D69" s="83">
        <v>3347.2</v>
      </c>
      <c r="E69" s="82">
        <v>7.5031999999999996</v>
      </c>
      <c r="F69" s="82"/>
      <c r="G69" s="28"/>
      <c r="H69" s="28"/>
    </row>
    <row r="70" spans="1:8" ht="18.75" customHeight="1" x14ac:dyDescent="0.25">
      <c r="A70" s="7">
        <v>450</v>
      </c>
      <c r="B70" s="81">
        <v>0.27482000000000001</v>
      </c>
      <c r="C70" s="83">
        <v>3038.9</v>
      </c>
      <c r="D70" s="83">
        <v>3368.7</v>
      </c>
      <c r="E70" s="82">
        <v>7.5331999999999999</v>
      </c>
      <c r="F70" s="82"/>
      <c r="G70" s="28"/>
      <c r="H70" s="28"/>
    </row>
    <row r="71" spans="1:8" ht="18.75" customHeight="1" x14ac:dyDescent="0.25">
      <c r="A71" s="7">
        <v>460</v>
      </c>
      <c r="B71" s="81">
        <v>0.27878999999999998</v>
      </c>
      <c r="C71" s="83">
        <v>3055.8</v>
      </c>
      <c r="D71" s="83">
        <v>3390.3</v>
      </c>
      <c r="E71" s="82">
        <v>7.5628000000000002</v>
      </c>
      <c r="F71" s="82"/>
      <c r="G71" s="28"/>
      <c r="H71" s="28"/>
    </row>
    <row r="72" spans="1:8" ht="18.75" customHeight="1" x14ac:dyDescent="0.25">
      <c r="A72" s="7">
        <v>470</v>
      </c>
      <c r="B72" s="81">
        <v>0.28276000000000001</v>
      </c>
      <c r="C72" s="83">
        <v>3072.6</v>
      </c>
      <c r="D72" s="83">
        <v>3411.9</v>
      </c>
      <c r="E72" s="82">
        <v>7.5921000000000003</v>
      </c>
      <c r="F72" s="82"/>
      <c r="G72" s="28"/>
      <c r="H72" s="28"/>
    </row>
    <row r="73" spans="1:8" ht="18.75" customHeight="1" x14ac:dyDescent="0.25">
      <c r="A73" s="7">
        <v>480</v>
      </c>
      <c r="B73" s="81">
        <v>0.28672999999999998</v>
      </c>
      <c r="C73" s="83">
        <v>3089.4</v>
      </c>
      <c r="D73" s="83">
        <v>3433.5</v>
      </c>
      <c r="E73" s="82">
        <v>7.6210000000000004</v>
      </c>
      <c r="F73" s="82"/>
      <c r="G73" s="28"/>
      <c r="H73" s="28"/>
    </row>
    <row r="74" spans="1:8" ht="18.75" customHeight="1" x14ac:dyDescent="0.25">
      <c r="A74" s="7">
        <v>490</v>
      </c>
      <c r="B74" s="81">
        <v>0.29069</v>
      </c>
      <c r="C74" s="83">
        <v>3106.4</v>
      </c>
      <c r="D74" s="83">
        <v>3455.2</v>
      </c>
      <c r="E74" s="82">
        <v>7.6496000000000004</v>
      </c>
      <c r="F74" s="82"/>
      <c r="G74" s="28"/>
      <c r="H74" s="28"/>
    </row>
    <row r="75" spans="1:8" ht="18.75" customHeight="1" x14ac:dyDescent="0.25">
      <c r="A75" s="7">
        <v>500</v>
      </c>
      <c r="B75" s="81">
        <v>0.29464000000000001</v>
      </c>
      <c r="C75" s="83">
        <v>3123.3</v>
      </c>
      <c r="D75" s="83">
        <v>3476.9</v>
      </c>
      <c r="E75" s="82">
        <v>7.6779000000000002</v>
      </c>
      <c r="F75" s="82"/>
      <c r="G75" s="28"/>
      <c r="H75" s="28"/>
    </row>
    <row r="76" spans="1:8" ht="18.75" customHeight="1" x14ac:dyDescent="0.25">
      <c r="A76" s="7">
        <v>520</v>
      </c>
      <c r="B76" s="81">
        <v>0.30253000000000002</v>
      </c>
      <c r="C76" s="83">
        <v>3157.5</v>
      </c>
      <c r="D76" s="83">
        <v>3520.5</v>
      </c>
      <c r="E76" s="82">
        <v>7.7336</v>
      </c>
      <c r="F76" s="82"/>
      <c r="G76" s="28"/>
      <c r="H76" s="28"/>
    </row>
    <row r="77" spans="1:8" ht="18.75" customHeight="1" x14ac:dyDescent="0.25">
      <c r="A77" s="7">
        <v>540</v>
      </c>
      <c r="B77" s="81">
        <v>0.31041000000000002</v>
      </c>
      <c r="C77" s="83">
        <v>3191.8</v>
      </c>
      <c r="D77" s="83">
        <v>3564.3</v>
      </c>
      <c r="E77" s="82">
        <v>7.7881</v>
      </c>
      <c r="F77" s="82"/>
      <c r="G77" s="28"/>
      <c r="H77" s="28"/>
    </row>
    <row r="78" spans="1:8" ht="18.75" customHeight="1" x14ac:dyDescent="0.25">
      <c r="A78" s="7">
        <v>560</v>
      </c>
      <c r="B78" s="81">
        <v>0.31825999999999999</v>
      </c>
      <c r="C78" s="83">
        <v>3226.4</v>
      </c>
      <c r="D78" s="83">
        <v>3608.3</v>
      </c>
      <c r="E78" s="82">
        <v>7.8415999999999997</v>
      </c>
      <c r="F78" s="82"/>
      <c r="G78" s="28"/>
      <c r="H78" s="28"/>
    </row>
    <row r="79" spans="1:8" ht="18.75" customHeight="1" x14ac:dyDescent="0.25">
      <c r="A79" s="7">
        <v>580</v>
      </c>
      <c r="B79" s="81">
        <v>0.32611000000000001</v>
      </c>
      <c r="C79" s="83">
        <v>3261.3</v>
      </c>
      <c r="D79" s="83">
        <v>3652.6</v>
      </c>
      <c r="E79" s="82">
        <v>7.8940000000000001</v>
      </c>
      <c r="F79" s="82"/>
      <c r="G79" s="28"/>
      <c r="H79" s="28"/>
    </row>
    <row r="80" spans="1:8" ht="18.75" customHeight="1" x14ac:dyDescent="0.25">
      <c r="A80" s="7">
        <v>600</v>
      </c>
      <c r="B80" s="81">
        <v>0.33394000000000001</v>
      </c>
      <c r="C80" s="83">
        <v>3296.3</v>
      </c>
      <c r="D80" s="83">
        <v>3697</v>
      </c>
      <c r="E80" s="82">
        <v>7.9455</v>
      </c>
      <c r="F80" s="82"/>
      <c r="G80" s="28"/>
      <c r="H80" s="28"/>
    </row>
    <row r="81" spans="1:8" ht="18.75" customHeight="1" x14ac:dyDescent="0.25">
      <c r="A81" s="7">
        <v>620</v>
      </c>
      <c r="B81" s="81">
        <v>0.34177000000000002</v>
      </c>
      <c r="C81" s="83">
        <v>3331.6</v>
      </c>
      <c r="D81" s="83">
        <v>3741.7</v>
      </c>
      <c r="E81" s="82">
        <v>7.9961000000000002</v>
      </c>
      <c r="F81" s="82"/>
      <c r="G81" s="28"/>
      <c r="H81" s="28"/>
    </row>
    <row r="82" spans="1:8" ht="18.75" customHeight="1" x14ac:dyDescent="0.25">
      <c r="A82" s="7">
        <v>640</v>
      </c>
      <c r="B82" s="81">
        <v>0.34958</v>
      </c>
      <c r="C82" s="83">
        <v>3367.1</v>
      </c>
      <c r="D82" s="83">
        <v>3786.6</v>
      </c>
      <c r="E82" s="82">
        <v>8.0458999999999996</v>
      </c>
      <c r="F82" s="82"/>
      <c r="G82" s="28"/>
      <c r="H82" s="28"/>
    </row>
    <row r="83" spans="1:8" ht="18.75" customHeight="1" x14ac:dyDescent="0.25">
      <c r="A83" s="7">
        <v>660</v>
      </c>
      <c r="B83" s="81">
        <v>0.35738999999999999</v>
      </c>
      <c r="C83" s="83">
        <v>3402.9</v>
      </c>
      <c r="D83" s="83">
        <v>3831.8</v>
      </c>
      <c r="E83" s="82">
        <v>8.0947999999999993</v>
      </c>
      <c r="F83" s="82"/>
      <c r="G83" s="28"/>
      <c r="H83" s="28"/>
    </row>
    <row r="84" spans="1:8" ht="18.75" customHeight="1" x14ac:dyDescent="0.25">
      <c r="A84" s="7">
        <v>680</v>
      </c>
      <c r="B84" s="81">
        <v>0.36518</v>
      </c>
      <c r="C84" s="83">
        <v>3439</v>
      </c>
      <c r="D84" s="83">
        <v>3877.2</v>
      </c>
      <c r="E84" s="82">
        <v>8.1430000000000007</v>
      </c>
      <c r="F84" s="82"/>
      <c r="G84" s="28"/>
      <c r="H84" s="28"/>
    </row>
    <row r="85" spans="1:8" ht="18.75" customHeight="1" x14ac:dyDescent="0.25">
      <c r="A85" s="7">
        <v>700</v>
      </c>
      <c r="B85" s="81">
        <v>0.37297000000000002</v>
      </c>
      <c r="C85" s="83">
        <v>3475.3</v>
      </c>
      <c r="D85" s="83">
        <v>3922.9</v>
      </c>
      <c r="E85" s="82">
        <v>8.1904000000000003</v>
      </c>
      <c r="F85" s="82"/>
      <c r="G85" s="28"/>
      <c r="H85" s="28"/>
    </row>
    <row r="86" spans="1:8" ht="18.75" customHeight="1" x14ac:dyDescent="0.25">
      <c r="A86" s="7">
        <v>720</v>
      </c>
      <c r="B86" s="81">
        <v>0.38075999999999999</v>
      </c>
      <c r="C86" s="83">
        <v>3511.9</v>
      </c>
      <c r="D86" s="83">
        <v>3968.8</v>
      </c>
      <c r="E86" s="82">
        <v>8.2370999999999999</v>
      </c>
      <c r="F86" s="82"/>
      <c r="G86" s="28"/>
      <c r="H86" s="28"/>
    </row>
    <row r="87" spans="1:8" ht="18.75" customHeight="1" x14ac:dyDescent="0.25">
      <c r="A87" s="7">
        <v>740</v>
      </c>
      <c r="B87" s="81">
        <v>0.38852999999999999</v>
      </c>
      <c r="C87" s="83">
        <v>3548.8</v>
      </c>
      <c r="D87" s="83">
        <v>4015</v>
      </c>
      <c r="E87" s="82">
        <v>8.2832000000000008</v>
      </c>
      <c r="F87" s="82"/>
      <c r="G87" s="28"/>
      <c r="H87" s="28"/>
    </row>
    <row r="88" spans="1:8" ht="18.75" customHeight="1" x14ac:dyDescent="0.25">
      <c r="A88" s="7">
        <v>760</v>
      </c>
      <c r="B88" s="81">
        <v>0.39631</v>
      </c>
      <c r="C88" s="83">
        <v>3585.9</v>
      </c>
      <c r="D88" s="83">
        <v>4061.5</v>
      </c>
      <c r="E88" s="82">
        <v>8.3285999999999998</v>
      </c>
      <c r="F88" s="82"/>
      <c r="G88" s="28"/>
      <c r="H88" s="28"/>
    </row>
    <row r="89" spans="1:8" ht="18.75" customHeight="1" x14ac:dyDescent="0.25">
      <c r="A89" s="7">
        <v>780</v>
      </c>
      <c r="B89" s="81">
        <v>0.40406999999999998</v>
      </c>
      <c r="C89" s="83">
        <v>3623.3</v>
      </c>
      <c r="D89" s="83">
        <v>4108.2</v>
      </c>
      <c r="E89" s="82">
        <v>8.3734000000000002</v>
      </c>
      <c r="F89" s="82"/>
      <c r="G89" s="28"/>
      <c r="H89" s="28"/>
    </row>
    <row r="90" spans="1:8" ht="18.75" customHeight="1" x14ac:dyDescent="0.25">
      <c r="A90" s="7">
        <v>800</v>
      </c>
      <c r="B90" s="81">
        <v>0.41183999999999998</v>
      </c>
      <c r="C90" s="83">
        <v>3661</v>
      </c>
      <c r="D90" s="83">
        <v>4155.2</v>
      </c>
      <c r="E90" s="82">
        <v>8.4176000000000002</v>
      </c>
      <c r="F90" s="82"/>
      <c r="G90" s="28"/>
      <c r="H90" s="28"/>
    </row>
    <row r="91" spans="1:8" ht="18.75" customHeight="1" x14ac:dyDescent="0.25">
      <c r="A91" s="7">
        <v>820</v>
      </c>
      <c r="B91" s="81">
        <v>0.41959000000000002</v>
      </c>
      <c r="C91" s="83">
        <v>3698.9</v>
      </c>
      <c r="D91" s="83">
        <v>4202.3999999999996</v>
      </c>
      <c r="E91" s="82">
        <v>8.4611999999999998</v>
      </c>
      <c r="F91" s="82"/>
      <c r="G91" s="28"/>
      <c r="H91" s="28"/>
    </row>
    <row r="92" spans="1:8" ht="18.75" customHeight="1" x14ac:dyDescent="0.25">
      <c r="A92" s="7">
        <v>840</v>
      </c>
      <c r="B92" s="81">
        <v>0.42735000000000001</v>
      </c>
      <c r="C92" s="83">
        <v>3737.1</v>
      </c>
      <c r="D92" s="83">
        <v>4249.8999999999996</v>
      </c>
      <c r="E92" s="82">
        <v>8.5042000000000009</v>
      </c>
      <c r="F92" s="82"/>
      <c r="G92" s="28"/>
      <c r="H92" s="28"/>
    </row>
    <row r="93" spans="1:8" ht="18.75" customHeight="1" x14ac:dyDescent="0.25">
      <c r="A93" s="7">
        <v>860</v>
      </c>
      <c r="B93" s="81">
        <v>0.43509999999999999</v>
      </c>
      <c r="C93" s="83">
        <v>3775.6</v>
      </c>
      <c r="D93" s="83">
        <v>4297.7</v>
      </c>
      <c r="E93" s="82">
        <v>8.5467999999999993</v>
      </c>
      <c r="F93" s="82"/>
      <c r="G93" s="28"/>
      <c r="H93" s="28"/>
    </row>
    <row r="94" spans="1:8" ht="18.75" customHeight="1" x14ac:dyDescent="0.25">
      <c r="A94" s="7">
        <v>880</v>
      </c>
      <c r="B94" s="81">
        <v>0.44285000000000002</v>
      </c>
      <c r="C94" s="83">
        <v>3814.3</v>
      </c>
      <c r="D94" s="83">
        <v>4345.7</v>
      </c>
      <c r="E94" s="82">
        <v>8.5888000000000009</v>
      </c>
      <c r="F94" s="82"/>
      <c r="G94" s="28"/>
      <c r="H94" s="28"/>
    </row>
    <row r="95" spans="1:8" ht="18.75" customHeight="1" x14ac:dyDescent="0.25">
      <c r="A95" s="7">
        <v>900</v>
      </c>
      <c r="B95" s="81">
        <v>0.45058999999999999</v>
      </c>
      <c r="C95" s="83">
        <v>3853.3</v>
      </c>
      <c r="D95" s="83">
        <v>4394</v>
      </c>
      <c r="E95" s="82">
        <v>8.6303000000000001</v>
      </c>
      <c r="F95" s="82"/>
      <c r="G95" s="28"/>
      <c r="H95" s="28"/>
    </row>
    <row r="96" spans="1:8" ht="18.75" customHeight="1" x14ac:dyDescent="0.25">
      <c r="A96" s="7">
        <v>920</v>
      </c>
      <c r="B96" s="81">
        <v>0.45834000000000003</v>
      </c>
      <c r="C96" s="83">
        <v>3892.6</v>
      </c>
      <c r="D96" s="83">
        <v>4442.6000000000004</v>
      </c>
      <c r="E96" s="82">
        <v>8.6713000000000005</v>
      </c>
      <c r="F96" s="82"/>
      <c r="G96" s="28"/>
      <c r="H96" s="28"/>
    </row>
    <row r="97" spans="1:8" ht="18.75" customHeight="1" x14ac:dyDescent="0.25">
      <c r="A97" s="7">
        <v>940</v>
      </c>
      <c r="B97" s="81">
        <v>0.46607999999999999</v>
      </c>
      <c r="C97" s="83">
        <v>3932.1</v>
      </c>
      <c r="D97" s="83">
        <v>4491.3999999999996</v>
      </c>
      <c r="E97" s="82">
        <v>8.7119</v>
      </c>
      <c r="F97" s="82"/>
      <c r="G97" s="28"/>
      <c r="H97" s="28"/>
    </row>
    <row r="98" spans="1:8" ht="18.75" customHeight="1" x14ac:dyDescent="0.25">
      <c r="A98" s="7">
        <v>960</v>
      </c>
      <c r="B98" s="81">
        <v>0.47381000000000001</v>
      </c>
      <c r="C98" s="83">
        <v>3971.9</v>
      </c>
      <c r="D98" s="83">
        <v>4540.5</v>
      </c>
      <c r="E98" s="82">
        <v>8.7520000000000007</v>
      </c>
      <c r="F98" s="82"/>
      <c r="G98" s="28"/>
      <c r="H98" s="28"/>
    </row>
    <row r="99" spans="1:8" ht="18.75" customHeight="1" x14ac:dyDescent="0.25">
      <c r="A99" s="7">
        <v>980</v>
      </c>
      <c r="B99" s="81">
        <v>0.48154999999999998</v>
      </c>
      <c r="C99" s="83">
        <v>4011.9</v>
      </c>
      <c r="D99" s="83">
        <v>4589.8</v>
      </c>
      <c r="E99" s="82">
        <v>8.7917000000000005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0.48927999999999999</v>
      </c>
      <c r="C100" s="83">
        <v>4052.3</v>
      </c>
      <c r="D100" s="83">
        <v>4639.3999999999996</v>
      </c>
      <c r="E100" s="82">
        <v>8.8309999999999995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H100"/>
  <sheetViews>
    <sheetView topLeftCell="A24" workbookViewId="0">
      <selection activeCell="A44" sqref="A44:XFD44"/>
    </sheetView>
  </sheetViews>
  <sheetFormatPr defaultRowHeight="13.2" x14ac:dyDescent="0.25"/>
  <cols>
    <col min="1" max="1" width="9.109375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69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1300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9.9955000000000009E-4</v>
      </c>
      <c r="C5" s="80">
        <v>-0.02</v>
      </c>
      <c r="D5" s="80">
        <v>1.28</v>
      </c>
      <c r="E5" s="81">
        <v>-6.9999999999999994E-5</v>
      </c>
      <c r="F5" s="81"/>
      <c r="G5" s="28"/>
      <c r="H5" s="28"/>
    </row>
    <row r="6" spans="1:8" ht="18.75" customHeight="1" x14ac:dyDescent="0.25">
      <c r="A6" s="7">
        <v>5</v>
      </c>
      <c r="B6" s="79">
        <v>9.9945000000000003E-4</v>
      </c>
      <c r="C6" s="80">
        <v>21.01</v>
      </c>
      <c r="D6" s="80">
        <v>22.31</v>
      </c>
      <c r="E6" s="81">
        <v>7.6230000000000006E-2</v>
      </c>
      <c r="F6" s="81"/>
      <c r="G6" s="28"/>
      <c r="H6" s="28"/>
    </row>
    <row r="7" spans="1:8" ht="18.75" customHeight="1" x14ac:dyDescent="0.25">
      <c r="A7" s="7">
        <v>10</v>
      </c>
      <c r="B7" s="79">
        <v>9.9973000000000011E-4</v>
      </c>
      <c r="C7" s="80">
        <v>41.99</v>
      </c>
      <c r="D7" s="80">
        <v>43.29</v>
      </c>
      <c r="E7" s="81">
        <v>0.15096999999999999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1.00034E-3</v>
      </c>
      <c r="C8" s="80">
        <v>62.92</v>
      </c>
      <c r="D8" s="80">
        <v>64.22</v>
      </c>
      <c r="E8" s="81">
        <v>0.22427</v>
      </c>
      <c r="F8" s="81"/>
      <c r="G8" s="28"/>
      <c r="H8" s="28"/>
    </row>
    <row r="9" spans="1:8" ht="18.75" customHeight="1" x14ac:dyDescent="0.25">
      <c r="A9" s="7">
        <v>20</v>
      </c>
      <c r="B9" s="79">
        <v>1.00125E-3</v>
      </c>
      <c r="C9" s="80">
        <v>83.83</v>
      </c>
      <c r="D9" s="80">
        <v>85.13</v>
      </c>
      <c r="E9" s="81">
        <v>0.29620999999999997</v>
      </c>
      <c r="F9" s="81"/>
      <c r="G9" s="28"/>
      <c r="H9" s="28"/>
    </row>
    <row r="10" spans="1:8" ht="18.75" customHeight="1" x14ac:dyDescent="0.25">
      <c r="A10" s="7">
        <v>25</v>
      </c>
      <c r="B10" s="79">
        <v>1.00242E-3</v>
      </c>
      <c r="C10" s="80">
        <v>104.73</v>
      </c>
      <c r="D10" s="80">
        <v>106.03</v>
      </c>
      <c r="E10" s="81">
        <v>0.36688999999999999</v>
      </c>
      <c r="F10" s="81"/>
      <c r="G10" s="28"/>
      <c r="H10" s="28"/>
    </row>
    <row r="11" spans="1:8" ht="18.75" customHeight="1" x14ac:dyDescent="0.25">
      <c r="A11" s="7">
        <v>30</v>
      </c>
      <c r="B11" s="79">
        <v>1.00383E-3</v>
      </c>
      <c r="C11" s="80">
        <v>125.62</v>
      </c>
      <c r="D11" s="80">
        <v>126.92</v>
      </c>
      <c r="E11" s="81">
        <v>0.43636000000000003</v>
      </c>
      <c r="F11" s="81"/>
      <c r="G11" s="28"/>
      <c r="H11" s="28"/>
    </row>
    <row r="12" spans="1:8" ht="18.75" customHeight="1" x14ac:dyDescent="0.25">
      <c r="A12" s="7">
        <v>35</v>
      </c>
      <c r="B12" s="79">
        <v>1.0054700000000001E-3</v>
      </c>
      <c r="C12" s="80">
        <v>146.49</v>
      </c>
      <c r="D12" s="80">
        <v>147.80000000000001</v>
      </c>
      <c r="E12" s="81">
        <v>0.50468000000000002</v>
      </c>
      <c r="F12" s="81"/>
      <c r="G12" s="28"/>
      <c r="H12" s="28"/>
    </row>
    <row r="13" spans="1:8" ht="18.75" customHeight="1" x14ac:dyDescent="0.25">
      <c r="A13" s="7">
        <v>40</v>
      </c>
      <c r="B13" s="79">
        <v>1.00731E-3</v>
      </c>
      <c r="C13" s="80">
        <v>167.37</v>
      </c>
      <c r="D13" s="80">
        <v>168.68</v>
      </c>
      <c r="E13" s="81">
        <v>0.57189999999999996</v>
      </c>
      <c r="F13" s="81"/>
      <c r="G13" s="28"/>
      <c r="H13" s="28"/>
    </row>
    <row r="14" spans="1:8" ht="18.75" customHeight="1" x14ac:dyDescent="0.25">
      <c r="A14" s="7">
        <v>45</v>
      </c>
      <c r="B14" s="79">
        <v>1.00935E-3</v>
      </c>
      <c r="C14" s="80">
        <v>188.25</v>
      </c>
      <c r="D14" s="80">
        <v>189.56</v>
      </c>
      <c r="E14" s="81">
        <v>0.63805999999999996</v>
      </c>
      <c r="F14" s="81"/>
      <c r="G14" s="28"/>
      <c r="H14" s="28"/>
    </row>
    <row r="15" spans="1:8" ht="18.75" customHeight="1" x14ac:dyDescent="0.25">
      <c r="A15" s="7">
        <v>50</v>
      </c>
      <c r="B15" s="79">
        <v>1.01157E-3</v>
      </c>
      <c r="C15" s="80">
        <v>209.13</v>
      </c>
      <c r="D15" s="80">
        <v>210.45</v>
      </c>
      <c r="E15" s="81">
        <v>0.70321</v>
      </c>
      <c r="F15" s="81"/>
      <c r="G15" s="28"/>
      <c r="H15" s="28"/>
    </row>
    <row r="16" spans="1:8" ht="18.75" customHeight="1" x14ac:dyDescent="0.25">
      <c r="A16" s="7">
        <v>55</v>
      </c>
      <c r="B16" s="79">
        <v>1.01398E-3</v>
      </c>
      <c r="C16" s="80">
        <v>230.03</v>
      </c>
      <c r="D16" s="80">
        <v>231.35</v>
      </c>
      <c r="E16" s="81">
        <v>0.76737999999999995</v>
      </c>
      <c r="F16" s="81"/>
      <c r="G16" s="28"/>
      <c r="H16" s="28"/>
    </row>
    <row r="17" spans="1:8" ht="18.75" customHeight="1" x14ac:dyDescent="0.25">
      <c r="A17" s="7">
        <v>60</v>
      </c>
      <c r="B17" s="79">
        <v>1.01655E-3</v>
      </c>
      <c r="C17" s="80">
        <v>250.94</v>
      </c>
      <c r="D17" s="80">
        <v>252.26</v>
      </c>
      <c r="E17" s="81">
        <v>0.83060999999999996</v>
      </c>
      <c r="F17" s="81"/>
      <c r="G17" s="28"/>
      <c r="H17" s="28"/>
    </row>
    <row r="18" spans="1:8" ht="18.75" customHeight="1" x14ac:dyDescent="0.25">
      <c r="A18" s="7">
        <v>65</v>
      </c>
      <c r="B18" s="79">
        <v>1.01929E-3</v>
      </c>
      <c r="C18" s="80">
        <v>271.83999999999997</v>
      </c>
      <c r="D18" s="80">
        <v>273.17</v>
      </c>
      <c r="E18" s="81">
        <v>0.89293</v>
      </c>
      <c r="F18" s="81"/>
      <c r="G18" s="28"/>
      <c r="H18" s="28"/>
    </row>
    <row r="19" spans="1:8" ht="18.75" customHeight="1" x14ac:dyDescent="0.25">
      <c r="A19" s="7">
        <v>70</v>
      </c>
      <c r="B19" s="79">
        <v>1.0221900000000001E-3</v>
      </c>
      <c r="C19" s="80">
        <v>292.77</v>
      </c>
      <c r="D19" s="80">
        <v>294.10000000000002</v>
      </c>
      <c r="E19" s="81">
        <v>0.95438000000000001</v>
      </c>
      <c r="F19" s="81"/>
      <c r="G19" s="28"/>
      <c r="H19" s="28"/>
    </row>
    <row r="20" spans="1:8" ht="18.75" customHeight="1" x14ac:dyDescent="0.25">
      <c r="A20" s="7">
        <v>75</v>
      </c>
      <c r="B20" s="79">
        <v>1.0252499999999999E-3</v>
      </c>
      <c r="C20" s="80">
        <v>313.72000000000003</v>
      </c>
      <c r="D20" s="80">
        <v>315.05</v>
      </c>
      <c r="E20" s="82">
        <v>1.0149999999999999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1.0284599999999999E-3</v>
      </c>
      <c r="C21" s="80">
        <v>334.67</v>
      </c>
      <c r="D21" s="80">
        <v>336.01</v>
      </c>
      <c r="E21" s="82">
        <v>1.0748</v>
      </c>
      <c r="F21" s="82"/>
      <c r="G21" s="28"/>
      <c r="H21" s="28"/>
    </row>
    <row r="22" spans="1:8" ht="18.75" customHeight="1" x14ac:dyDescent="0.25">
      <c r="A22" s="7">
        <v>85</v>
      </c>
      <c r="B22" s="79">
        <v>1.0318300000000001E-3</v>
      </c>
      <c r="C22" s="80">
        <v>355.65</v>
      </c>
      <c r="D22" s="80">
        <v>356.99</v>
      </c>
      <c r="E22" s="82">
        <v>1.1336999999999999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1.03535E-3</v>
      </c>
      <c r="C23" s="80">
        <v>376.64</v>
      </c>
      <c r="D23" s="80">
        <v>377.99</v>
      </c>
      <c r="E23" s="82">
        <v>1.1919999999999999</v>
      </c>
      <c r="F23" s="82"/>
      <c r="G23" s="28"/>
      <c r="H23" s="28"/>
    </row>
    <row r="24" spans="1:8" ht="18.75" customHeight="1" x14ac:dyDescent="0.25">
      <c r="A24" s="7">
        <v>95</v>
      </c>
      <c r="B24" s="79">
        <v>1.0390200000000001E-3</v>
      </c>
      <c r="C24" s="80">
        <v>397.67</v>
      </c>
      <c r="D24" s="80">
        <v>399.02</v>
      </c>
      <c r="E24" s="82">
        <v>1.2495000000000001</v>
      </c>
      <c r="F24" s="82"/>
      <c r="G24" s="28"/>
      <c r="H24" s="28"/>
    </row>
    <row r="25" spans="1:8" ht="18.75" customHeight="1" x14ac:dyDescent="0.25">
      <c r="A25" s="7">
        <v>100</v>
      </c>
      <c r="B25" s="79">
        <v>1.0428499999999999E-3</v>
      </c>
      <c r="C25" s="80">
        <v>418.71</v>
      </c>
      <c r="D25" s="80">
        <v>420.07</v>
      </c>
      <c r="E25" s="82">
        <v>1.3063</v>
      </c>
      <c r="F25" s="82"/>
      <c r="G25" s="28"/>
      <c r="H25" s="28"/>
    </row>
    <row r="26" spans="1:8" ht="18.75" customHeight="1" x14ac:dyDescent="0.25">
      <c r="A26" s="7">
        <v>105</v>
      </c>
      <c r="B26" s="79">
        <v>1.0468299999999999E-3</v>
      </c>
      <c r="C26" s="80">
        <v>439.79</v>
      </c>
      <c r="D26" s="80">
        <v>441.15</v>
      </c>
      <c r="E26" s="82">
        <v>1.3624000000000001</v>
      </c>
      <c r="F26" s="82"/>
      <c r="G26" s="28"/>
      <c r="H26" s="28"/>
    </row>
    <row r="27" spans="1:8" ht="18.75" customHeight="1" x14ac:dyDescent="0.25">
      <c r="A27" s="7">
        <v>110</v>
      </c>
      <c r="B27" s="79">
        <v>1.0509600000000001E-3</v>
      </c>
      <c r="C27" s="80">
        <v>460.89</v>
      </c>
      <c r="D27" s="80">
        <v>462.26</v>
      </c>
      <c r="E27" s="82">
        <v>1.4177999999999999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1.0552599999999999E-3</v>
      </c>
      <c r="C28" s="80">
        <v>482.03</v>
      </c>
      <c r="D28" s="80">
        <v>483.4</v>
      </c>
      <c r="E28" s="82">
        <v>1.4726999999999999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1.0597099999999999E-3</v>
      </c>
      <c r="C29" s="80">
        <v>503.21</v>
      </c>
      <c r="D29" s="80">
        <v>504.59</v>
      </c>
      <c r="E29" s="82">
        <v>1.5268999999999999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1.0643199999999999E-3</v>
      </c>
      <c r="C30" s="80">
        <v>524.42999999999995</v>
      </c>
      <c r="D30" s="80">
        <v>525.80999999999995</v>
      </c>
      <c r="E30" s="82">
        <v>1.5806</v>
      </c>
      <c r="F30" s="82"/>
      <c r="G30" s="28"/>
      <c r="H30" s="28"/>
    </row>
    <row r="31" spans="1:8" ht="18.75" customHeight="1" x14ac:dyDescent="0.25">
      <c r="A31" s="7">
        <v>130</v>
      </c>
      <c r="B31" s="79">
        <v>1.0690999999999999E-3</v>
      </c>
      <c r="C31" s="80">
        <v>545.69000000000005</v>
      </c>
      <c r="D31" s="80">
        <v>547.08000000000004</v>
      </c>
      <c r="E31" s="82">
        <v>1.6335999999999999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1.0740400000000001E-3</v>
      </c>
      <c r="C32" s="80">
        <v>567</v>
      </c>
      <c r="D32" s="80">
        <v>568.4</v>
      </c>
      <c r="E32" s="82">
        <v>1.6861999999999999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1.07916E-3</v>
      </c>
      <c r="C33" s="80">
        <v>588.37</v>
      </c>
      <c r="D33" s="80">
        <v>589.77</v>
      </c>
      <c r="E33" s="82">
        <v>1.7382</v>
      </c>
      <c r="F33" s="82"/>
      <c r="G33" s="28"/>
      <c r="H33" s="28"/>
    </row>
    <row r="34" spans="1:8" ht="18.75" customHeight="1" x14ac:dyDescent="0.25">
      <c r="A34" s="7">
        <v>145</v>
      </c>
      <c r="B34" s="79">
        <v>1.08446E-3</v>
      </c>
      <c r="C34" s="80">
        <v>609.79</v>
      </c>
      <c r="D34" s="80">
        <v>611.20000000000005</v>
      </c>
      <c r="E34" s="82">
        <v>1.7898000000000001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1.0899499999999999E-3</v>
      </c>
      <c r="C35" s="80">
        <v>631.27</v>
      </c>
      <c r="D35" s="80">
        <v>632.69000000000005</v>
      </c>
      <c r="E35" s="82">
        <v>1.8409</v>
      </c>
      <c r="F35" s="82"/>
      <c r="G35" s="28"/>
      <c r="H35" s="28"/>
    </row>
    <row r="36" spans="1:8" ht="18.75" customHeight="1" x14ac:dyDescent="0.25">
      <c r="A36" s="7">
        <v>155</v>
      </c>
      <c r="B36" s="79">
        <v>1.0956200000000001E-3</v>
      </c>
      <c r="C36" s="80">
        <v>652.82000000000005</v>
      </c>
      <c r="D36" s="80">
        <v>654.24</v>
      </c>
      <c r="E36" s="82">
        <v>1.8915</v>
      </c>
      <c r="F36" s="82"/>
      <c r="G36" s="28"/>
      <c r="H36" s="28"/>
    </row>
    <row r="37" spans="1:8" ht="18.75" customHeight="1" x14ac:dyDescent="0.25">
      <c r="A37" s="7">
        <v>160</v>
      </c>
      <c r="B37" s="79">
        <v>1.1015E-3</v>
      </c>
      <c r="C37" s="80">
        <v>674.44</v>
      </c>
      <c r="D37" s="80">
        <v>675.87</v>
      </c>
      <c r="E37" s="82">
        <v>1.9417</v>
      </c>
      <c r="F37" s="82"/>
      <c r="G37" s="28"/>
      <c r="H37" s="28"/>
    </row>
    <row r="38" spans="1:8" ht="18.75" customHeight="1" x14ac:dyDescent="0.25">
      <c r="A38" s="7">
        <v>165</v>
      </c>
      <c r="B38" s="79">
        <v>1.10757E-3</v>
      </c>
      <c r="C38" s="80">
        <v>696.13</v>
      </c>
      <c r="D38" s="80">
        <v>697.57</v>
      </c>
      <c r="E38" s="82">
        <v>1.9916</v>
      </c>
      <c r="F38" s="82"/>
      <c r="G38" s="28"/>
      <c r="H38" s="28"/>
    </row>
    <row r="39" spans="1:8" ht="18.75" customHeight="1" x14ac:dyDescent="0.25">
      <c r="A39" s="7">
        <v>170</v>
      </c>
      <c r="B39" s="79">
        <v>1.1138700000000001E-3</v>
      </c>
      <c r="C39" s="80">
        <v>717.91</v>
      </c>
      <c r="D39" s="80">
        <v>719.36</v>
      </c>
      <c r="E39" s="82">
        <v>2.0409999999999999</v>
      </c>
      <c r="F39" s="82"/>
      <c r="G39" s="28"/>
      <c r="H39" s="28"/>
    </row>
    <row r="40" spans="1:8" ht="18.75" customHeight="1" x14ac:dyDescent="0.25">
      <c r="A40" s="7">
        <v>175</v>
      </c>
      <c r="B40" s="79">
        <v>1.12039E-3</v>
      </c>
      <c r="C40" s="80">
        <v>739.77</v>
      </c>
      <c r="D40" s="80">
        <v>741.23</v>
      </c>
      <c r="E40" s="82">
        <v>2.0901000000000001</v>
      </c>
      <c r="F40" s="82"/>
      <c r="G40" s="28"/>
      <c r="H40" s="28"/>
    </row>
    <row r="41" spans="1:8" ht="18.75" customHeight="1" x14ac:dyDescent="0.25">
      <c r="A41" s="7">
        <v>180</v>
      </c>
      <c r="B41" s="79">
        <v>1.12714E-3</v>
      </c>
      <c r="C41" s="80">
        <v>761.73</v>
      </c>
      <c r="D41" s="80">
        <v>763.2</v>
      </c>
      <c r="E41" s="82">
        <v>2.1387999999999998</v>
      </c>
      <c r="F41" s="82"/>
      <c r="G41" s="28"/>
      <c r="H41" s="28"/>
    </row>
    <row r="42" spans="1:8" ht="18.75" customHeight="1" x14ac:dyDescent="0.25">
      <c r="A42" s="7">
        <v>185</v>
      </c>
      <c r="B42" s="79">
        <v>1.13415E-3</v>
      </c>
      <c r="C42" s="80">
        <v>783.8</v>
      </c>
      <c r="D42" s="80">
        <v>785.27</v>
      </c>
      <c r="E42" s="82">
        <v>2.1873</v>
      </c>
      <c r="F42" s="82"/>
      <c r="G42" s="28"/>
      <c r="H42" s="28"/>
    </row>
    <row r="43" spans="1:8" ht="18.75" customHeight="1" x14ac:dyDescent="0.25">
      <c r="A43" s="7">
        <v>190</v>
      </c>
      <c r="B43" s="79">
        <v>1.14141E-3</v>
      </c>
      <c r="C43" s="80">
        <v>805.97</v>
      </c>
      <c r="D43" s="80">
        <v>807.45</v>
      </c>
      <c r="E43" s="82">
        <v>2.2353999999999998</v>
      </c>
      <c r="F43" s="82"/>
      <c r="G43" s="28"/>
      <c r="H43" s="28"/>
    </row>
    <row r="44" spans="1:8" ht="18.75" customHeight="1" x14ac:dyDescent="0.25">
      <c r="A44" s="7">
        <v>195</v>
      </c>
      <c r="B44" s="81">
        <v>0.15282999999999999</v>
      </c>
      <c r="C44" s="83">
        <v>2597.3000000000002</v>
      </c>
      <c r="D44" s="83">
        <v>2796</v>
      </c>
      <c r="E44" s="82">
        <v>6.5141</v>
      </c>
      <c r="F44" s="82"/>
      <c r="G44" s="28"/>
      <c r="H44" s="28"/>
    </row>
    <row r="45" spans="1:8" ht="18.75" customHeight="1" x14ac:dyDescent="0.25">
      <c r="A45" s="7">
        <v>200</v>
      </c>
      <c r="B45" s="81">
        <v>0.15518999999999999</v>
      </c>
      <c r="C45" s="83">
        <v>2607.9</v>
      </c>
      <c r="D45" s="83">
        <v>2809.6</v>
      </c>
      <c r="E45" s="82">
        <v>6.5430999999999999</v>
      </c>
      <c r="F45" s="82"/>
      <c r="G45" s="28"/>
      <c r="H45" s="28"/>
    </row>
    <row r="46" spans="1:8" ht="18.75" customHeight="1" x14ac:dyDescent="0.25">
      <c r="A46" s="7">
        <v>210</v>
      </c>
      <c r="B46" s="81">
        <v>0.15976000000000001</v>
      </c>
      <c r="C46" s="83">
        <v>2628</v>
      </c>
      <c r="D46" s="83">
        <v>2835.7</v>
      </c>
      <c r="E46" s="82">
        <v>6.5975000000000001</v>
      </c>
      <c r="F46" s="82"/>
      <c r="G46" s="28"/>
      <c r="H46" s="28"/>
    </row>
    <row r="47" spans="1:8" ht="18.75" customHeight="1" x14ac:dyDescent="0.25">
      <c r="A47" s="7">
        <v>220</v>
      </c>
      <c r="B47" s="81">
        <v>0.16417999999999999</v>
      </c>
      <c r="C47" s="83">
        <v>2647.3</v>
      </c>
      <c r="D47" s="83">
        <v>2860.7</v>
      </c>
      <c r="E47" s="82">
        <v>6.6486999999999998</v>
      </c>
      <c r="F47" s="82"/>
      <c r="G47" s="28"/>
      <c r="H47" s="28"/>
    </row>
    <row r="48" spans="1:8" ht="18.75" customHeight="1" x14ac:dyDescent="0.25">
      <c r="A48" s="7">
        <v>230</v>
      </c>
      <c r="B48" s="81">
        <v>0.16850000000000001</v>
      </c>
      <c r="C48" s="83">
        <v>2665.8</v>
      </c>
      <c r="D48" s="83">
        <v>2884.9</v>
      </c>
      <c r="E48" s="82">
        <v>6.6973000000000003</v>
      </c>
      <c r="F48" s="82"/>
      <c r="G48" s="28"/>
      <c r="H48" s="28"/>
    </row>
    <row r="49" spans="1:8" ht="18.75" customHeight="1" x14ac:dyDescent="0.25">
      <c r="A49" s="7">
        <v>240</v>
      </c>
      <c r="B49" s="81">
        <v>0.17272999999999999</v>
      </c>
      <c r="C49" s="83">
        <v>2684</v>
      </c>
      <c r="D49" s="83">
        <v>2908.5</v>
      </c>
      <c r="E49" s="82">
        <v>6.7439</v>
      </c>
      <c r="F49" s="82"/>
      <c r="G49" s="28"/>
      <c r="H49" s="28"/>
    </row>
    <row r="50" spans="1:8" ht="18.75" customHeight="1" x14ac:dyDescent="0.25">
      <c r="A50" s="7">
        <v>250</v>
      </c>
      <c r="B50" s="81">
        <v>0.17688000000000001</v>
      </c>
      <c r="C50" s="83">
        <v>2701.9</v>
      </c>
      <c r="D50" s="83">
        <v>2931.8</v>
      </c>
      <c r="E50" s="82">
        <v>6.7887000000000004</v>
      </c>
      <c r="F50" s="82"/>
      <c r="G50" s="28"/>
      <c r="H50" s="28"/>
    </row>
    <row r="51" spans="1:8" ht="18.75" customHeight="1" x14ac:dyDescent="0.25">
      <c r="A51" s="7">
        <v>260</v>
      </c>
      <c r="B51" s="81">
        <v>0.18096999999999999</v>
      </c>
      <c r="C51" s="83">
        <v>2719.3</v>
      </c>
      <c r="D51" s="83">
        <v>2954.6</v>
      </c>
      <c r="E51" s="82">
        <v>6.8319999999999999</v>
      </c>
      <c r="F51" s="82"/>
      <c r="G51" s="28"/>
      <c r="H51" s="28"/>
    </row>
    <row r="52" spans="1:8" ht="18.75" customHeight="1" x14ac:dyDescent="0.25">
      <c r="A52" s="7">
        <v>270</v>
      </c>
      <c r="B52" s="81">
        <v>0.18501000000000001</v>
      </c>
      <c r="C52" s="83">
        <v>2736.7</v>
      </c>
      <c r="D52" s="83">
        <v>2977.2</v>
      </c>
      <c r="E52" s="82">
        <v>6.8738999999999999</v>
      </c>
      <c r="F52" s="82"/>
      <c r="G52" s="28"/>
      <c r="H52" s="28"/>
    </row>
    <row r="53" spans="1:8" ht="18.75" customHeight="1" x14ac:dyDescent="0.25">
      <c r="A53" s="7">
        <v>280</v>
      </c>
      <c r="B53" s="81">
        <v>0.189</v>
      </c>
      <c r="C53" s="83">
        <v>2753.8</v>
      </c>
      <c r="D53" s="83">
        <v>2999.5</v>
      </c>
      <c r="E53" s="82">
        <v>6.9146000000000001</v>
      </c>
      <c r="F53" s="82"/>
      <c r="G53" s="28"/>
      <c r="H53" s="28"/>
    </row>
    <row r="54" spans="1:8" ht="18.75" customHeight="1" x14ac:dyDescent="0.25">
      <c r="A54" s="7">
        <v>290</v>
      </c>
      <c r="B54" s="81">
        <v>0.19295999999999999</v>
      </c>
      <c r="C54" s="83">
        <v>2770.8</v>
      </c>
      <c r="D54" s="83">
        <v>3021.6</v>
      </c>
      <c r="E54" s="82">
        <v>6.9542999999999999</v>
      </c>
      <c r="F54" s="82"/>
      <c r="G54" s="28"/>
      <c r="H54" s="28"/>
    </row>
    <row r="55" spans="1:8" ht="18.75" customHeight="1" x14ac:dyDescent="0.25">
      <c r="A55" s="7">
        <v>300</v>
      </c>
      <c r="B55" s="81">
        <v>0.19688</v>
      </c>
      <c r="C55" s="83">
        <v>2787.7</v>
      </c>
      <c r="D55" s="83">
        <v>3043.6</v>
      </c>
      <c r="E55" s="82">
        <v>6.9930000000000003</v>
      </c>
      <c r="F55" s="82"/>
      <c r="G55" s="28"/>
      <c r="H55" s="28"/>
    </row>
    <row r="56" spans="1:8" ht="18.75" customHeight="1" x14ac:dyDescent="0.25">
      <c r="A56" s="7">
        <v>310</v>
      </c>
      <c r="B56" s="81">
        <v>0.20077</v>
      </c>
      <c r="C56" s="83">
        <v>2804.5</v>
      </c>
      <c r="D56" s="83">
        <v>3065.5</v>
      </c>
      <c r="E56" s="82">
        <v>7.0308000000000002</v>
      </c>
      <c r="F56" s="82"/>
      <c r="G56" s="28"/>
      <c r="H56" s="28"/>
    </row>
    <row r="57" spans="1:8" ht="18.75" customHeight="1" x14ac:dyDescent="0.25">
      <c r="A57" s="7">
        <v>320</v>
      </c>
      <c r="B57" s="81">
        <v>0.20463999999999999</v>
      </c>
      <c r="C57" s="83">
        <v>2821.3</v>
      </c>
      <c r="D57" s="83">
        <v>3087.3</v>
      </c>
      <c r="E57" s="82">
        <v>7.0678000000000001</v>
      </c>
      <c r="F57" s="82"/>
      <c r="G57" s="28"/>
      <c r="H57" s="28"/>
    </row>
    <row r="58" spans="1:8" ht="18.75" customHeight="1" x14ac:dyDescent="0.25">
      <c r="A58" s="7">
        <v>330</v>
      </c>
      <c r="B58" s="81">
        <v>0.20848</v>
      </c>
      <c r="C58" s="83">
        <v>2837.9</v>
      </c>
      <c r="D58" s="83">
        <v>3108.9</v>
      </c>
      <c r="E58" s="82">
        <v>7.1040999999999999</v>
      </c>
      <c r="F58" s="82"/>
      <c r="G58" s="28"/>
      <c r="H58" s="28"/>
    </row>
    <row r="59" spans="1:8" ht="18.75" customHeight="1" x14ac:dyDescent="0.25">
      <c r="A59" s="7">
        <v>340</v>
      </c>
      <c r="B59" s="81">
        <v>0.21229999999999999</v>
      </c>
      <c r="C59" s="83">
        <v>2854.6</v>
      </c>
      <c r="D59" s="83">
        <v>3130.6</v>
      </c>
      <c r="E59" s="82">
        <v>7.1395999999999997</v>
      </c>
      <c r="F59" s="82"/>
      <c r="G59" s="28"/>
      <c r="H59" s="28"/>
    </row>
    <row r="60" spans="1:8" ht="18.75" customHeight="1" x14ac:dyDescent="0.25">
      <c r="A60" s="7">
        <v>350</v>
      </c>
      <c r="B60" s="81">
        <v>0.21609999999999999</v>
      </c>
      <c r="C60" s="83">
        <v>2871.2</v>
      </c>
      <c r="D60" s="83">
        <v>3152.1</v>
      </c>
      <c r="E60" s="82">
        <v>7.1745000000000001</v>
      </c>
      <c r="F60" s="82"/>
      <c r="G60" s="28"/>
      <c r="H60" s="28"/>
    </row>
    <row r="61" spans="1:8" ht="18.75" customHeight="1" x14ac:dyDescent="0.25">
      <c r="A61" s="7">
        <v>360</v>
      </c>
      <c r="B61" s="81">
        <v>0.21989</v>
      </c>
      <c r="C61" s="83">
        <v>2887.8</v>
      </c>
      <c r="D61" s="83">
        <v>3173.7</v>
      </c>
      <c r="E61" s="82">
        <v>7.2088000000000001</v>
      </c>
      <c r="F61" s="82"/>
      <c r="G61" s="28"/>
      <c r="H61" s="28"/>
    </row>
    <row r="62" spans="1:8" ht="18.75" customHeight="1" x14ac:dyDescent="0.25">
      <c r="A62" s="7">
        <v>370</v>
      </c>
      <c r="B62" s="81">
        <v>0.22366</v>
      </c>
      <c r="C62" s="83">
        <v>2904.4</v>
      </c>
      <c r="D62" s="83">
        <v>3195.2</v>
      </c>
      <c r="E62" s="82">
        <v>7.2424999999999997</v>
      </c>
      <c r="F62" s="82"/>
      <c r="G62" s="28"/>
      <c r="H62" s="28"/>
    </row>
    <row r="63" spans="1:8" ht="18.75" customHeight="1" x14ac:dyDescent="0.25">
      <c r="A63" s="7">
        <v>380</v>
      </c>
      <c r="B63" s="81">
        <v>0.22742000000000001</v>
      </c>
      <c r="C63" s="83">
        <v>2921.1</v>
      </c>
      <c r="D63" s="83">
        <v>3216.7</v>
      </c>
      <c r="E63" s="82">
        <v>7.2756999999999996</v>
      </c>
      <c r="F63" s="82"/>
      <c r="G63" s="28"/>
      <c r="H63" s="28"/>
    </row>
    <row r="64" spans="1:8" ht="18.75" customHeight="1" x14ac:dyDescent="0.25">
      <c r="A64" s="7">
        <v>390</v>
      </c>
      <c r="B64" s="81">
        <v>0.23116</v>
      </c>
      <c r="C64" s="83">
        <v>2937.7</v>
      </c>
      <c r="D64" s="83">
        <v>3238.2</v>
      </c>
      <c r="E64" s="82">
        <v>7.3083999999999998</v>
      </c>
      <c r="F64" s="82"/>
      <c r="G64" s="28"/>
      <c r="H64" s="28"/>
    </row>
    <row r="65" spans="1:8" ht="18.75" customHeight="1" x14ac:dyDescent="0.25">
      <c r="A65" s="7">
        <v>400</v>
      </c>
      <c r="B65" s="81">
        <v>0.2349</v>
      </c>
      <c r="C65" s="83">
        <v>2954.3</v>
      </c>
      <c r="D65" s="83">
        <v>3259.7</v>
      </c>
      <c r="E65" s="82">
        <v>7.3406000000000002</v>
      </c>
      <c r="F65" s="82"/>
      <c r="G65" s="28"/>
      <c r="H65" s="28"/>
    </row>
    <row r="66" spans="1:8" ht="18.75" customHeight="1" x14ac:dyDescent="0.25">
      <c r="A66" s="7">
        <v>410</v>
      </c>
      <c r="B66" s="81">
        <v>0.23862</v>
      </c>
      <c r="C66" s="83">
        <v>2971</v>
      </c>
      <c r="D66" s="83">
        <v>3281.2</v>
      </c>
      <c r="E66" s="82">
        <v>7.3723000000000001</v>
      </c>
      <c r="F66" s="82"/>
      <c r="G66" s="28"/>
      <c r="H66" s="28"/>
    </row>
    <row r="67" spans="1:8" ht="18.75" customHeight="1" x14ac:dyDescent="0.25">
      <c r="A67" s="7">
        <v>420</v>
      </c>
      <c r="B67" s="81">
        <v>0.24232999999999999</v>
      </c>
      <c r="C67" s="83">
        <v>2987.7</v>
      </c>
      <c r="D67" s="83">
        <v>3302.7</v>
      </c>
      <c r="E67" s="82">
        <v>7.4036</v>
      </c>
      <c r="F67" s="82"/>
      <c r="G67" s="28"/>
      <c r="H67" s="28"/>
    </row>
    <row r="68" spans="1:8" ht="18.75" customHeight="1" x14ac:dyDescent="0.25">
      <c r="A68" s="7">
        <v>430</v>
      </c>
      <c r="B68" s="81">
        <v>0.24604000000000001</v>
      </c>
      <c r="C68" s="83">
        <v>3004.4</v>
      </c>
      <c r="D68" s="83">
        <v>3324.3</v>
      </c>
      <c r="E68" s="82">
        <v>7.4344000000000001</v>
      </c>
      <c r="F68" s="82"/>
      <c r="G68" s="28"/>
      <c r="H68" s="28"/>
    </row>
    <row r="69" spans="1:8" ht="18.75" customHeight="1" x14ac:dyDescent="0.25">
      <c r="A69" s="7">
        <v>440</v>
      </c>
      <c r="B69" s="81">
        <v>0.24973000000000001</v>
      </c>
      <c r="C69" s="83">
        <v>3021.2</v>
      </c>
      <c r="D69" s="83">
        <v>3345.8</v>
      </c>
      <c r="E69" s="82">
        <v>7.4649000000000001</v>
      </c>
      <c r="F69" s="82"/>
      <c r="G69" s="28"/>
      <c r="H69" s="28"/>
    </row>
    <row r="70" spans="1:8" ht="18.75" customHeight="1" x14ac:dyDescent="0.25">
      <c r="A70" s="7">
        <v>450</v>
      </c>
      <c r="B70" s="81">
        <v>0.25341999999999998</v>
      </c>
      <c r="C70" s="83">
        <v>3038</v>
      </c>
      <c r="D70" s="83">
        <v>3367.4</v>
      </c>
      <c r="E70" s="82">
        <v>7.4949000000000003</v>
      </c>
      <c r="F70" s="82"/>
      <c r="G70" s="28"/>
      <c r="H70" s="28"/>
    </row>
    <row r="71" spans="1:8" ht="18.75" customHeight="1" x14ac:dyDescent="0.25">
      <c r="A71" s="7">
        <v>460</v>
      </c>
      <c r="B71" s="81">
        <v>0.2571</v>
      </c>
      <c r="C71" s="83">
        <v>3054.8</v>
      </c>
      <c r="D71" s="83">
        <v>3389</v>
      </c>
      <c r="E71" s="82">
        <v>7.5246000000000004</v>
      </c>
      <c r="F71" s="82"/>
      <c r="G71" s="28"/>
      <c r="H71" s="28"/>
    </row>
    <row r="72" spans="1:8" ht="18.75" customHeight="1" x14ac:dyDescent="0.25">
      <c r="A72" s="7">
        <v>470</v>
      </c>
      <c r="B72" s="81">
        <v>0.26077</v>
      </c>
      <c r="C72" s="83">
        <v>3071.7</v>
      </c>
      <c r="D72" s="83">
        <v>3410.7</v>
      </c>
      <c r="E72" s="82">
        <v>7.5538999999999996</v>
      </c>
      <c r="F72" s="82"/>
      <c r="G72" s="28"/>
      <c r="H72" s="28"/>
    </row>
    <row r="73" spans="1:8" ht="18.75" customHeight="1" x14ac:dyDescent="0.25">
      <c r="A73" s="7">
        <v>480</v>
      </c>
      <c r="B73" s="81">
        <v>0.26444000000000001</v>
      </c>
      <c r="C73" s="83">
        <v>3088.6</v>
      </c>
      <c r="D73" s="83">
        <v>3432.4</v>
      </c>
      <c r="E73" s="82">
        <v>7.5829000000000004</v>
      </c>
      <c r="F73" s="82"/>
      <c r="G73" s="28"/>
      <c r="H73" s="28"/>
    </row>
    <row r="74" spans="1:8" ht="18.75" customHeight="1" x14ac:dyDescent="0.25">
      <c r="A74" s="7">
        <v>490</v>
      </c>
      <c r="B74" s="81">
        <v>0.26811000000000001</v>
      </c>
      <c r="C74" s="83">
        <v>3105.6</v>
      </c>
      <c r="D74" s="83">
        <v>3454.1</v>
      </c>
      <c r="E74" s="82">
        <v>7.6116000000000001</v>
      </c>
      <c r="F74" s="82"/>
      <c r="G74" s="28"/>
      <c r="H74" s="28"/>
    </row>
    <row r="75" spans="1:8" ht="18.75" customHeight="1" x14ac:dyDescent="0.25">
      <c r="A75" s="7">
        <v>500</v>
      </c>
      <c r="B75" s="81">
        <v>0.27176</v>
      </c>
      <c r="C75" s="83">
        <v>3122.6</v>
      </c>
      <c r="D75" s="83">
        <v>3475.9</v>
      </c>
      <c r="E75" s="82">
        <v>7.6398999999999999</v>
      </c>
      <c r="F75" s="82"/>
      <c r="G75" s="28"/>
      <c r="H75" s="28"/>
    </row>
    <row r="76" spans="1:8" ht="18.75" customHeight="1" x14ac:dyDescent="0.25">
      <c r="A76" s="7">
        <v>520</v>
      </c>
      <c r="B76" s="81">
        <v>0.27905999999999997</v>
      </c>
      <c r="C76" s="83">
        <v>3156.7</v>
      </c>
      <c r="D76" s="83">
        <v>3519.5</v>
      </c>
      <c r="E76" s="82">
        <v>7.6957000000000004</v>
      </c>
      <c r="F76" s="82"/>
      <c r="G76" s="28"/>
      <c r="H76" s="28"/>
    </row>
    <row r="77" spans="1:8" ht="18.75" customHeight="1" x14ac:dyDescent="0.25">
      <c r="A77" s="7">
        <v>540</v>
      </c>
      <c r="B77" s="81">
        <v>0.28634999999999999</v>
      </c>
      <c r="C77" s="83">
        <v>3191.1</v>
      </c>
      <c r="D77" s="83">
        <v>3563.4</v>
      </c>
      <c r="E77" s="82">
        <v>7.7503000000000002</v>
      </c>
      <c r="F77" s="82"/>
      <c r="G77" s="28"/>
      <c r="H77" s="28"/>
    </row>
    <row r="78" spans="1:8" ht="18.75" customHeight="1" x14ac:dyDescent="0.25">
      <c r="A78" s="7">
        <v>560</v>
      </c>
      <c r="B78" s="81">
        <v>0.29361999999999999</v>
      </c>
      <c r="C78" s="83">
        <v>3225.8</v>
      </c>
      <c r="D78" s="83">
        <v>3607.5</v>
      </c>
      <c r="E78" s="82">
        <v>7.8037999999999998</v>
      </c>
      <c r="F78" s="82"/>
      <c r="G78" s="28"/>
      <c r="H78" s="28"/>
    </row>
    <row r="79" spans="1:8" ht="18.75" customHeight="1" x14ac:dyDescent="0.25">
      <c r="A79" s="7">
        <v>580</v>
      </c>
      <c r="B79" s="81">
        <v>0.30087000000000003</v>
      </c>
      <c r="C79" s="83">
        <v>3260.6</v>
      </c>
      <c r="D79" s="83">
        <v>3651.7</v>
      </c>
      <c r="E79" s="82">
        <v>7.8563000000000001</v>
      </c>
      <c r="F79" s="82"/>
      <c r="G79" s="28"/>
      <c r="H79" s="28"/>
    </row>
    <row r="80" spans="1:8" ht="18.75" customHeight="1" x14ac:dyDescent="0.25">
      <c r="A80" s="7">
        <v>600</v>
      </c>
      <c r="B80" s="81">
        <v>0.30810999999999999</v>
      </c>
      <c r="C80" s="83">
        <v>3295.7</v>
      </c>
      <c r="D80" s="83">
        <v>3696.2</v>
      </c>
      <c r="E80" s="82">
        <v>7.9078999999999997</v>
      </c>
      <c r="F80" s="82"/>
      <c r="G80" s="28"/>
      <c r="H80" s="28"/>
    </row>
    <row r="81" spans="1:8" ht="18.75" customHeight="1" x14ac:dyDescent="0.25">
      <c r="A81" s="7">
        <v>620</v>
      </c>
      <c r="B81" s="81">
        <v>0.31534000000000001</v>
      </c>
      <c r="C81" s="83">
        <v>3331.1</v>
      </c>
      <c r="D81" s="83">
        <v>3741</v>
      </c>
      <c r="E81" s="82">
        <v>7.9585999999999997</v>
      </c>
      <c r="F81" s="82"/>
      <c r="G81" s="28"/>
      <c r="H81" s="28"/>
    </row>
    <row r="82" spans="1:8" ht="18.75" customHeight="1" x14ac:dyDescent="0.25">
      <c r="A82" s="7">
        <v>640</v>
      </c>
      <c r="B82" s="81">
        <v>0.32257000000000002</v>
      </c>
      <c r="C82" s="83">
        <v>3366.6</v>
      </c>
      <c r="D82" s="83">
        <v>3785.9</v>
      </c>
      <c r="E82" s="82">
        <v>8.0083000000000002</v>
      </c>
      <c r="F82" s="82"/>
      <c r="G82" s="28"/>
      <c r="H82" s="28"/>
    </row>
    <row r="83" spans="1:8" ht="18.75" customHeight="1" x14ac:dyDescent="0.25">
      <c r="A83" s="7">
        <v>660</v>
      </c>
      <c r="B83" s="81">
        <v>0.32978000000000002</v>
      </c>
      <c r="C83" s="83">
        <v>3402.4</v>
      </c>
      <c r="D83" s="83">
        <v>3831.1</v>
      </c>
      <c r="E83" s="82">
        <v>8.0572999999999997</v>
      </c>
      <c r="F83" s="82"/>
      <c r="G83" s="28"/>
      <c r="H83" s="28"/>
    </row>
    <row r="84" spans="1:8" ht="18.75" customHeight="1" x14ac:dyDescent="0.25">
      <c r="A84" s="7">
        <v>680</v>
      </c>
      <c r="B84" s="81">
        <v>0.33698</v>
      </c>
      <c r="C84" s="83">
        <v>3438.5</v>
      </c>
      <c r="D84" s="83">
        <v>3876.6</v>
      </c>
      <c r="E84" s="82">
        <v>8.1054999999999993</v>
      </c>
      <c r="F84" s="82"/>
      <c r="G84" s="28"/>
      <c r="H84" s="28"/>
    </row>
    <row r="85" spans="1:8" ht="18.75" customHeight="1" x14ac:dyDescent="0.25">
      <c r="A85" s="7">
        <v>700</v>
      </c>
      <c r="B85" s="81">
        <v>0.34417999999999999</v>
      </c>
      <c r="C85" s="83">
        <v>3474.9</v>
      </c>
      <c r="D85" s="83">
        <v>3922.3</v>
      </c>
      <c r="E85" s="82">
        <v>8.1530000000000005</v>
      </c>
      <c r="F85" s="82"/>
      <c r="G85" s="28"/>
      <c r="H85" s="28"/>
    </row>
    <row r="86" spans="1:8" ht="18.75" customHeight="1" x14ac:dyDescent="0.25">
      <c r="A86" s="7">
        <v>720</v>
      </c>
      <c r="B86" s="81">
        <v>0.35137000000000002</v>
      </c>
      <c r="C86" s="83">
        <v>3511.5</v>
      </c>
      <c r="D86" s="83">
        <v>3968.3</v>
      </c>
      <c r="E86" s="82">
        <v>8.1997</v>
      </c>
      <c r="F86" s="82"/>
      <c r="G86" s="28"/>
      <c r="H86" s="28"/>
    </row>
    <row r="87" spans="1:8" ht="18.75" customHeight="1" x14ac:dyDescent="0.25">
      <c r="A87" s="7">
        <v>740</v>
      </c>
      <c r="B87" s="81">
        <v>0.35855999999999999</v>
      </c>
      <c r="C87" s="83">
        <v>3548.4</v>
      </c>
      <c r="D87" s="83">
        <v>4014.5</v>
      </c>
      <c r="E87" s="82">
        <v>8.2457999999999991</v>
      </c>
      <c r="F87" s="82"/>
      <c r="G87" s="28"/>
      <c r="H87" s="28"/>
    </row>
    <row r="88" spans="1:8" ht="18.75" customHeight="1" x14ac:dyDescent="0.25">
      <c r="A88" s="7">
        <v>760</v>
      </c>
      <c r="B88" s="81">
        <v>0.36574000000000001</v>
      </c>
      <c r="C88" s="83">
        <v>3585.5</v>
      </c>
      <c r="D88" s="83">
        <v>4061</v>
      </c>
      <c r="E88" s="82">
        <v>8.2911999999999999</v>
      </c>
      <c r="F88" s="82"/>
      <c r="G88" s="28"/>
      <c r="H88" s="28"/>
    </row>
    <row r="89" spans="1:8" ht="18.75" customHeight="1" x14ac:dyDescent="0.25">
      <c r="A89" s="7">
        <v>780</v>
      </c>
      <c r="B89" s="81">
        <v>0.37291999999999997</v>
      </c>
      <c r="C89" s="83">
        <v>3622.9</v>
      </c>
      <c r="D89" s="83">
        <v>4107.7</v>
      </c>
      <c r="E89" s="82">
        <v>8.3361000000000001</v>
      </c>
      <c r="F89" s="82"/>
      <c r="G89" s="28"/>
      <c r="H89" s="28"/>
    </row>
    <row r="90" spans="1:8" ht="18.75" customHeight="1" x14ac:dyDescent="0.25">
      <c r="A90" s="7">
        <v>800</v>
      </c>
      <c r="B90" s="81">
        <v>0.38008999999999998</v>
      </c>
      <c r="C90" s="83">
        <v>3660.6</v>
      </c>
      <c r="D90" s="83">
        <v>4154.7</v>
      </c>
      <c r="E90" s="82">
        <v>8.3803000000000001</v>
      </c>
      <c r="F90" s="82"/>
      <c r="G90" s="28"/>
      <c r="H90" s="28"/>
    </row>
    <row r="91" spans="1:8" ht="18.75" customHeight="1" x14ac:dyDescent="0.25">
      <c r="A91" s="7">
        <v>820</v>
      </c>
      <c r="B91" s="81">
        <v>0.38724999999999998</v>
      </c>
      <c r="C91" s="83">
        <v>3698.6</v>
      </c>
      <c r="D91" s="83">
        <v>4202</v>
      </c>
      <c r="E91" s="82">
        <v>8.4238999999999997</v>
      </c>
      <c r="F91" s="82"/>
      <c r="G91" s="28"/>
      <c r="H91" s="28"/>
    </row>
    <row r="92" spans="1:8" ht="18.75" customHeight="1" x14ac:dyDescent="0.25">
      <c r="A92" s="7">
        <v>840</v>
      </c>
      <c r="B92" s="81">
        <v>0.39441999999999999</v>
      </c>
      <c r="C92" s="83">
        <v>3736.8</v>
      </c>
      <c r="D92" s="83">
        <v>4249.5</v>
      </c>
      <c r="E92" s="82">
        <v>8.4670000000000005</v>
      </c>
      <c r="F92" s="82"/>
      <c r="G92" s="28"/>
      <c r="H92" s="28"/>
    </row>
    <row r="93" spans="1:8" ht="18.75" customHeight="1" x14ac:dyDescent="0.25">
      <c r="A93" s="7">
        <v>860</v>
      </c>
      <c r="B93" s="81">
        <v>0.40157999999999999</v>
      </c>
      <c r="C93" s="83">
        <v>3775.2</v>
      </c>
      <c r="D93" s="83">
        <v>4297.3</v>
      </c>
      <c r="E93" s="82">
        <v>8.5094999999999992</v>
      </c>
      <c r="F93" s="82"/>
      <c r="G93" s="28"/>
      <c r="H93" s="28"/>
    </row>
    <row r="94" spans="1:8" ht="18.75" customHeight="1" x14ac:dyDescent="0.25">
      <c r="A94" s="7">
        <v>880</v>
      </c>
      <c r="B94" s="81">
        <v>0.40872999999999998</v>
      </c>
      <c r="C94" s="83">
        <v>3814.1</v>
      </c>
      <c r="D94" s="83">
        <v>4345.3999999999996</v>
      </c>
      <c r="E94" s="82">
        <v>8.5516000000000005</v>
      </c>
      <c r="F94" s="82"/>
      <c r="G94" s="28"/>
      <c r="H94" s="28"/>
    </row>
    <row r="95" spans="1:8" ht="18.75" customHeight="1" x14ac:dyDescent="0.25">
      <c r="A95" s="7">
        <v>900</v>
      </c>
      <c r="B95" s="81">
        <v>0.41588999999999998</v>
      </c>
      <c r="C95" s="83">
        <v>3853</v>
      </c>
      <c r="D95" s="83">
        <v>4393.7</v>
      </c>
      <c r="E95" s="82">
        <v>8.5930999999999997</v>
      </c>
      <c r="F95" s="82"/>
      <c r="G95" s="28"/>
      <c r="H95" s="28"/>
    </row>
    <row r="96" spans="1:8" ht="18.75" customHeight="1" x14ac:dyDescent="0.25">
      <c r="A96" s="7">
        <v>920</v>
      </c>
      <c r="B96" s="81">
        <v>0.42304000000000003</v>
      </c>
      <c r="C96" s="83">
        <v>3892.2</v>
      </c>
      <c r="D96" s="83">
        <v>4442.2</v>
      </c>
      <c r="E96" s="82">
        <v>8.6341999999999999</v>
      </c>
      <c r="F96" s="82"/>
      <c r="G96" s="28"/>
      <c r="H96" s="28"/>
    </row>
    <row r="97" spans="1:8" ht="18.75" customHeight="1" x14ac:dyDescent="0.25">
      <c r="A97" s="7">
        <v>940</v>
      </c>
      <c r="B97" s="81">
        <v>0.43018000000000001</v>
      </c>
      <c r="C97" s="83">
        <v>3931.9</v>
      </c>
      <c r="D97" s="83">
        <v>4491.1000000000004</v>
      </c>
      <c r="E97" s="82">
        <v>8.6746999999999996</v>
      </c>
      <c r="F97" s="82"/>
      <c r="G97" s="28"/>
      <c r="H97" s="28"/>
    </row>
    <row r="98" spans="1:8" ht="18.75" customHeight="1" x14ac:dyDescent="0.25">
      <c r="A98" s="7">
        <v>960</v>
      </c>
      <c r="B98" s="81">
        <v>0.43733</v>
      </c>
      <c r="C98" s="83">
        <v>3971.6</v>
      </c>
      <c r="D98" s="83">
        <v>4540.1000000000004</v>
      </c>
      <c r="E98" s="82">
        <v>8.7149000000000001</v>
      </c>
      <c r="F98" s="82"/>
      <c r="G98" s="28"/>
      <c r="H98" s="28"/>
    </row>
    <row r="99" spans="1:8" ht="18.75" customHeight="1" x14ac:dyDescent="0.25">
      <c r="A99" s="7">
        <v>980</v>
      </c>
      <c r="B99" s="81">
        <v>0.44446999999999998</v>
      </c>
      <c r="C99" s="83">
        <v>4011.7</v>
      </c>
      <c r="D99" s="83">
        <v>4589.5</v>
      </c>
      <c r="E99" s="82">
        <v>8.7545999999999999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0.45161000000000001</v>
      </c>
      <c r="C100" s="83">
        <v>4052</v>
      </c>
      <c r="D100" s="83">
        <v>4639.1000000000004</v>
      </c>
      <c r="E100" s="82">
        <v>8.7937999999999992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H100"/>
  <sheetViews>
    <sheetView topLeftCell="A25" workbookViewId="0">
      <selection activeCell="A45" sqref="A45:XFD45"/>
    </sheetView>
  </sheetViews>
  <sheetFormatPr defaultRowHeight="13.2" x14ac:dyDescent="0.25"/>
  <cols>
    <col min="1" max="1" width="9.109375" customWidth="1"/>
    <col min="2" max="2" width="10.8867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70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1400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9.9949999999999995E-4</v>
      </c>
      <c r="C5" s="80">
        <v>-0.02</v>
      </c>
      <c r="D5" s="80">
        <v>1.38</v>
      </c>
      <c r="E5" s="81">
        <v>-6.0000000000000002E-5</v>
      </c>
      <c r="F5" s="81"/>
      <c r="G5" s="28"/>
      <c r="H5" s="28"/>
    </row>
    <row r="6" spans="1:8" ht="18.75" customHeight="1" x14ac:dyDescent="0.25">
      <c r="A6" s="7">
        <v>5</v>
      </c>
      <c r="B6" s="79">
        <v>9.993999999999999E-4</v>
      </c>
      <c r="C6" s="80">
        <v>21.01</v>
      </c>
      <c r="D6" s="80">
        <v>22.41</v>
      </c>
      <c r="E6" s="81">
        <v>7.6230000000000006E-2</v>
      </c>
      <c r="F6" s="81"/>
      <c r="G6" s="28"/>
      <c r="H6" s="28"/>
    </row>
    <row r="7" spans="1:8" ht="18.75" customHeight="1" x14ac:dyDescent="0.25">
      <c r="A7" s="7">
        <v>10</v>
      </c>
      <c r="B7" s="79">
        <v>9.9967999999999997E-4</v>
      </c>
      <c r="C7" s="80">
        <v>41.98</v>
      </c>
      <c r="D7" s="80">
        <v>43.38</v>
      </c>
      <c r="E7" s="81">
        <v>0.15096000000000001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1.00029E-3</v>
      </c>
      <c r="C8" s="80">
        <v>62.92</v>
      </c>
      <c r="D8" s="80">
        <v>64.319999999999993</v>
      </c>
      <c r="E8" s="81">
        <v>0.22425</v>
      </c>
      <c r="F8" s="81"/>
      <c r="G8" s="28"/>
      <c r="H8" s="28"/>
    </row>
    <row r="9" spans="1:8" ht="18.75" customHeight="1" x14ac:dyDescent="0.25">
      <c r="A9" s="7">
        <v>20</v>
      </c>
      <c r="B9" s="79">
        <v>1.0012E-3</v>
      </c>
      <c r="C9" s="80">
        <v>83.83</v>
      </c>
      <c r="D9" s="80">
        <v>85.23</v>
      </c>
      <c r="E9" s="81">
        <v>0.29619000000000001</v>
      </c>
      <c r="F9" s="81"/>
      <c r="G9" s="28"/>
      <c r="H9" s="28"/>
    </row>
    <row r="10" spans="1:8" ht="18.75" customHeight="1" x14ac:dyDescent="0.25">
      <c r="A10" s="7">
        <v>25</v>
      </c>
      <c r="B10" s="79">
        <v>1.00237E-3</v>
      </c>
      <c r="C10" s="80">
        <v>104.72</v>
      </c>
      <c r="D10" s="80">
        <v>106.12</v>
      </c>
      <c r="E10" s="81">
        <v>0.36686000000000002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1.0037900000000001E-3</v>
      </c>
      <c r="C11" s="80">
        <v>125.6</v>
      </c>
      <c r="D11" s="80">
        <v>127.01</v>
      </c>
      <c r="E11" s="81">
        <v>0.43633</v>
      </c>
      <c r="F11" s="81"/>
      <c r="G11" s="28"/>
      <c r="H11" s="28"/>
    </row>
    <row r="12" spans="1:8" ht="18.75" customHeight="1" x14ac:dyDescent="0.25">
      <c r="A12" s="7">
        <v>35</v>
      </c>
      <c r="B12" s="79">
        <v>1.0054199999999999E-3</v>
      </c>
      <c r="C12" s="80">
        <v>146.47999999999999</v>
      </c>
      <c r="D12" s="80">
        <v>147.88999999999999</v>
      </c>
      <c r="E12" s="81">
        <v>0.50463999999999998</v>
      </c>
      <c r="F12" s="81"/>
      <c r="G12" s="28"/>
      <c r="H12" s="28"/>
    </row>
    <row r="13" spans="1:8" ht="18.75" customHeight="1" x14ac:dyDescent="0.25">
      <c r="A13" s="7">
        <v>40</v>
      </c>
      <c r="B13" s="79">
        <v>1.00727E-3</v>
      </c>
      <c r="C13" s="80">
        <v>167.36</v>
      </c>
      <c r="D13" s="80">
        <v>168.77</v>
      </c>
      <c r="E13" s="81">
        <v>0.57186000000000003</v>
      </c>
      <c r="F13" s="81"/>
      <c r="G13" s="28"/>
      <c r="H13" s="28"/>
    </row>
    <row r="14" spans="1:8" ht="18.75" customHeight="1" x14ac:dyDescent="0.25">
      <c r="A14" s="7">
        <v>45</v>
      </c>
      <c r="B14" s="79">
        <v>1.00931E-3</v>
      </c>
      <c r="C14" s="80">
        <v>188.24</v>
      </c>
      <c r="D14" s="80">
        <v>189.65</v>
      </c>
      <c r="E14" s="81">
        <v>0.63802000000000003</v>
      </c>
      <c r="F14" s="81"/>
      <c r="G14" s="28"/>
      <c r="H14" s="28"/>
    </row>
    <row r="15" spans="1:8" ht="18.75" customHeight="1" x14ac:dyDescent="0.25">
      <c r="A15" s="7">
        <v>50</v>
      </c>
      <c r="B15" s="79">
        <v>1.0115300000000001E-3</v>
      </c>
      <c r="C15" s="80">
        <v>209.12</v>
      </c>
      <c r="D15" s="80">
        <v>210.54</v>
      </c>
      <c r="E15" s="81">
        <v>0.70316999999999996</v>
      </c>
      <c r="F15" s="81"/>
      <c r="G15" s="28"/>
      <c r="H15" s="28"/>
    </row>
    <row r="16" spans="1:8" ht="18.75" customHeight="1" x14ac:dyDescent="0.25">
      <c r="A16" s="7">
        <v>55</v>
      </c>
      <c r="B16" s="79">
        <v>1.0139299999999999E-3</v>
      </c>
      <c r="C16" s="80">
        <v>230.01</v>
      </c>
      <c r="D16" s="80">
        <v>231.43</v>
      </c>
      <c r="E16" s="81">
        <v>0.76732999999999996</v>
      </c>
      <c r="F16" s="81"/>
      <c r="G16" s="28"/>
      <c r="H16" s="28"/>
    </row>
    <row r="17" spans="1:8" ht="18.75" customHeight="1" x14ac:dyDescent="0.25">
      <c r="A17" s="7">
        <v>60</v>
      </c>
      <c r="B17" s="79">
        <v>1.0165E-3</v>
      </c>
      <c r="C17" s="80">
        <v>250.92</v>
      </c>
      <c r="D17" s="80">
        <v>252.34</v>
      </c>
      <c r="E17" s="81">
        <v>0.83055999999999996</v>
      </c>
      <c r="F17" s="81"/>
      <c r="G17" s="28"/>
      <c r="H17" s="28"/>
    </row>
    <row r="18" spans="1:8" ht="18.75" customHeight="1" x14ac:dyDescent="0.25">
      <c r="A18" s="7">
        <v>65</v>
      </c>
      <c r="B18" s="79">
        <v>1.01924E-3</v>
      </c>
      <c r="C18" s="80">
        <v>271.83</v>
      </c>
      <c r="D18" s="80">
        <v>273.26</v>
      </c>
      <c r="E18" s="81">
        <v>0.89288000000000001</v>
      </c>
      <c r="F18" s="81"/>
      <c r="G18" s="28"/>
      <c r="H18" s="28"/>
    </row>
    <row r="19" spans="1:8" ht="18.75" customHeight="1" x14ac:dyDescent="0.25">
      <c r="A19" s="7">
        <v>70</v>
      </c>
      <c r="B19" s="79">
        <v>1.0221399999999999E-3</v>
      </c>
      <c r="C19" s="80">
        <v>292.75</v>
      </c>
      <c r="D19" s="80">
        <v>294.18</v>
      </c>
      <c r="E19" s="81">
        <v>0.95431999999999995</v>
      </c>
      <c r="F19" s="81"/>
      <c r="G19" s="28"/>
      <c r="H19" s="28"/>
    </row>
    <row r="20" spans="1:8" ht="18.75" customHeight="1" x14ac:dyDescent="0.25">
      <c r="A20" s="7">
        <v>75</v>
      </c>
      <c r="B20" s="79">
        <v>1.0252E-3</v>
      </c>
      <c r="C20" s="80">
        <v>313.69</v>
      </c>
      <c r="D20" s="80">
        <v>315.13</v>
      </c>
      <c r="E20" s="82">
        <v>1.0148999999999999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1.02841E-3</v>
      </c>
      <c r="C21" s="80">
        <v>334.65</v>
      </c>
      <c r="D21" s="80">
        <v>336.09</v>
      </c>
      <c r="E21" s="82">
        <v>1.0747</v>
      </c>
      <c r="F21" s="82"/>
      <c r="G21" s="28"/>
      <c r="H21" s="28"/>
    </row>
    <row r="22" spans="1:8" ht="18.75" customHeight="1" x14ac:dyDescent="0.25">
      <c r="A22" s="7">
        <v>85</v>
      </c>
      <c r="B22" s="79">
        <v>1.0317799999999999E-3</v>
      </c>
      <c r="C22" s="80">
        <v>355.63</v>
      </c>
      <c r="D22" s="80">
        <v>357.07</v>
      </c>
      <c r="E22" s="82">
        <v>1.1336999999999999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1.0353000000000001E-3</v>
      </c>
      <c r="C23" s="80">
        <v>376.62</v>
      </c>
      <c r="D23" s="80">
        <v>378.07</v>
      </c>
      <c r="E23" s="82">
        <v>1.1919</v>
      </c>
      <c r="F23" s="82"/>
      <c r="G23" s="28"/>
      <c r="H23" s="28"/>
    </row>
    <row r="24" spans="1:8" ht="18.75" customHeight="1" x14ac:dyDescent="0.25">
      <c r="A24" s="7">
        <v>95</v>
      </c>
      <c r="B24" s="79">
        <v>1.03897E-3</v>
      </c>
      <c r="C24" s="80">
        <v>397.64</v>
      </c>
      <c r="D24" s="80">
        <v>399.09</v>
      </c>
      <c r="E24" s="82">
        <v>1.2494000000000001</v>
      </c>
      <c r="F24" s="82"/>
      <c r="G24" s="28"/>
      <c r="H24" s="28"/>
    </row>
    <row r="25" spans="1:8" ht="18.75" customHeight="1" x14ac:dyDescent="0.25">
      <c r="A25" s="7">
        <v>100</v>
      </c>
      <c r="B25" s="79">
        <v>1.0428E-3</v>
      </c>
      <c r="C25" s="80">
        <v>418.68</v>
      </c>
      <c r="D25" s="80">
        <v>420.14</v>
      </c>
      <c r="E25" s="82">
        <v>1.3062</v>
      </c>
      <c r="F25" s="82"/>
      <c r="G25" s="28"/>
      <c r="H25" s="28"/>
    </row>
    <row r="26" spans="1:8" ht="18.75" customHeight="1" x14ac:dyDescent="0.25">
      <c r="A26" s="7">
        <v>105</v>
      </c>
      <c r="B26" s="79">
        <v>1.04678E-3</v>
      </c>
      <c r="C26" s="80">
        <v>439.75</v>
      </c>
      <c r="D26" s="80">
        <v>441.22</v>
      </c>
      <c r="E26" s="82">
        <v>1.3623000000000001</v>
      </c>
      <c r="F26" s="82"/>
      <c r="G26" s="28"/>
      <c r="H26" s="28"/>
    </row>
    <row r="27" spans="1:8" ht="18.75" customHeight="1" x14ac:dyDescent="0.25">
      <c r="A27" s="7">
        <v>110</v>
      </c>
      <c r="B27" s="79">
        <v>1.05091E-3</v>
      </c>
      <c r="C27" s="80">
        <v>460.86</v>
      </c>
      <c r="D27" s="80">
        <v>462.33</v>
      </c>
      <c r="E27" s="82">
        <v>1.4177999999999999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1.0552000000000001E-3</v>
      </c>
      <c r="C28" s="80">
        <v>481.99</v>
      </c>
      <c r="D28" s="80">
        <v>483.47</v>
      </c>
      <c r="E28" s="82">
        <v>1.4725999999999999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1.0596500000000001E-3</v>
      </c>
      <c r="C29" s="80">
        <v>503.18</v>
      </c>
      <c r="D29" s="80">
        <v>504.66</v>
      </c>
      <c r="E29" s="82">
        <v>1.5267999999999999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1.06426E-3</v>
      </c>
      <c r="C30" s="80">
        <v>524.39</v>
      </c>
      <c r="D30" s="80">
        <v>525.88</v>
      </c>
      <c r="E30" s="82">
        <v>1.5805</v>
      </c>
      <c r="F30" s="82"/>
      <c r="G30" s="28"/>
      <c r="H30" s="28"/>
    </row>
    <row r="31" spans="1:8" ht="18.75" customHeight="1" x14ac:dyDescent="0.25">
      <c r="A31" s="7">
        <v>130</v>
      </c>
      <c r="B31" s="79">
        <v>1.0690400000000001E-3</v>
      </c>
      <c r="C31" s="80">
        <v>545.65</v>
      </c>
      <c r="D31" s="80">
        <v>547.15</v>
      </c>
      <c r="E31" s="82">
        <v>1.6335</v>
      </c>
      <c r="F31" s="82"/>
      <c r="G31" s="28"/>
      <c r="H31" s="28"/>
    </row>
    <row r="32" spans="1:8" ht="18.75" customHeight="1" x14ac:dyDescent="0.25">
      <c r="A32" s="7">
        <v>135</v>
      </c>
      <c r="B32" s="79">
        <v>1.07398E-3</v>
      </c>
      <c r="C32" s="80">
        <v>566.97</v>
      </c>
      <c r="D32" s="80">
        <v>568.47</v>
      </c>
      <c r="E32" s="82">
        <v>1.6860999999999999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1.0790999999999999E-3</v>
      </c>
      <c r="C33" s="80">
        <v>588.32000000000005</v>
      </c>
      <c r="D33" s="80">
        <v>589.83000000000004</v>
      </c>
      <c r="E33" s="82">
        <v>1.7381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1.0843999999999999E-3</v>
      </c>
      <c r="C34" s="80">
        <v>609.74</v>
      </c>
      <c r="D34" s="80">
        <v>611.26</v>
      </c>
      <c r="E34" s="82">
        <v>1.7897000000000001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1.0898800000000001E-3</v>
      </c>
      <c r="C35" s="80">
        <v>631.22</v>
      </c>
      <c r="D35" s="80">
        <v>632.75</v>
      </c>
      <c r="E35" s="82">
        <v>1.8408</v>
      </c>
      <c r="F35" s="82"/>
      <c r="G35" s="28"/>
      <c r="H35" s="28"/>
    </row>
    <row r="36" spans="1:8" ht="18.75" customHeight="1" x14ac:dyDescent="0.25">
      <c r="A36" s="7">
        <v>155</v>
      </c>
      <c r="B36" s="79">
        <v>1.09555E-3</v>
      </c>
      <c r="C36" s="80">
        <v>652.77</v>
      </c>
      <c r="D36" s="80">
        <v>654.29999999999995</v>
      </c>
      <c r="E36" s="82">
        <v>1.8914</v>
      </c>
      <c r="F36" s="82"/>
      <c r="G36" s="28"/>
      <c r="H36" s="28"/>
    </row>
    <row r="37" spans="1:8" ht="18.75" customHeight="1" x14ac:dyDescent="0.25">
      <c r="A37" s="7">
        <v>160</v>
      </c>
      <c r="B37" s="79">
        <v>1.1014200000000001E-3</v>
      </c>
      <c r="C37" s="80">
        <v>674.39</v>
      </c>
      <c r="D37" s="80">
        <v>675.93</v>
      </c>
      <c r="E37" s="82">
        <v>1.9416</v>
      </c>
      <c r="F37" s="82"/>
      <c r="G37" s="28"/>
      <c r="H37" s="28"/>
    </row>
    <row r="38" spans="1:8" ht="18.75" customHeight="1" x14ac:dyDescent="0.25">
      <c r="A38" s="7">
        <v>165</v>
      </c>
      <c r="B38" s="79">
        <v>1.1075E-3</v>
      </c>
      <c r="C38" s="80">
        <v>696.08</v>
      </c>
      <c r="D38" s="80">
        <v>697.63</v>
      </c>
      <c r="E38" s="82">
        <v>1.9914000000000001</v>
      </c>
      <c r="F38" s="82"/>
      <c r="G38" s="28"/>
      <c r="H38" s="28"/>
    </row>
    <row r="39" spans="1:8" ht="18.75" customHeight="1" x14ac:dyDescent="0.25">
      <c r="A39" s="7">
        <v>170</v>
      </c>
      <c r="B39" s="79">
        <v>1.1137899999999999E-3</v>
      </c>
      <c r="C39" s="80">
        <v>717.86</v>
      </c>
      <c r="D39" s="80">
        <v>719.42</v>
      </c>
      <c r="E39" s="82">
        <v>2.0409000000000002</v>
      </c>
      <c r="F39" s="82"/>
      <c r="G39" s="28"/>
      <c r="H39" s="28"/>
    </row>
    <row r="40" spans="1:8" ht="18.75" customHeight="1" x14ac:dyDescent="0.25">
      <c r="A40" s="7">
        <v>175</v>
      </c>
      <c r="B40" s="79">
        <v>1.12031E-3</v>
      </c>
      <c r="C40" s="80">
        <v>739.72</v>
      </c>
      <c r="D40" s="80">
        <v>741.29</v>
      </c>
      <c r="E40" s="82">
        <v>2.09</v>
      </c>
      <c r="F40" s="82"/>
      <c r="G40" s="28"/>
      <c r="H40" s="28"/>
    </row>
    <row r="41" spans="1:8" ht="18.75" customHeight="1" x14ac:dyDescent="0.25">
      <c r="A41" s="7">
        <v>180</v>
      </c>
      <c r="B41" s="79">
        <v>1.12706E-3</v>
      </c>
      <c r="C41" s="80">
        <v>761.67</v>
      </c>
      <c r="D41" s="80">
        <v>763.25</v>
      </c>
      <c r="E41" s="82">
        <v>2.1387</v>
      </c>
      <c r="F41" s="82"/>
      <c r="G41" s="28"/>
      <c r="H41" s="28"/>
    </row>
    <row r="42" spans="1:8" ht="18.75" customHeight="1" x14ac:dyDescent="0.25">
      <c r="A42" s="7">
        <v>185</v>
      </c>
      <c r="B42" s="79">
        <v>1.1340600000000001E-3</v>
      </c>
      <c r="C42" s="80">
        <v>783.73</v>
      </c>
      <c r="D42" s="80">
        <v>785.32</v>
      </c>
      <c r="E42" s="82">
        <v>2.1871</v>
      </c>
      <c r="F42" s="82"/>
      <c r="G42" s="28"/>
      <c r="H42" s="28"/>
    </row>
    <row r="43" spans="1:8" ht="18.75" customHeight="1" x14ac:dyDescent="0.25">
      <c r="A43" s="7">
        <v>190</v>
      </c>
      <c r="B43" s="79">
        <v>1.1413199999999999E-3</v>
      </c>
      <c r="C43" s="80">
        <v>805.9</v>
      </c>
      <c r="D43" s="80">
        <v>807.5</v>
      </c>
      <c r="E43" s="82">
        <v>2.2353000000000001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1.14886E-3</v>
      </c>
      <c r="C44" s="80">
        <v>828.18</v>
      </c>
      <c r="D44" s="80">
        <v>829.79</v>
      </c>
      <c r="E44" s="82">
        <v>2.2831000000000001</v>
      </c>
      <c r="F44" s="82"/>
      <c r="G44" s="28"/>
      <c r="H44" s="28"/>
    </row>
    <row r="45" spans="1:8" ht="18.75" customHeight="1" x14ac:dyDescent="0.25">
      <c r="A45" s="7">
        <v>200</v>
      </c>
      <c r="B45" s="81">
        <v>0.14302999999999999</v>
      </c>
      <c r="C45" s="83">
        <v>2602.8000000000002</v>
      </c>
      <c r="D45" s="83">
        <v>2803</v>
      </c>
      <c r="E45" s="82">
        <v>6.4974999999999996</v>
      </c>
      <c r="F45" s="82"/>
      <c r="G45" s="28"/>
      <c r="H45" s="28"/>
    </row>
    <row r="46" spans="1:8" ht="18.75" customHeight="1" x14ac:dyDescent="0.25">
      <c r="A46" s="7">
        <v>210</v>
      </c>
      <c r="B46" s="81">
        <v>0.14738000000000001</v>
      </c>
      <c r="C46" s="83">
        <v>2623.6</v>
      </c>
      <c r="D46" s="83">
        <v>2829.9</v>
      </c>
      <c r="E46" s="82">
        <v>6.5537999999999998</v>
      </c>
      <c r="F46" s="82"/>
      <c r="G46" s="28"/>
      <c r="H46" s="28"/>
    </row>
    <row r="47" spans="1:8" ht="18.75" customHeight="1" x14ac:dyDescent="0.25">
      <c r="A47" s="7">
        <v>220</v>
      </c>
      <c r="B47" s="81">
        <v>0.15157999999999999</v>
      </c>
      <c r="C47" s="83">
        <v>2643.3</v>
      </c>
      <c r="D47" s="83">
        <v>2855.5</v>
      </c>
      <c r="E47" s="82">
        <v>6.6062000000000003</v>
      </c>
      <c r="F47" s="82"/>
      <c r="G47" s="28"/>
      <c r="H47" s="28"/>
    </row>
    <row r="48" spans="1:8" ht="18.75" customHeight="1" x14ac:dyDescent="0.25">
      <c r="A48" s="7">
        <v>230</v>
      </c>
      <c r="B48" s="81">
        <v>0.15565999999999999</v>
      </c>
      <c r="C48" s="83">
        <v>2662.3</v>
      </c>
      <c r="D48" s="83">
        <v>2880.2</v>
      </c>
      <c r="E48" s="82">
        <v>6.6558999999999999</v>
      </c>
      <c r="F48" s="82"/>
      <c r="G48" s="28"/>
      <c r="H48" s="28"/>
    </row>
    <row r="49" spans="1:8" ht="18.75" customHeight="1" x14ac:dyDescent="0.25">
      <c r="A49" s="7">
        <v>240</v>
      </c>
      <c r="B49" s="81">
        <v>0.15964999999999999</v>
      </c>
      <c r="C49" s="83">
        <v>2680.8</v>
      </c>
      <c r="D49" s="83">
        <v>2904.3</v>
      </c>
      <c r="E49" s="82">
        <v>6.7032999999999996</v>
      </c>
      <c r="F49" s="82"/>
      <c r="G49" s="28"/>
      <c r="H49" s="28"/>
    </row>
    <row r="50" spans="1:8" ht="18.75" customHeight="1" x14ac:dyDescent="0.25">
      <c r="A50" s="7">
        <v>250</v>
      </c>
      <c r="B50" s="81">
        <v>0.16356000000000001</v>
      </c>
      <c r="C50" s="83">
        <v>2698.9</v>
      </c>
      <c r="D50" s="83">
        <v>2927.9</v>
      </c>
      <c r="E50" s="82">
        <v>6.7488000000000001</v>
      </c>
      <c r="F50" s="82"/>
      <c r="G50" s="28"/>
      <c r="H50" s="28"/>
    </row>
    <row r="51" spans="1:8" ht="18.75" customHeight="1" x14ac:dyDescent="0.25">
      <c r="A51" s="7">
        <v>260</v>
      </c>
      <c r="B51" s="81">
        <v>0.16741</v>
      </c>
      <c r="C51" s="83">
        <v>2716.6</v>
      </c>
      <c r="D51" s="83">
        <v>2951</v>
      </c>
      <c r="E51" s="82">
        <v>6.7926000000000002</v>
      </c>
      <c r="F51" s="82"/>
      <c r="G51" s="28"/>
      <c r="H51" s="28"/>
    </row>
    <row r="52" spans="1:8" ht="18.75" customHeight="1" x14ac:dyDescent="0.25">
      <c r="A52" s="7">
        <v>270</v>
      </c>
      <c r="B52" s="81">
        <v>0.17119999999999999</v>
      </c>
      <c r="C52" s="83">
        <v>2734.1</v>
      </c>
      <c r="D52" s="83">
        <v>2973.8</v>
      </c>
      <c r="E52" s="82">
        <v>6.835</v>
      </c>
      <c r="F52" s="82"/>
      <c r="G52" s="28"/>
      <c r="H52" s="28"/>
    </row>
    <row r="53" spans="1:8" ht="18.75" customHeight="1" x14ac:dyDescent="0.25">
      <c r="A53" s="7">
        <v>280</v>
      </c>
      <c r="B53" s="81">
        <v>0.17494999999999999</v>
      </c>
      <c r="C53" s="83">
        <v>2751.5</v>
      </c>
      <c r="D53" s="83">
        <v>2996.4</v>
      </c>
      <c r="E53" s="82">
        <v>6.8761999999999999</v>
      </c>
      <c r="F53" s="82"/>
      <c r="G53" s="28"/>
      <c r="H53" s="28"/>
    </row>
    <row r="54" spans="1:8" ht="18.75" customHeight="1" x14ac:dyDescent="0.25">
      <c r="A54" s="7">
        <v>290</v>
      </c>
      <c r="B54" s="81">
        <v>0.17865</v>
      </c>
      <c r="C54" s="83">
        <v>2768.7</v>
      </c>
      <c r="D54" s="83">
        <v>3018.8</v>
      </c>
      <c r="E54" s="82">
        <v>6.9161999999999999</v>
      </c>
      <c r="F54" s="82"/>
      <c r="G54" s="28"/>
      <c r="H54" s="28"/>
    </row>
    <row r="55" spans="1:8" ht="18.75" customHeight="1" x14ac:dyDescent="0.25">
      <c r="A55" s="7">
        <v>300</v>
      </c>
      <c r="B55" s="81">
        <v>0.18232000000000001</v>
      </c>
      <c r="C55" s="83">
        <v>2785.7</v>
      </c>
      <c r="D55" s="83">
        <v>3040.9</v>
      </c>
      <c r="E55" s="82">
        <v>6.9551999999999996</v>
      </c>
      <c r="F55" s="82"/>
      <c r="G55" s="28"/>
      <c r="H55" s="28"/>
    </row>
    <row r="56" spans="1:8" ht="18.75" customHeight="1" x14ac:dyDescent="0.25">
      <c r="A56" s="7">
        <v>310</v>
      </c>
      <c r="B56" s="81">
        <v>0.18597</v>
      </c>
      <c r="C56" s="83">
        <v>2802.5</v>
      </c>
      <c r="D56" s="83">
        <v>3062.9</v>
      </c>
      <c r="E56" s="82">
        <v>6.9932999999999996</v>
      </c>
      <c r="F56" s="82"/>
      <c r="G56" s="28"/>
      <c r="H56" s="28"/>
    </row>
    <row r="57" spans="1:8" ht="18.75" customHeight="1" x14ac:dyDescent="0.25">
      <c r="A57" s="7">
        <v>320</v>
      </c>
      <c r="B57" s="81">
        <v>0.18958</v>
      </c>
      <c r="C57" s="83">
        <v>2819.5</v>
      </c>
      <c r="D57" s="83">
        <v>3084.9</v>
      </c>
      <c r="E57" s="82">
        <v>7.0305999999999997</v>
      </c>
      <c r="F57" s="82"/>
      <c r="G57" s="28"/>
      <c r="H57" s="28"/>
    </row>
    <row r="58" spans="1:8" ht="18.75" customHeight="1" x14ac:dyDescent="0.25">
      <c r="A58" s="7">
        <v>330</v>
      </c>
      <c r="B58" s="81">
        <v>0.19317000000000001</v>
      </c>
      <c r="C58" s="83">
        <v>2836.3</v>
      </c>
      <c r="D58" s="83">
        <v>3106.7</v>
      </c>
      <c r="E58" s="82">
        <v>7.0670999999999999</v>
      </c>
      <c r="F58" s="82"/>
      <c r="G58" s="28"/>
      <c r="H58" s="28"/>
    </row>
    <row r="59" spans="1:8" ht="18.75" customHeight="1" x14ac:dyDescent="0.25">
      <c r="A59" s="7">
        <v>340</v>
      </c>
      <c r="B59" s="81">
        <v>0.19674</v>
      </c>
      <c r="C59" s="83">
        <v>2853</v>
      </c>
      <c r="D59" s="83">
        <v>3128.4</v>
      </c>
      <c r="E59" s="82">
        <v>7.1028000000000002</v>
      </c>
      <c r="F59" s="82"/>
      <c r="G59" s="28"/>
      <c r="H59" s="28"/>
    </row>
    <row r="60" spans="1:8" ht="18.75" customHeight="1" x14ac:dyDescent="0.25">
      <c r="A60" s="7">
        <v>350</v>
      </c>
      <c r="B60" s="81">
        <v>0.20029</v>
      </c>
      <c r="C60" s="83">
        <v>2869.7</v>
      </c>
      <c r="D60" s="83">
        <v>3150.1</v>
      </c>
      <c r="E60" s="82">
        <v>7.1379000000000001</v>
      </c>
      <c r="F60" s="82"/>
      <c r="G60" s="28"/>
      <c r="H60" s="28"/>
    </row>
    <row r="61" spans="1:8" ht="18.75" customHeight="1" x14ac:dyDescent="0.25">
      <c r="A61" s="7">
        <v>360</v>
      </c>
      <c r="B61" s="81">
        <v>0.20383000000000001</v>
      </c>
      <c r="C61" s="83">
        <v>2886.3</v>
      </c>
      <c r="D61" s="83">
        <v>3171.7</v>
      </c>
      <c r="E61" s="82">
        <v>7.1722999999999999</v>
      </c>
      <c r="F61" s="82"/>
      <c r="G61" s="28"/>
      <c r="H61" s="28"/>
    </row>
    <row r="62" spans="1:8" ht="18.75" customHeight="1" x14ac:dyDescent="0.25">
      <c r="A62" s="7">
        <v>370</v>
      </c>
      <c r="B62" s="81">
        <v>0.20734</v>
      </c>
      <c r="C62" s="83">
        <v>2903</v>
      </c>
      <c r="D62" s="83">
        <v>3193.3</v>
      </c>
      <c r="E62" s="82">
        <v>7.2061999999999999</v>
      </c>
      <c r="F62" s="82"/>
      <c r="G62" s="28"/>
      <c r="H62" s="28"/>
    </row>
    <row r="63" spans="1:8" ht="18.75" customHeight="1" x14ac:dyDescent="0.25">
      <c r="A63" s="7">
        <v>380</v>
      </c>
      <c r="B63" s="81">
        <v>0.21085000000000001</v>
      </c>
      <c r="C63" s="83">
        <v>2919.7</v>
      </c>
      <c r="D63" s="83">
        <v>3214.9</v>
      </c>
      <c r="E63" s="82">
        <v>7.2394999999999996</v>
      </c>
      <c r="F63" s="82"/>
      <c r="G63" s="28"/>
      <c r="H63" s="28"/>
    </row>
    <row r="64" spans="1:8" ht="18.75" customHeight="1" x14ac:dyDescent="0.25">
      <c r="A64" s="7">
        <v>390</v>
      </c>
      <c r="B64" s="81">
        <v>0.21434</v>
      </c>
      <c r="C64" s="83">
        <v>2936.4</v>
      </c>
      <c r="D64" s="83">
        <v>3236.5</v>
      </c>
      <c r="E64" s="82">
        <v>7.2723000000000004</v>
      </c>
      <c r="F64" s="82"/>
      <c r="G64" s="28"/>
      <c r="H64" s="28"/>
    </row>
    <row r="65" spans="1:8" ht="18.75" customHeight="1" x14ac:dyDescent="0.25">
      <c r="A65" s="7">
        <v>400</v>
      </c>
      <c r="B65" s="81">
        <v>0.21782000000000001</v>
      </c>
      <c r="C65" s="83">
        <v>2953.2</v>
      </c>
      <c r="D65" s="83">
        <v>3258.1</v>
      </c>
      <c r="E65" s="82">
        <v>7.3045999999999998</v>
      </c>
      <c r="F65" s="82"/>
      <c r="G65" s="28"/>
      <c r="H65" s="28"/>
    </row>
    <row r="66" spans="1:8" ht="18.75" customHeight="1" x14ac:dyDescent="0.25">
      <c r="A66" s="7">
        <v>410</v>
      </c>
      <c r="B66" s="81">
        <v>0.22128999999999999</v>
      </c>
      <c r="C66" s="83">
        <v>2969.9</v>
      </c>
      <c r="D66" s="83">
        <v>3279.7</v>
      </c>
      <c r="E66" s="82">
        <v>7.3364000000000003</v>
      </c>
      <c r="F66" s="82"/>
      <c r="G66" s="28"/>
      <c r="H66" s="28"/>
    </row>
    <row r="67" spans="1:8" ht="18.75" customHeight="1" x14ac:dyDescent="0.25">
      <c r="A67" s="7">
        <v>420</v>
      </c>
      <c r="B67" s="81">
        <v>0.22475000000000001</v>
      </c>
      <c r="C67" s="83">
        <v>2986.6</v>
      </c>
      <c r="D67" s="83">
        <v>3301.2</v>
      </c>
      <c r="E67" s="82">
        <v>7.3677999999999999</v>
      </c>
      <c r="F67" s="82"/>
      <c r="G67" s="28"/>
      <c r="H67" s="28"/>
    </row>
    <row r="68" spans="1:8" ht="18.75" customHeight="1" x14ac:dyDescent="0.25">
      <c r="A68" s="7">
        <v>430</v>
      </c>
      <c r="B68" s="81">
        <v>0.22819999999999999</v>
      </c>
      <c r="C68" s="83">
        <v>3003.3</v>
      </c>
      <c r="D68" s="83">
        <v>3322.8</v>
      </c>
      <c r="E68" s="82">
        <v>7.3986999999999998</v>
      </c>
      <c r="F68" s="82"/>
      <c r="G68" s="28"/>
      <c r="H68" s="28"/>
    </row>
    <row r="69" spans="1:8" ht="18.75" customHeight="1" x14ac:dyDescent="0.25">
      <c r="A69" s="7">
        <v>440</v>
      </c>
      <c r="B69" s="81">
        <v>0.23164000000000001</v>
      </c>
      <c r="C69" s="83">
        <v>3020.2</v>
      </c>
      <c r="D69" s="83">
        <v>3344.5</v>
      </c>
      <c r="E69" s="82">
        <v>7.4291999999999998</v>
      </c>
      <c r="F69" s="82"/>
      <c r="G69" s="28"/>
      <c r="H69" s="28"/>
    </row>
    <row r="70" spans="1:8" ht="18.75" customHeight="1" x14ac:dyDescent="0.25">
      <c r="A70" s="7">
        <v>450</v>
      </c>
      <c r="B70" s="81">
        <v>0.23508000000000001</v>
      </c>
      <c r="C70" s="83">
        <v>3037</v>
      </c>
      <c r="D70" s="83">
        <v>3366.1</v>
      </c>
      <c r="E70" s="82">
        <v>7.4593999999999996</v>
      </c>
      <c r="F70" s="82"/>
      <c r="G70" s="28"/>
      <c r="H70" s="28"/>
    </row>
    <row r="71" spans="1:8" ht="18.75" customHeight="1" x14ac:dyDescent="0.25">
      <c r="A71" s="7">
        <v>460</v>
      </c>
      <c r="B71" s="81">
        <v>0.23851</v>
      </c>
      <c r="C71" s="83">
        <v>3053.9</v>
      </c>
      <c r="D71" s="83">
        <v>3387.8</v>
      </c>
      <c r="E71" s="82">
        <v>7.4890999999999996</v>
      </c>
      <c r="F71" s="82"/>
      <c r="G71" s="28"/>
      <c r="H71" s="28"/>
    </row>
    <row r="72" spans="1:8" ht="18.75" customHeight="1" x14ac:dyDescent="0.25">
      <c r="A72" s="7">
        <v>470</v>
      </c>
      <c r="B72" s="81">
        <v>0.24193000000000001</v>
      </c>
      <c r="C72" s="83">
        <v>3070.8</v>
      </c>
      <c r="D72" s="83">
        <v>3409.5</v>
      </c>
      <c r="E72" s="82">
        <v>7.5185000000000004</v>
      </c>
      <c r="F72" s="82"/>
      <c r="G72" s="28"/>
      <c r="H72" s="28"/>
    </row>
    <row r="73" spans="1:8" ht="18.75" customHeight="1" x14ac:dyDescent="0.25">
      <c r="A73" s="7">
        <v>480</v>
      </c>
      <c r="B73" s="81">
        <v>0.24534</v>
      </c>
      <c r="C73" s="83">
        <v>3087.7</v>
      </c>
      <c r="D73" s="83">
        <v>3431.2</v>
      </c>
      <c r="E73" s="82">
        <v>7.5476000000000001</v>
      </c>
      <c r="F73" s="82"/>
      <c r="G73" s="28"/>
      <c r="H73" s="28"/>
    </row>
    <row r="74" spans="1:8" ht="18.75" customHeight="1" x14ac:dyDescent="0.25">
      <c r="A74" s="7">
        <v>490</v>
      </c>
      <c r="B74" s="81">
        <v>0.24875</v>
      </c>
      <c r="C74" s="83">
        <v>3104.8</v>
      </c>
      <c r="D74" s="83">
        <v>3453</v>
      </c>
      <c r="E74" s="82">
        <v>7.5762999999999998</v>
      </c>
      <c r="F74" s="82"/>
      <c r="G74" s="28"/>
      <c r="H74" s="28"/>
    </row>
    <row r="75" spans="1:8" ht="18.75" customHeight="1" x14ac:dyDescent="0.25">
      <c r="A75" s="7">
        <v>500</v>
      </c>
      <c r="B75" s="81">
        <v>0.25216</v>
      </c>
      <c r="C75" s="83">
        <v>3121.8</v>
      </c>
      <c r="D75" s="83">
        <v>3474.8</v>
      </c>
      <c r="E75" s="82">
        <v>7.6047000000000002</v>
      </c>
      <c r="F75" s="82"/>
      <c r="G75" s="28"/>
      <c r="H75" s="28"/>
    </row>
    <row r="76" spans="1:8" ht="18.75" customHeight="1" x14ac:dyDescent="0.25">
      <c r="A76" s="7">
        <v>520</v>
      </c>
      <c r="B76" s="81">
        <v>0.25895000000000001</v>
      </c>
      <c r="C76" s="83">
        <v>3156</v>
      </c>
      <c r="D76" s="83">
        <v>3518.5</v>
      </c>
      <c r="E76" s="82">
        <v>7.6604999999999999</v>
      </c>
      <c r="F76" s="82"/>
      <c r="G76" s="28"/>
      <c r="H76" s="28"/>
    </row>
    <row r="77" spans="1:8" ht="18.75" customHeight="1" x14ac:dyDescent="0.25">
      <c r="A77" s="7">
        <v>540</v>
      </c>
      <c r="B77" s="81">
        <v>0.26573000000000002</v>
      </c>
      <c r="C77" s="83">
        <v>3190.4</v>
      </c>
      <c r="D77" s="83">
        <v>3562.4</v>
      </c>
      <c r="E77" s="82">
        <v>7.7152000000000003</v>
      </c>
      <c r="F77" s="82"/>
      <c r="G77" s="28"/>
      <c r="H77" s="28"/>
    </row>
    <row r="78" spans="1:8" ht="18.75" customHeight="1" x14ac:dyDescent="0.25">
      <c r="A78" s="7">
        <v>560</v>
      </c>
      <c r="B78" s="81">
        <v>0.27249000000000001</v>
      </c>
      <c r="C78" s="83">
        <v>3225.1</v>
      </c>
      <c r="D78" s="83">
        <v>3606.6</v>
      </c>
      <c r="E78" s="82">
        <v>7.7687999999999997</v>
      </c>
      <c r="F78" s="82"/>
      <c r="G78" s="28"/>
      <c r="H78" s="28"/>
    </row>
    <row r="79" spans="1:8" ht="18.75" customHeight="1" x14ac:dyDescent="0.25">
      <c r="A79" s="7">
        <v>580</v>
      </c>
      <c r="B79" s="81">
        <v>0.27922999999999998</v>
      </c>
      <c r="C79" s="83">
        <v>3260</v>
      </c>
      <c r="D79" s="83">
        <v>3650.9</v>
      </c>
      <c r="E79" s="82">
        <v>7.8213999999999997</v>
      </c>
      <c r="F79" s="82"/>
      <c r="G79" s="28"/>
      <c r="H79" s="28"/>
    </row>
    <row r="80" spans="1:8" ht="18.75" customHeight="1" x14ac:dyDescent="0.25">
      <c r="A80" s="7">
        <v>600</v>
      </c>
      <c r="B80" s="81">
        <v>0.28597</v>
      </c>
      <c r="C80" s="83">
        <v>3295</v>
      </c>
      <c r="D80" s="83">
        <v>3695.4</v>
      </c>
      <c r="E80" s="82">
        <v>7.8730000000000002</v>
      </c>
      <c r="F80" s="82"/>
      <c r="G80" s="28"/>
      <c r="H80" s="28"/>
    </row>
    <row r="81" spans="1:8" ht="18.75" customHeight="1" x14ac:dyDescent="0.25">
      <c r="A81" s="7">
        <v>620</v>
      </c>
      <c r="B81" s="81">
        <v>0.29269000000000001</v>
      </c>
      <c r="C81" s="83">
        <v>3330.4</v>
      </c>
      <c r="D81" s="83">
        <v>3740.2</v>
      </c>
      <c r="E81" s="82">
        <v>7.9237000000000002</v>
      </c>
      <c r="F81" s="82"/>
      <c r="G81" s="28"/>
      <c r="H81" s="28"/>
    </row>
    <row r="82" spans="1:8" ht="18.75" customHeight="1" x14ac:dyDescent="0.25">
      <c r="A82" s="7">
        <v>640</v>
      </c>
      <c r="B82" s="81">
        <v>0.29941000000000001</v>
      </c>
      <c r="C82" s="83">
        <v>3366</v>
      </c>
      <c r="D82" s="83">
        <v>3785.2</v>
      </c>
      <c r="E82" s="82">
        <v>7.9736000000000002</v>
      </c>
      <c r="F82" s="82"/>
      <c r="G82" s="28"/>
      <c r="H82" s="28"/>
    </row>
    <row r="83" spans="1:8" ht="18.75" customHeight="1" x14ac:dyDescent="0.25">
      <c r="A83" s="7">
        <v>660</v>
      </c>
      <c r="B83" s="81">
        <v>0.30612</v>
      </c>
      <c r="C83" s="83">
        <v>3401.9</v>
      </c>
      <c r="D83" s="83">
        <v>3830.5</v>
      </c>
      <c r="E83" s="82">
        <v>8.0226000000000006</v>
      </c>
      <c r="F83" s="82"/>
      <c r="G83" s="28"/>
      <c r="H83" s="28"/>
    </row>
    <row r="84" spans="1:8" ht="18.75" customHeight="1" x14ac:dyDescent="0.25">
      <c r="A84" s="7">
        <v>680</v>
      </c>
      <c r="B84" s="81">
        <v>0.31280999999999998</v>
      </c>
      <c r="C84" s="83">
        <v>3438.1</v>
      </c>
      <c r="D84" s="83">
        <v>3876</v>
      </c>
      <c r="E84" s="82">
        <v>8.0708000000000002</v>
      </c>
      <c r="F84" s="82"/>
      <c r="G84" s="28"/>
      <c r="H84" s="28"/>
    </row>
    <row r="85" spans="1:8" ht="18.75" customHeight="1" x14ac:dyDescent="0.25">
      <c r="A85" s="7">
        <v>700</v>
      </c>
      <c r="B85" s="81">
        <v>0.31951000000000002</v>
      </c>
      <c r="C85" s="83">
        <v>3474.4</v>
      </c>
      <c r="D85" s="83">
        <v>3921.7</v>
      </c>
      <c r="E85" s="82">
        <v>8.1182999999999996</v>
      </c>
      <c r="F85" s="82"/>
      <c r="G85" s="28"/>
      <c r="H85" s="28"/>
    </row>
    <row r="86" spans="1:8" ht="18.75" customHeight="1" x14ac:dyDescent="0.25">
      <c r="A86" s="7">
        <v>720</v>
      </c>
      <c r="B86" s="81">
        <v>0.32618999999999998</v>
      </c>
      <c r="C86" s="83">
        <v>3511</v>
      </c>
      <c r="D86" s="83">
        <v>3967.7</v>
      </c>
      <c r="E86" s="82">
        <v>8.1651000000000007</v>
      </c>
      <c r="F86" s="82"/>
      <c r="G86" s="28"/>
      <c r="H86" s="28"/>
    </row>
    <row r="87" spans="1:8" ht="18.75" customHeight="1" x14ac:dyDescent="0.25">
      <c r="A87" s="7">
        <v>740</v>
      </c>
      <c r="B87" s="81">
        <v>0.33287</v>
      </c>
      <c r="C87" s="83">
        <v>3548</v>
      </c>
      <c r="D87" s="83">
        <v>4014</v>
      </c>
      <c r="E87" s="82">
        <v>8.2111999999999998</v>
      </c>
      <c r="F87" s="82"/>
      <c r="G87" s="28"/>
      <c r="H87" s="28"/>
    </row>
    <row r="88" spans="1:8" ht="18.75" customHeight="1" x14ac:dyDescent="0.25">
      <c r="A88" s="7">
        <v>760</v>
      </c>
      <c r="B88" s="81">
        <v>0.33954000000000001</v>
      </c>
      <c r="C88" s="83">
        <v>3585.1</v>
      </c>
      <c r="D88" s="83">
        <v>4060.5</v>
      </c>
      <c r="E88" s="82">
        <v>8.2567000000000004</v>
      </c>
      <c r="F88" s="82"/>
      <c r="G88" s="28"/>
      <c r="H88" s="28"/>
    </row>
    <row r="89" spans="1:8" ht="18.75" customHeight="1" x14ac:dyDescent="0.25">
      <c r="A89" s="7">
        <v>780</v>
      </c>
      <c r="B89" s="81">
        <v>0.34621000000000002</v>
      </c>
      <c r="C89" s="83">
        <v>3622.5</v>
      </c>
      <c r="D89" s="83">
        <v>4107.2</v>
      </c>
      <c r="E89" s="82">
        <v>8.3015000000000008</v>
      </c>
      <c r="F89" s="82"/>
      <c r="G89" s="28"/>
      <c r="H89" s="28"/>
    </row>
    <row r="90" spans="1:8" ht="18.75" customHeight="1" x14ac:dyDescent="0.25">
      <c r="A90" s="7">
        <v>800</v>
      </c>
      <c r="B90" s="81">
        <v>0.35287000000000002</v>
      </c>
      <c r="C90" s="83">
        <v>3660.3</v>
      </c>
      <c r="D90" s="83">
        <v>4154.3</v>
      </c>
      <c r="E90" s="82">
        <v>8.3457000000000008</v>
      </c>
      <c r="F90" s="82"/>
      <c r="G90" s="28"/>
      <c r="H90" s="28"/>
    </row>
    <row r="91" spans="1:8" ht="18.75" customHeight="1" x14ac:dyDescent="0.25">
      <c r="A91" s="7">
        <v>820</v>
      </c>
      <c r="B91" s="81">
        <v>0.35953000000000002</v>
      </c>
      <c r="C91" s="83">
        <v>3698.3</v>
      </c>
      <c r="D91" s="83">
        <v>4201.6000000000004</v>
      </c>
      <c r="E91" s="82">
        <v>8.3894000000000002</v>
      </c>
      <c r="F91" s="82"/>
      <c r="G91" s="28"/>
      <c r="H91" s="28"/>
    </row>
    <row r="92" spans="1:8" ht="18.75" customHeight="1" x14ac:dyDescent="0.25">
      <c r="A92" s="7">
        <v>840</v>
      </c>
      <c r="B92" s="81">
        <v>0.36619000000000002</v>
      </c>
      <c r="C92" s="83">
        <v>3736.4</v>
      </c>
      <c r="D92" s="83">
        <v>4249.1000000000004</v>
      </c>
      <c r="E92" s="82">
        <v>8.4324999999999992</v>
      </c>
      <c r="F92" s="82"/>
      <c r="G92" s="28"/>
      <c r="H92" s="28"/>
    </row>
    <row r="93" spans="1:8" ht="18.75" customHeight="1" x14ac:dyDescent="0.25">
      <c r="A93" s="7">
        <v>860</v>
      </c>
      <c r="B93" s="81">
        <v>0.37284</v>
      </c>
      <c r="C93" s="83">
        <v>3774.9</v>
      </c>
      <c r="D93" s="83">
        <v>4296.8999999999996</v>
      </c>
      <c r="E93" s="82">
        <v>8.4750999999999994</v>
      </c>
      <c r="F93" s="82"/>
      <c r="G93" s="28"/>
      <c r="H93" s="28"/>
    </row>
    <row r="94" spans="1:8" ht="18.75" customHeight="1" x14ac:dyDescent="0.25">
      <c r="A94" s="7">
        <v>880</v>
      </c>
      <c r="B94" s="81">
        <v>0.37948999999999999</v>
      </c>
      <c r="C94" s="83">
        <v>3813.7</v>
      </c>
      <c r="D94" s="83">
        <v>4345</v>
      </c>
      <c r="E94" s="82">
        <v>8.5170999999999992</v>
      </c>
      <c r="F94" s="82"/>
      <c r="G94" s="28"/>
      <c r="H94" s="28"/>
    </row>
    <row r="95" spans="1:8" ht="18.75" customHeight="1" x14ac:dyDescent="0.25">
      <c r="A95" s="7">
        <v>900</v>
      </c>
      <c r="B95" s="81">
        <v>0.38613999999999998</v>
      </c>
      <c r="C95" s="83">
        <v>3852.7</v>
      </c>
      <c r="D95" s="83">
        <v>4393.3</v>
      </c>
      <c r="E95" s="82">
        <v>8.5587</v>
      </c>
      <c r="F95" s="82"/>
      <c r="G95" s="28"/>
      <c r="H95" s="28"/>
    </row>
    <row r="96" spans="1:8" ht="18.75" customHeight="1" x14ac:dyDescent="0.25">
      <c r="A96" s="7">
        <v>920</v>
      </c>
      <c r="B96" s="81">
        <v>0.39278000000000002</v>
      </c>
      <c r="C96" s="83">
        <v>3892</v>
      </c>
      <c r="D96" s="83">
        <v>4441.8999999999996</v>
      </c>
      <c r="E96" s="82">
        <v>8.5997000000000003</v>
      </c>
      <c r="F96" s="82"/>
      <c r="G96" s="28"/>
      <c r="H96" s="28"/>
    </row>
    <row r="97" spans="1:8" ht="18.75" customHeight="1" x14ac:dyDescent="0.25">
      <c r="A97" s="7">
        <v>940</v>
      </c>
      <c r="B97" s="81">
        <v>0.39942</v>
      </c>
      <c r="C97" s="83">
        <v>3931.5</v>
      </c>
      <c r="D97" s="83">
        <v>4490.7</v>
      </c>
      <c r="E97" s="82">
        <v>8.6402999999999999</v>
      </c>
      <c r="F97" s="82"/>
      <c r="G97" s="28"/>
      <c r="H97" s="28"/>
    </row>
    <row r="98" spans="1:8" ht="18.75" customHeight="1" x14ac:dyDescent="0.25">
      <c r="A98" s="7">
        <v>960</v>
      </c>
      <c r="B98" s="81">
        <v>0.40605999999999998</v>
      </c>
      <c r="C98" s="83">
        <v>3971.3</v>
      </c>
      <c r="D98" s="83">
        <v>4539.8</v>
      </c>
      <c r="E98" s="82">
        <v>8.6805000000000003</v>
      </c>
      <c r="F98" s="82"/>
      <c r="G98" s="28"/>
      <c r="H98" s="28"/>
    </row>
    <row r="99" spans="1:8" ht="18.75" customHeight="1" x14ac:dyDescent="0.25">
      <c r="A99" s="7">
        <v>980</v>
      </c>
      <c r="B99" s="81">
        <v>0.41270000000000001</v>
      </c>
      <c r="C99" s="83">
        <v>4011.4</v>
      </c>
      <c r="D99" s="83">
        <v>4589.2</v>
      </c>
      <c r="E99" s="82">
        <v>8.7202000000000002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0.41932999999999998</v>
      </c>
      <c r="C100" s="83">
        <v>4051.7</v>
      </c>
      <c r="D100" s="83">
        <v>4638.8</v>
      </c>
      <c r="E100" s="82">
        <v>8.7593999999999994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H100"/>
  <sheetViews>
    <sheetView topLeftCell="A26" workbookViewId="0">
      <selection activeCell="A45" sqref="A45:XFD45"/>
    </sheetView>
  </sheetViews>
  <sheetFormatPr defaultRowHeight="13.2" x14ac:dyDescent="0.25"/>
  <cols>
    <col min="1" max="1" width="9" customWidth="1"/>
    <col min="2" max="2" width="10.77734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206" t="s">
        <v>71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1500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9.9945000000000003E-4</v>
      </c>
      <c r="C5" s="80">
        <v>-0.02</v>
      </c>
      <c r="D5" s="80">
        <v>1.48</v>
      </c>
      <c r="E5" s="81">
        <v>-6.0000000000000002E-5</v>
      </c>
      <c r="F5" s="81"/>
      <c r="G5" s="47"/>
      <c r="H5" s="47"/>
    </row>
    <row r="6" spans="1:8" ht="18.75" customHeight="1" x14ac:dyDescent="0.25">
      <c r="A6" s="45">
        <v>5</v>
      </c>
      <c r="B6" s="79">
        <v>9.9934999999999998E-4</v>
      </c>
      <c r="C6" s="80">
        <v>21.01</v>
      </c>
      <c r="D6" s="80">
        <v>22.51</v>
      </c>
      <c r="E6" s="81">
        <v>7.6230000000000006E-2</v>
      </c>
      <c r="F6" s="81"/>
      <c r="G6" s="47"/>
      <c r="H6" s="47"/>
    </row>
    <row r="7" spans="1:8" ht="18.75" customHeight="1" x14ac:dyDescent="0.25">
      <c r="A7" s="45">
        <v>10</v>
      </c>
      <c r="B7" s="79">
        <v>9.9963000000000005E-4</v>
      </c>
      <c r="C7" s="80">
        <v>41.98</v>
      </c>
      <c r="D7" s="80">
        <v>43.48</v>
      </c>
      <c r="E7" s="81">
        <v>0.15095</v>
      </c>
      <c r="F7" s="81"/>
      <c r="G7" s="47"/>
      <c r="H7" s="47"/>
    </row>
    <row r="8" spans="1:8" ht="18.75" customHeight="1" x14ac:dyDescent="0.25">
      <c r="A8" s="45">
        <v>15</v>
      </c>
      <c r="B8" s="79">
        <v>1.0002500000000001E-3</v>
      </c>
      <c r="C8" s="80">
        <v>62.91</v>
      </c>
      <c r="D8" s="80">
        <v>64.41</v>
      </c>
      <c r="E8" s="81">
        <v>0.22423999999999999</v>
      </c>
      <c r="F8" s="81"/>
      <c r="G8" s="47"/>
      <c r="H8" s="47"/>
    </row>
    <row r="9" spans="1:8" ht="18.75" customHeight="1" x14ac:dyDescent="0.25">
      <c r="A9" s="45">
        <v>20</v>
      </c>
      <c r="B9" s="79">
        <v>1.0011499999999999E-3</v>
      </c>
      <c r="C9" s="80">
        <v>83.82</v>
      </c>
      <c r="D9" s="80">
        <v>85.32</v>
      </c>
      <c r="E9" s="81">
        <v>0.29616999999999999</v>
      </c>
      <c r="F9" s="81"/>
      <c r="G9" s="47"/>
      <c r="H9" s="47"/>
    </row>
    <row r="10" spans="1:8" ht="18.75" customHeight="1" x14ac:dyDescent="0.25">
      <c r="A10" s="45">
        <v>25</v>
      </c>
      <c r="B10" s="79">
        <v>1.0023300000000001E-3</v>
      </c>
      <c r="C10" s="80">
        <v>104.71</v>
      </c>
      <c r="D10" s="80">
        <v>106.21</v>
      </c>
      <c r="E10" s="81">
        <v>0.36684</v>
      </c>
      <c r="F10" s="81"/>
      <c r="G10" s="47"/>
      <c r="H10" s="47"/>
    </row>
    <row r="11" spans="1:8" ht="18.75" customHeight="1" x14ac:dyDescent="0.25">
      <c r="A11" s="45">
        <v>30</v>
      </c>
      <c r="B11" s="79">
        <v>1.0037399999999999E-3</v>
      </c>
      <c r="C11" s="80">
        <v>125.59</v>
      </c>
      <c r="D11" s="80">
        <v>127.1</v>
      </c>
      <c r="E11" s="81">
        <v>0.43630000000000002</v>
      </c>
      <c r="F11" s="81"/>
      <c r="G11" s="47"/>
      <c r="H11" s="47"/>
    </row>
    <row r="12" spans="1:8" ht="18.75" customHeight="1" x14ac:dyDescent="0.25">
      <c r="A12" s="45">
        <v>35</v>
      </c>
      <c r="B12" s="79">
        <v>1.0053799999999999E-3</v>
      </c>
      <c r="C12" s="80">
        <v>146.47</v>
      </c>
      <c r="D12" s="80">
        <v>147.97999999999999</v>
      </c>
      <c r="E12" s="81">
        <v>0.50461</v>
      </c>
      <c r="F12" s="81"/>
      <c r="G12" s="47"/>
      <c r="H12" s="47"/>
    </row>
    <row r="13" spans="1:8" ht="18.75" customHeight="1" x14ac:dyDescent="0.25">
      <c r="A13" s="45">
        <v>40</v>
      </c>
      <c r="B13" s="79">
        <v>1.0072200000000001E-3</v>
      </c>
      <c r="C13" s="80">
        <v>167.35</v>
      </c>
      <c r="D13" s="80">
        <v>168.86</v>
      </c>
      <c r="E13" s="81">
        <v>0.57181999999999999</v>
      </c>
      <c r="F13" s="81"/>
      <c r="G13" s="47"/>
      <c r="H13" s="47"/>
    </row>
    <row r="14" spans="1:8" ht="18.75" customHeight="1" x14ac:dyDescent="0.25">
      <c r="A14" s="45">
        <v>45</v>
      </c>
      <c r="B14" s="79">
        <v>1.0092600000000001E-3</v>
      </c>
      <c r="C14" s="80">
        <v>188.23</v>
      </c>
      <c r="D14" s="80">
        <v>189.74</v>
      </c>
      <c r="E14" s="81">
        <v>0.63797999999999999</v>
      </c>
      <c r="F14" s="81"/>
      <c r="G14" s="47"/>
      <c r="H14" s="47"/>
    </row>
    <row r="15" spans="1:8" ht="18.75" customHeight="1" x14ac:dyDescent="0.25">
      <c r="A15" s="45">
        <v>50</v>
      </c>
      <c r="B15" s="79">
        <v>1.0114900000000001E-3</v>
      </c>
      <c r="C15" s="80">
        <v>209.1</v>
      </c>
      <c r="D15" s="80">
        <v>210.62</v>
      </c>
      <c r="E15" s="81">
        <v>0.70311999999999997</v>
      </c>
      <c r="F15" s="81"/>
      <c r="G15" s="47"/>
      <c r="H15" s="47"/>
    </row>
    <row r="16" spans="1:8" ht="18.75" customHeight="1" x14ac:dyDescent="0.25">
      <c r="A16" s="45">
        <v>55</v>
      </c>
      <c r="B16" s="79">
        <v>1.0138899999999999E-3</v>
      </c>
      <c r="C16" s="80">
        <v>230</v>
      </c>
      <c r="D16" s="80">
        <v>231.52</v>
      </c>
      <c r="E16" s="81">
        <v>0.76727999999999996</v>
      </c>
      <c r="F16" s="81"/>
      <c r="G16" s="47"/>
      <c r="H16" s="47"/>
    </row>
    <row r="17" spans="1:8" ht="18.75" customHeight="1" x14ac:dyDescent="0.25">
      <c r="A17" s="45">
        <v>60</v>
      </c>
      <c r="B17" s="79">
        <v>1.0164600000000001E-3</v>
      </c>
      <c r="C17" s="80">
        <v>250.9</v>
      </c>
      <c r="D17" s="80">
        <v>252.42</v>
      </c>
      <c r="E17" s="81">
        <v>0.83050999999999997</v>
      </c>
      <c r="F17" s="81"/>
      <c r="G17" s="47"/>
      <c r="H17" s="47"/>
    </row>
    <row r="18" spans="1:8" ht="18.75" customHeight="1" x14ac:dyDescent="0.25">
      <c r="A18" s="45">
        <v>65</v>
      </c>
      <c r="B18" s="79">
        <v>1.0192000000000001E-3</v>
      </c>
      <c r="C18" s="80">
        <v>271.81</v>
      </c>
      <c r="D18" s="80">
        <v>273.33999999999997</v>
      </c>
      <c r="E18" s="81">
        <v>0.89281999999999995</v>
      </c>
      <c r="F18" s="81"/>
      <c r="G18" s="47"/>
      <c r="H18" s="47"/>
    </row>
    <row r="19" spans="1:8" ht="18.75" customHeight="1" x14ac:dyDescent="0.25">
      <c r="A19" s="45">
        <v>70</v>
      </c>
      <c r="B19" s="79">
        <v>1.0221E-3</v>
      </c>
      <c r="C19" s="80">
        <v>292.74</v>
      </c>
      <c r="D19" s="80">
        <v>294.27</v>
      </c>
      <c r="E19" s="81">
        <v>0.95426</v>
      </c>
      <c r="F19" s="81"/>
      <c r="G19" s="47"/>
      <c r="H19" s="47"/>
    </row>
    <row r="20" spans="1:8" ht="18.75" customHeight="1" x14ac:dyDescent="0.25">
      <c r="A20" s="45">
        <v>75</v>
      </c>
      <c r="B20" s="79">
        <v>1.0251500000000001E-3</v>
      </c>
      <c r="C20" s="80">
        <v>313.67</v>
      </c>
      <c r="D20" s="80">
        <v>315.20999999999998</v>
      </c>
      <c r="E20" s="82">
        <v>1.0147999999999999</v>
      </c>
      <c r="F20" s="82"/>
      <c r="G20" s="47"/>
      <c r="H20" s="47"/>
    </row>
    <row r="21" spans="1:8" ht="18.75" customHeight="1" x14ac:dyDescent="0.25">
      <c r="A21" s="45">
        <v>80</v>
      </c>
      <c r="B21" s="79">
        <v>1.02837E-3</v>
      </c>
      <c r="C21" s="80">
        <v>334.63</v>
      </c>
      <c r="D21" s="80">
        <v>336.17</v>
      </c>
      <c r="E21" s="82">
        <v>1.0746</v>
      </c>
      <c r="F21" s="82"/>
      <c r="G21" s="47"/>
      <c r="H21" s="47"/>
    </row>
    <row r="22" spans="1:8" ht="18.75" customHeight="1" x14ac:dyDescent="0.25">
      <c r="A22" s="45">
        <v>85</v>
      </c>
      <c r="B22" s="79">
        <v>1.03173E-3</v>
      </c>
      <c r="C22" s="80">
        <v>355.6</v>
      </c>
      <c r="D22" s="80">
        <v>357.15</v>
      </c>
      <c r="E22" s="82">
        <v>1.1335999999999999</v>
      </c>
      <c r="F22" s="82"/>
      <c r="G22" s="47"/>
      <c r="H22" s="47"/>
    </row>
    <row r="23" spans="1:8" ht="18.75" customHeight="1" x14ac:dyDescent="0.25">
      <c r="A23" s="45">
        <v>90</v>
      </c>
      <c r="B23" s="79">
        <v>1.0352499999999999E-3</v>
      </c>
      <c r="C23" s="80">
        <v>376.6</v>
      </c>
      <c r="D23" s="80">
        <v>378.15</v>
      </c>
      <c r="E23" s="82">
        <v>1.1918</v>
      </c>
      <c r="F23" s="82"/>
      <c r="G23" s="47"/>
      <c r="H23" s="47"/>
    </row>
    <row r="24" spans="1:8" ht="18.75" customHeight="1" x14ac:dyDescent="0.25">
      <c r="A24" s="45">
        <v>95</v>
      </c>
      <c r="B24" s="79">
        <v>1.03892E-3</v>
      </c>
      <c r="C24" s="80">
        <v>397.61</v>
      </c>
      <c r="D24" s="80">
        <v>399.17</v>
      </c>
      <c r="E24" s="82">
        <v>1.2493000000000001</v>
      </c>
      <c r="F24" s="82"/>
      <c r="G24" s="47"/>
      <c r="H24" s="47"/>
    </row>
    <row r="25" spans="1:8" ht="18.75" customHeight="1" x14ac:dyDescent="0.25">
      <c r="A25" s="45">
        <v>100</v>
      </c>
      <c r="B25" s="79">
        <v>1.0427500000000001E-3</v>
      </c>
      <c r="C25" s="80">
        <v>418.66</v>
      </c>
      <c r="D25" s="80">
        <v>420.22</v>
      </c>
      <c r="E25" s="82">
        <v>1.3061</v>
      </c>
      <c r="F25" s="82"/>
      <c r="G25" s="47"/>
      <c r="H25" s="47"/>
    </row>
    <row r="26" spans="1:8" ht="18.75" customHeight="1" x14ac:dyDescent="0.25">
      <c r="A26" s="45">
        <v>105</v>
      </c>
      <c r="B26" s="79">
        <v>1.0467300000000001E-3</v>
      </c>
      <c r="C26" s="80">
        <v>439.72</v>
      </c>
      <c r="D26" s="80">
        <v>441.29</v>
      </c>
      <c r="E26" s="82">
        <v>1.3622000000000001</v>
      </c>
      <c r="F26" s="82"/>
      <c r="G26" s="47"/>
      <c r="H26" s="47"/>
    </row>
    <row r="27" spans="1:8" ht="18.75" customHeight="1" x14ac:dyDescent="0.25">
      <c r="A27" s="45">
        <v>110</v>
      </c>
      <c r="B27" s="79">
        <v>1.05086E-3</v>
      </c>
      <c r="C27" s="80">
        <v>460.82</v>
      </c>
      <c r="D27" s="80">
        <v>462.4</v>
      </c>
      <c r="E27" s="82">
        <v>1.4177</v>
      </c>
      <c r="F27" s="82"/>
      <c r="G27" s="47"/>
      <c r="H27" s="47"/>
    </row>
    <row r="28" spans="1:8" ht="18.75" customHeight="1" x14ac:dyDescent="0.25">
      <c r="A28" s="45">
        <v>115</v>
      </c>
      <c r="B28" s="79">
        <v>1.0551499999999999E-3</v>
      </c>
      <c r="C28" s="80">
        <v>481.97</v>
      </c>
      <c r="D28" s="80">
        <v>483.55</v>
      </c>
      <c r="E28" s="82">
        <v>1.4724999999999999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1.05959E-3</v>
      </c>
      <c r="C29" s="80">
        <v>503.14</v>
      </c>
      <c r="D29" s="80">
        <v>504.73</v>
      </c>
      <c r="E29" s="82">
        <v>1.5266999999999999</v>
      </c>
      <c r="F29" s="82"/>
      <c r="G29" s="47"/>
      <c r="H29" s="47"/>
    </row>
    <row r="30" spans="1:8" ht="18.75" customHeight="1" x14ac:dyDescent="0.25">
      <c r="A30" s="45">
        <v>125</v>
      </c>
      <c r="B30" s="79">
        <v>1.0642E-3</v>
      </c>
      <c r="C30" s="80">
        <v>524.35</v>
      </c>
      <c r="D30" s="80">
        <v>525.95000000000005</v>
      </c>
      <c r="E30" s="82">
        <v>1.5804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1.06898E-3</v>
      </c>
      <c r="C31" s="80">
        <v>545.62</v>
      </c>
      <c r="D31" s="80">
        <v>547.22</v>
      </c>
      <c r="E31" s="82">
        <v>1.6334</v>
      </c>
      <c r="F31" s="82"/>
      <c r="G31" s="47"/>
      <c r="H31" s="47"/>
    </row>
    <row r="32" spans="1:8" ht="18.75" customHeight="1" x14ac:dyDescent="0.25">
      <c r="A32" s="45">
        <v>135</v>
      </c>
      <c r="B32" s="79">
        <v>1.0739199999999999E-3</v>
      </c>
      <c r="C32" s="80">
        <v>566.91999999999996</v>
      </c>
      <c r="D32" s="80">
        <v>568.53</v>
      </c>
      <c r="E32" s="82">
        <v>1.6859999999999999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1.0790400000000001E-3</v>
      </c>
      <c r="C33" s="80">
        <v>588.28</v>
      </c>
      <c r="D33" s="80">
        <v>589.9</v>
      </c>
      <c r="E33" s="82">
        <v>1.738</v>
      </c>
      <c r="F33" s="82"/>
      <c r="G33" s="47"/>
      <c r="H33" s="47"/>
    </row>
    <row r="34" spans="1:8" ht="18.75" customHeight="1" x14ac:dyDescent="0.25">
      <c r="A34" s="45">
        <v>145</v>
      </c>
      <c r="B34" s="79">
        <v>1.0843300000000001E-3</v>
      </c>
      <c r="C34" s="80">
        <v>609.70000000000005</v>
      </c>
      <c r="D34" s="80">
        <v>611.33000000000004</v>
      </c>
      <c r="E34" s="82">
        <v>1.7896000000000001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1.0898100000000001E-3</v>
      </c>
      <c r="C35" s="80">
        <v>631.17999999999995</v>
      </c>
      <c r="D35" s="80">
        <v>632.80999999999995</v>
      </c>
      <c r="E35" s="82">
        <v>1.8407</v>
      </c>
      <c r="F35" s="82"/>
      <c r="G35" s="47"/>
      <c r="H35" s="47"/>
    </row>
    <row r="36" spans="1:8" ht="18.75" customHeight="1" x14ac:dyDescent="0.25">
      <c r="A36" s="45">
        <v>155</v>
      </c>
      <c r="B36" s="79">
        <v>1.09548E-3</v>
      </c>
      <c r="C36" s="80">
        <v>652.72</v>
      </c>
      <c r="D36" s="80">
        <v>654.36</v>
      </c>
      <c r="E36" s="82">
        <v>1.8913</v>
      </c>
      <c r="F36" s="82"/>
      <c r="G36" s="47"/>
      <c r="H36" s="47"/>
    </row>
    <row r="37" spans="1:8" ht="18.75" customHeight="1" x14ac:dyDescent="0.25">
      <c r="A37" s="45">
        <v>160</v>
      </c>
      <c r="B37" s="79">
        <v>1.1013500000000001E-3</v>
      </c>
      <c r="C37" s="80">
        <v>674.34</v>
      </c>
      <c r="D37" s="80">
        <v>675.99</v>
      </c>
      <c r="E37" s="82">
        <v>1.9415</v>
      </c>
      <c r="F37" s="82"/>
      <c r="G37" s="47"/>
      <c r="H37" s="47"/>
    </row>
    <row r="38" spans="1:8" ht="18.75" customHeight="1" x14ac:dyDescent="0.25">
      <c r="A38" s="45">
        <v>165</v>
      </c>
      <c r="B38" s="79">
        <v>1.10742E-3</v>
      </c>
      <c r="C38" s="80">
        <v>696.03</v>
      </c>
      <c r="D38" s="80">
        <v>697.69</v>
      </c>
      <c r="E38" s="82">
        <v>1.9913000000000001</v>
      </c>
      <c r="F38" s="82"/>
      <c r="G38" s="47"/>
      <c r="H38" s="47"/>
    </row>
    <row r="39" spans="1:8" ht="18.75" customHeight="1" x14ac:dyDescent="0.25">
      <c r="A39" s="45">
        <v>170</v>
      </c>
      <c r="B39" s="79">
        <v>1.11371E-3</v>
      </c>
      <c r="C39" s="80">
        <v>717.8</v>
      </c>
      <c r="D39" s="80">
        <v>719.47</v>
      </c>
      <c r="E39" s="82">
        <v>2.0407000000000002</v>
      </c>
      <c r="F39" s="82"/>
      <c r="G39" s="47"/>
      <c r="H39" s="47"/>
    </row>
    <row r="40" spans="1:8" ht="18.75" customHeight="1" x14ac:dyDescent="0.25">
      <c r="A40" s="45">
        <v>175</v>
      </c>
      <c r="B40" s="79">
        <v>1.1202300000000001E-3</v>
      </c>
      <c r="C40" s="80">
        <v>739.66</v>
      </c>
      <c r="D40" s="80">
        <v>741.34</v>
      </c>
      <c r="E40" s="82">
        <v>2.0897999999999999</v>
      </c>
      <c r="F40" s="82"/>
      <c r="G40" s="47"/>
      <c r="H40" s="47"/>
    </row>
    <row r="41" spans="1:8" ht="18.75" customHeight="1" x14ac:dyDescent="0.25">
      <c r="A41" s="45">
        <v>180</v>
      </c>
      <c r="B41" s="79">
        <v>1.1269699999999999E-3</v>
      </c>
      <c r="C41" s="80">
        <v>761.61</v>
      </c>
      <c r="D41" s="80">
        <v>763.3</v>
      </c>
      <c r="E41" s="82">
        <v>2.1385999999999998</v>
      </c>
      <c r="F41" s="82"/>
      <c r="G41" s="47"/>
      <c r="H41" s="47"/>
    </row>
    <row r="42" spans="1:8" ht="18.75" customHeight="1" x14ac:dyDescent="0.25">
      <c r="A42" s="45">
        <v>185</v>
      </c>
      <c r="B42" s="79">
        <v>1.13397E-3</v>
      </c>
      <c r="C42" s="80">
        <v>783.67</v>
      </c>
      <c r="D42" s="80">
        <v>785.37</v>
      </c>
      <c r="E42" s="82">
        <v>2.1869999999999998</v>
      </c>
      <c r="F42" s="82"/>
      <c r="G42" s="47"/>
      <c r="H42" s="47"/>
    </row>
    <row r="43" spans="1:8" ht="18.75" customHeight="1" x14ac:dyDescent="0.25">
      <c r="A43" s="45">
        <v>190</v>
      </c>
      <c r="B43" s="79">
        <v>1.14123E-3</v>
      </c>
      <c r="C43" s="80">
        <v>805.83</v>
      </c>
      <c r="D43" s="80">
        <v>807.54</v>
      </c>
      <c r="E43" s="82">
        <v>2.2351000000000001</v>
      </c>
      <c r="F43" s="82"/>
      <c r="G43" s="47"/>
      <c r="H43" s="47"/>
    </row>
    <row r="44" spans="1:8" ht="18.75" customHeight="1" x14ac:dyDescent="0.25">
      <c r="A44" s="45">
        <v>195</v>
      </c>
      <c r="B44" s="79">
        <v>1.14876E-3</v>
      </c>
      <c r="C44" s="80">
        <v>828.11</v>
      </c>
      <c r="D44" s="80">
        <v>829.83</v>
      </c>
      <c r="E44" s="82">
        <v>2.2829999999999999</v>
      </c>
      <c r="F44" s="82"/>
      <c r="G44" s="47"/>
      <c r="H44" s="47"/>
    </row>
    <row r="45" spans="1:8" ht="18.75" customHeight="1" x14ac:dyDescent="0.25">
      <c r="A45" s="45">
        <v>200</v>
      </c>
      <c r="B45" s="81">
        <v>0.13245000000000001</v>
      </c>
      <c r="C45" s="83">
        <v>2597.3000000000002</v>
      </c>
      <c r="D45" s="83">
        <v>2796</v>
      </c>
      <c r="E45" s="82">
        <v>6.4535999999999998</v>
      </c>
      <c r="F45" s="82"/>
      <c r="G45" s="47"/>
      <c r="H45" s="47"/>
    </row>
    <row r="46" spans="1:8" ht="18.75" customHeight="1" x14ac:dyDescent="0.25">
      <c r="A46" s="45">
        <v>210</v>
      </c>
      <c r="B46" s="81">
        <v>0.13664000000000001</v>
      </c>
      <c r="C46" s="83">
        <v>2618.9</v>
      </c>
      <c r="D46" s="83">
        <v>2823.9</v>
      </c>
      <c r="E46" s="82">
        <v>6.5119999999999996</v>
      </c>
      <c r="F46" s="82"/>
      <c r="G46" s="47"/>
      <c r="H46" s="47"/>
    </row>
    <row r="47" spans="1:8" ht="18.75" customHeight="1" x14ac:dyDescent="0.25">
      <c r="A47" s="45">
        <v>220</v>
      </c>
      <c r="B47" s="81">
        <v>0.14065</v>
      </c>
      <c r="C47" s="83">
        <v>2639.2</v>
      </c>
      <c r="D47" s="83">
        <v>2850.2</v>
      </c>
      <c r="E47" s="82">
        <v>6.5659000000000001</v>
      </c>
      <c r="F47" s="82"/>
      <c r="G47" s="47"/>
      <c r="H47" s="47"/>
    </row>
    <row r="48" spans="1:8" ht="18.75" customHeight="1" x14ac:dyDescent="0.25">
      <c r="A48" s="45">
        <v>230</v>
      </c>
      <c r="B48" s="81">
        <v>0.14452999999999999</v>
      </c>
      <c r="C48" s="83">
        <v>2658.7</v>
      </c>
      <c r="D48" s="83">
        <v>2875.5</v>
      </c>
      <c r="E48" s="82">
        <v>6.6166</v>
      </c>
      <c r="F48" s="82"/>
      <c r="G48" s="47"/>
      <c r="H48" s="47"/>
    </row>
    <row r="49" spans="1:8" ht="18.75" customHeight="1" x14ac:dyDescent="0.25">
      <c r="A49" s="45">
        <v>240</v>
      </c>
      <c r="B49" s="81">
        <v>0.14831</v>
      </c>
      <c r="C49" s="83">
        <v>2677.5</v>
      </c>
      <c r="D49" s="83">
        <v>2900</v>
      </c>
      <c r="E49" s="82">
        <v>6.6649000000000003</v>
      </c>
      <c r="F49" s="82"/>
      <c r="G49" s="47"/>
      <c r="H49" s="47"/>
    </row>
    <row r="50" spans="1:8" ht="18.75" customHeight="1" x14ac:dyDescent="0.25">
      <c r="A50" s="45">
        <v>250</v>
      </c>
      <c r="B50" s="81">
        <v>0.15201000000000001</v>
      </c>
      <c r="C50" s="83">
        <v>2695.9</v>
      </c>
      <c r="D50" s="83">
        <v>2923.9</v>
      </c>
      <c r="E50" s="82">
        <v>6.7111000000000001</v>
      </c>
      <c r="F50" s="82"/>
      <c r="G50" s="47"/>
      <c r="H50" s="47"/>
    </row>
    <row r="51" spans="1:8" ht="18.75" customHeight="1" x14ac:dyDescent="0.25">
      <c r="A51" s="45">
        <v>260</v>
      </c>
      <c r="B51" s="81">
        <v>0.15565000000000001</v>
      </c>
      <c r="C51" s="83">
        <v>2713.9</v>
      </c>
      <c r="D51" s="83">
        <v>2947.4</v>
      </c>
      <c r="E51" s="82">
        <v>6.7554999999999996</v>
      </c>
      <c r="F51" s="82"/>
      <c r="G51" s="47"/>
      <c r="H51" s="47"/>
    </row>
    <row r="52" spans="1:8" ht="18.75" customHeight="1" x14ac:dyDescent="0.25">
      <c r="A52" s="45">
        <v>270</v>
      </c>
      <c r="B52" s="81">
        <v>0.15923000000000001</v>
      </c>
      <c r="C52" s="83">
        <v>2731.7</v>
      </c>
      <c r="D52" s="83">
        <v>2970.5</v>
      </c>
      <c r="E52" s="82">
        <v>6.7984</v>
      </c>
      <c r="F52" s="82"/>
      <c r="G52" s="47"/>
      <c r="H52" s="47"/>
    </row>
    <row r="53" spans="1:8" ht="18.75" customHeight="1" x14ac:dyDescent="0.25">
      <c r="A53" s="45">
        <v>280</v>
      </c>
      <c r="B53" s="81">
        <v>0.16275999999999999</v>
      </c>
      <c r="C53" s="83">
        <v>2749.2</v>
      </c>
      <c r="D53" s="83">
        <v>2993.3</v>
      </c>
      <c r="E53" s="82">
        <v>6.84</v>
      </c>
      <c r="F53" s="82"/>
      <c r="G53" s="47"/>
      <c r="H53" s="47"/>
    </row>
    <row r="54" spans="1:8" ht="18.75" customHeight="1" x14ac:dyDescent="0.25">
      <c r="A54" s="45">
        <v>290</v>
      </c>
      <c r="B54" s="81">
        <v>0.16625000000000001</v>
      </c>
      <c r="C54" s="83">
        <v>2766.4</v>
      </c>
      <c r="D54" s="83">
        <v>3015.8</v>
      </c>
      <c r="E54" s="82">
        <v>6.8803999999999998</v>
      </c>
      <c r="F54" s="82"/>
      <c r="G54" s="47"/>
      <c r="H54" s="47"/>
    </row>
    <row r="55" spans="1:8" ht="18.75" customHeight="1" x14ac:dyDescent="0.25">
      <c r="A55" s="45">
        <v>300</v>
      </c>
      <c r="B55" s="81">
        <v>0.16971</v>
      </c>
      <c r="C55" s="83">
        <v>2783.6</v>
      </c>
      <c r="D55" s="83">
        <v>3038.2</v>
      </c>
      <c r="E55" s="82">
        <v>6.9198000000000004</v>
      </c>
      <c r="F55" s="82"/>
      <c r="G55" s="47"/>
      <c r="H55" s="47"/>
    </row>
    <row r="56" spans="1:8" ht="18.75" customHeight="1" x14ac:dyDescent="0.25">
      <c r="A56" s="45">
        <v>310</v>
      </c>
      <c r="B56" s="81">
        <v>0.17313000000000001</v>
      </c>
      <c r="C56" s="83">
        <v>2800.7</v>
      </c>
      <c r="D56" s="83">
        <v>3060.4</v>
      </c>
      <c r="E56" s="82">
        <v>6.9581999999999997</v>
      </c>
      <c r="F56" s="82"/>
      <c r="G56" s="47"/>
      <c r="H56" s="47"/>
    </row>
    <row r="57" spans="1:8" ht="18.75" customHeight="1" x14ac:dyDescent="0.25">
      <c r="A57" s="45">
        <v>320</v>
      </c>
      <c r="B57" s="81">
        <v>0.17652999999999999</v>
      </c>
      <c r="C57" s="83">
        <v>2817.6</v>
      </c>
      <c r="D57" s="83">
        <v>3082.4</v>
      </c>
      <c r="E57" s="82">
        <v>6.9957000000000003</v>
      </c>
      <c r="F57" s="82"/>
      <c r="G57" s="47"/>
      <c r="H57" s="47"/>
    </row>
    <row r="58" spans="1:8" ht="18.75" customHeight="1" x14ac:dyDescent="0.25">
      <c r="A58" s="45">
        <v>330</v>
      </c>
      <c r="B58" s="81">
        <v>0.1799</v>
      </c>
      <c r="C58" s="83">
        <v>2834.5</v>
      </c>
      <c r="D58" s="83">
        <v>3104.4</v>
      </c>
      <c r="E58" s="82">
        <v>7.0324</v>
      </c>
      <c r="F58" s="82"/>
      <c r="G58" s="47"/>
      <c r="H58" s="47"/>
    </row>
    <row r="59" spans="1:8" ht="18.75" customHeight="1" x14ac:dyDescent="0.25">
      <c r="A59" s="45">
        <v>340</v>
      </c>
      <c r="B59" s="81">
        <v>0.18325</v>
      </c>
      <c r="C59" s="83">
        <v>2851.3</v>
      </c>
      <c r="D59" s="83">
        <v>3126.2</v>
      </c>
      <c r="E59" s="82">
        <v>7.0682999999999998</v>
      </c>
      <c r="F59" s="82"/>
      <c r="G59" s="47"/>
      <c r="H59" s="47"/>
    </row>
    <row r="60" spans="1:8" ht="18.75" customHeight="1" x14ac:dyDescent="0.25">
      <c r="A60" s="45">
        <v>350</v>
      </c>
      <c r="B60" s="81">
        <v>0.18659000000000001</v>
      </c>
      <c r="C60" s="83">
        <v>2868.1</v>
      </c>
      <c r="D60" s="83">
        <v>3148</v>
      </c>
      <c r="E60" s="82">
        <v>7.1036000000000001</v>
      </c>
      <c r="F60" s="82"/>
      <c r="G60" s="47"/>
      <c r="H60" s="47"/>
    </row>
    <row r="61" spans="1:8" ht="18.75" customHeight="1" x14ac:dyDescent="0.25">
      <c r="A61" s="45">
        <v>360</v>
      </c>
      <c r="B61" s="81">
        <v>0.18990000000000001</v>
      </c>
      <c r="C61" s="83">
        <v>2884.9</v>
      </c>
      <c r="D61" s="83">
        <v>3169.8</v>
      </c>
      <c r="E61" s="82">
        <v>7.1382000000000003</v>
      </c>
      <c r="F61" s="82"/>
      <c r="G61" s="47"/>
      <c r="H61" s="47"/>
    </row>
    <row r="62" spans="1:8" ht="18.75" customHeight="1" x14ac:dyDescent="0.25">
      <c r="A62" s="45">
        <v>370</v>
      </c>
      <c r="B62" s="81">
        <v>0.19320000000000001</v>
      </c>
      <c r="C62" s="83">
        <v>2901.7</v>
      </c>
      <c r="D62" s="83">
        <v>3191.5</v>
      </c>
      <c r="E62" s="82">
        <v>7.1722000000000001</v>
      </c>
      <c r="F62" s="82"/>
      <c r="G62" s="47"/>
      <c r="H62" s="47"/>
    </row>
    <row r="63" spans="1:8" ht="18.75" customHeight="1" x14ac:dyDescent="0.25">
      <c r="A63" s="45">
        <v>380</v>
      </c>
      <c r="B63" s="81">
        <v>0.19649</v>
      </c>
      <c r="C63" s="83">
        <v>2918.5</v>
      </c>
      <c r="D63" s="83">
        <v>3213.2</v>
      </c>
      <c r="E63" s="82">
        <v>7.2057000000000002</v>
      </c>
      <c r="F63" s="82"/>
      <c r="G63" s="47"/>
      <c r="H63" s="47"/>
    </row>
    <row r="64" spans="1:8" ht="18.75" customHeight="1" x14ac:dyDescent="0.25">
      <c r="A64" s="45">
        <v>390</v>
      </c>
      <c r="B64" s="81">
        <v>0.19975999999999999</v>
      </c>
      <c r="C64" s="83">
        <v>2935.2</v>
      </c>
      <c r="D64" s="83">
        <v>3234.8</v>
      </c>
      <c r="E64" s="82">
        <v>7.2385999999999999</v>
      </c>
      <c r="F64" s="82"/>
      <c r="G64" s="47"/>
      <c r="H64" s="47"/>
    </row>
    <row r="65" spans="1:8" ht="18.75" customHeight="1" x14ac:dyDescent="0.25">
      <c r="A65" s="45">
        <v>400</v>
      </c>
      <c r="B65" s="81">
        <v>0.20302000000000001</v>
      </c>
      <c r="C65" s="83">
        <v>2952</v>
      </c>
      <c r="D65" s="83">
        <v>3256.5</v>
      </c>
      <c r="E65" s="82">
        <v>7.2709999999999999</v>
      </c>
      <c r="F65" s="82"/>
      <c r="G65" s="47"/>
      <c r="H65" s="47"/>
    </row>
    <row r="66" spans="1:8" ht="18.75" customHeight="1" x14ac:dyDescent="0.25">
      <c r="A66" s="45">
        <v>410</v>
      </c>
      <c r="B66" s="81">
        <v>0.20627000000000001</v>
      </c>
      <c r="C66" s="83">
        <v>2968.7</v>
      </c>
      <c r="D66" s="83">
        <v>3278.1</v>
      </c>
      <c r="E66" s="82">
        <v>7.3029000000000002</v>
      </c>
      <c r="F66" s="82"/>
      <c r="G66" s="47"/>
      <c r="H66" s="47"/>
    </row>
    <row r="67" spans="1:8" ht="18.75" customHeight="1" x14ac:dyDescent="0.25">
      <c r="A67" s="45">
        <v>420</v>
      </c>
      <c r="B67" s="81">
        <v>0.20951</v>
      </c>
      <c r="C67" s="83">
        <v>2985.5</v>
      </c>
      <c r="D67" s="83">
        <v>3299.8</v>
      </c>
      <c r="E67" s="82">
        <v>7.3342999999999998</v>
      </c>
      <c r="F67" s="82"/>
      <c r="G67" s="47"/>
      <c r="H67" s="47"/>
    </row>
    <row r="68" spans="1:8" ht="18.75" customHeight="1" x14ac:dyDescent="0.25">
      <c r="A68" s="45">
        <v>430</v>
      </c>
      <c r="B68" s="81">
        <v>0.21274000000000001</v>
      </c>
      <c r="C68" s="83">
        <v>3002.3</v>
      </c>
      <c r="D68" s="83">
        <v>3321.4</v>
      </c>
      <c r="E68" s="82">
        <v>7.3654000000000002</v>
      </c>
      <c r="F68" s="82"/>
      <c r="G68" s="47"/>
      <c r="H68" s="47"/>
    </row>
    <row r="69" spans="1:8" ht="18.75" customHeight="1" x14ac:dyDescent="0.25">
      <c r="A69" s="45">
        <v>440</v>
      </c>
      <c r="B69" s="81">
        <v>0.21597</v>
      </c>
      <c r="C69" s="83">
        <v>3019.1</v>
      </c>
      <c r="D69" s="83">
        <v>3343.1</v>
      </c>
      <c r="E69" s="82">
        <v>7.3959999999999999</v>
      </c>
      <c r="F69" s="82"/>
      <c r="G69" s="47"/>
      <c r="H69" s="47"/>
    </row>
    <row r="70" spans="1:8" ht="18.75" customHeight="1" x14ac:dyDescent="0.25">
      <c r="A70" s="45">
        <v>450</v>
      </c>
      <c r="B70" s="81">
        <v>0.21918000000000001</v>
      </c>
      <c r="C70" s="83">
        <v>3036</v>
      </c>
      <c r="D70" s="83">
        <v>3364.8</v>
      </c>
      <c r="E70" s="82">
        <v>7.4261999999999997</v>
      </c>
      <c r="F70" s="82"/>
      <c r="G70" s="47"/>
      <c r="H70" s="47"/>
    </row>
    <row r="71" spans="1:8" ht="18.75" customHeight="1" x14ac:dyDescent="0.25">
      <c r="A71" s="45">
        <v>460</v>
      </c>
      <c r="B71" s="81">
        <v>0.22239</v>
      </c>
      <c r="C71" s="83">
        <v>3052.9</v>
      </c>
      <c r="D71" s="83">
        <v>3386.5</v>
      </c>
      <c r="E71" s="82">
        <v>7.4560000000000004</v>
      </c>
      <c r="F71" s="82"/>
      <c r="G71" s="47"/>
      <c r="H71" s="47"/>
    </row>
    <row r="72" spans="1:8" ht="18.75" customHeight="1" x14ac:dyDescent="0.25">
      <c r="A72" s="45">
        <v>470</v>
      </c>
      <c r="B72" s="81">
        <v>0.22559000000000001</v>
      </c>
      <c r="C72" s="83">
        <v>3069.9</v>
      </c>
      <c r="D72" s="83">
        <v>3408.3</v>
      </c>
      <c r="E72" s="82">
        <v>7.4855</v>
      </c>
      <c r="F72" s="82"/>
      <c r="G72" s="47"/>
      <c r="H72" s="47"/>
    </row>
    <row r="73" spans="1:8" ht="18.75" customHeight="1" x14ac:dyDescent="0.25">
      <c r="A73" s="45">
        <v>480</v>
      </c>
      <c r="B73" s="81">
        <v>0.22878999999999999</v>
      </c>
      <c r="C73" s="83">
        <v>3086.8</v>
      </c>
      <c r="D73" s="83">
        <v>3430</v>
      </c>
      <c r="E73" s="82">
        <v>7.5145999999999997</v>
      </c>
      <c r="F73" s="82"/>
      <c r="G73" s="47"/>
      <c r="H73" s="47"/>
    </row>
    <row r="74" spans="1:8" ht="18.75" customHeight="1" x14ac:dyDescent="0.25">
      <c r="A74" s="45">
        <v>490</v>
      </c>
      <c r="B74" s="81">
        <v>0.23197999999999999</v>
      </c>
      <c r="C74" s="83">
        <v>3103.8</v>
      </c>
      <c r="D74" s="83">
        <v>3451.8</v>
      </c>
      <c r="E74" s="82">
        <v>7.5433000000000003</v>
      </c>
      <c r="F74" s="82"/>
      <c r="G74" s="47"/>
      <c r="H74" s="47"/>
    </row>
    <row r="75" spans="1:8" ht="18.75" customHeight="1" x14ac:dyDescent="0.25">
      <c r="A75" s="45">
        <v>500</v>
      </c>
      <c r="B75" s="81">
        <v>0.23516000000000001</v>
      </c>
      <c r="C75" s="83">
        <v>3121</v>
      </c>
      <c r="D75" s="83">
        <v>3473.7</v>
      </c>
      <c r="E75" s="82">
        <v>7.5717999999999996</v>
      </c>
      <c r="F75" s="82"/>
      <c r="G75" s="47"/>
      <c r="H75" s="47"/>
    </row>
    <row r="76" spans="1:8" ht="18.75" customHeight="1" x14ac:dyDescent="0.25">
      <c r="A76" s="45">
        <v>520</v>
      </c>
      <c r="B76" s="81">
        <v>0.24152000000000001</v>
      </c>
      <c r="C76" s="83">
        <v>3155.2</v>
      </c>
      <c r="D76" s="83">
        <v>3517.5</v>
      </c>
      <c r="E76" s="82">
        <v>7.6276999999999999</v>
      </c>
      <c r="F76" s="82"/>
      <c r="G76" s="47"/>
      <c r="H76" s="47"/>
    </row>
    <row r="77" spans="1:8" ht="18.75" customHeight="1" x14ac:dyDescent="0.25">
      <c r="A77" s="45">
        <v>540</v>
      </c>
      <c r="B77" s="81">
        <v>0.24784999999999999</v>
      </c>
      <c r="C77" s="83">
        <v>3189.7</v>
      </c>
      <c r="D77" s="83">
        <v>3561.5</v>
      </c>
      <c r="E77" s="82">
        <v>7.6825000000000001</v>
      </c>
      <c r="F77" s="82"/>
      <c r="G77" s="47"/>
      <c r="H77" s="47"/>
    </row>
    <row r="78" spans="1:8" ht="18.75" customHeight="1" x14ac:dyDescent="0.25">
      <c r="A78" s="45">
        <v>560</v>
      </c>
      <c r="B78" s="81">
        <v>0.25418000000000002</v>
      </c>
      <c r="C78" s="83">
        <v>3224.4</v>
      </c>
      <c r="D78" s="83">
        <v>3605.7</v>
      </c>
      <c r="E78" s="82">
        <v>7.7362000000000002</v>
      </c>
      <c r="F78" s="82"/>
      <c r="G78" s="47"/>
      <c r="H78" s="47"/>
    </row>
    <row r="79" spans="1:8" ht="18.75" customHeight="1" x14ac:dyDescent="0.25">
      <c r="A79" s="45">
        <v>580</v>
      </c>
      <c r="B79" s="81">
        <v>0.26047999999999999</v>
      </c>
      <c r="C79" s="83">
        <v>3259.4</v>
      </c>
      <c r="D79" s="83">
        <v>3650.1</v>
      </c>
      <c r="E79" s="82">
        <v>7.7888000000000002</v>
      </c>
      <c r="F79" s="82"/>
      <c r="G79" s="47"/>
      <c r="H79" s="47"/>
    </row>
    <row r="80" spans="1:8" ht="18.75" customHeight="1" x14ac:dyDescent="0.25">
      <c r="A80" s="45">
        <v>600</v>
      </c>
      <c r="B80" s="81">
        <v>0.26678000000000002</v>
      </c>
      <c r="C80" s="83">
        <v>3294.5</v>
      </c>
      <c r="D80" s="83">
        <v>3694.7</v>
      </c>
      <c r="E80" s="82">
        <v>7.8404999999999996</v>
      </c>
      <c r="F80" s="82"/>
      <c r="G80" s="47"/>
      <c r="H80" s="47"/>
    </row>
    <row r="81" spans="1:8" ht="18.75" customHeight="1" x14ac:dyDescent="0.25">
      <c r="A81" s="45">
        <v>620</v>
      </c>
      <c r="B81" s="81">
        <v>0.27306999999999998</v>
      </c>
      <c r="C81" s="83">
        <v>3329.9</v>
      </c>
      <c r="D81" s="83">
        <v>3739.5</v>
      </c>
      <c r="E81" s="82">
        <v>7.8912000000000004</v>
      </c>
      <c r="F81" s="82"/>
      <c r="G81" s="47"/>
      <c r="H81" s="47"/>
    </row>
    <row r="82" spans="1:8" ht="18.75" customHeight="1" x14ac:dyDescent="0.25">
      <c r="A82" s="45">
        <v>640</v>
      </c>
      <c r="B82" s="81">
        <v>0.27933999999999998</v>
      </c>
      <c r="C82" s="83">
        <v>3365.5</v>
      </c>
      <c r="D82" s="83">
        <v>3784.5</v>
      </c>
      <c r="E82" s="82">
        <v>7.9410999999999996</v>
      </c>
      <c r="F82" s="82"/>
      <c r="G82" s="47"/>
      <c r="H82" s="47"/>
    </row>
    <row r="83" spans="1:8" ht="18.75" customHeight="1" x14ac:dyDescent="0.25">
      <c r="A83" s="45">
        <v>660</v>
      </c>
      <c r="B83" s="81">
        <v>0.28560999999999998</v>
      </c>
      <c r="C83" s="83">
        <v>3401.4</v>
      </c>
      <c r="D83" s="83">
        <v>3829.8</v>
      </c>
      <c r="E83" s="82">
        <v>7.9901999999999997</v>
      </c>
      <c r="F83" s="82"/>
      <c r="G83" s="47"/>
      <c r="H83" s="47"/>
    </row>
    <row r="84" spans="1:8" ht="18.75" customHeight="1" x14ac:dyDescent="0.25">
      <c r="A84" s="45">
        <v>680</v>
      </c>
      <c r="B84" s="81">
        <v>0.29187000000000002</v>
      </c>
      <c r="C84" s="83">
        <v>3437.6</v>
      </c>
      <c r="D84" s="83">
        <v>3875.4</v>
      </c>
      <c r="E84" s="82">
        <v>8.0385000000000009</v>
      </c>
      <c r="F84" s="82"/>
      <c r="G84" s="47"/>
      <c r="H84" s="47"/>
    </row>
    <row r="85" spans="1:8" ht="18.75" customHeight="1" x14ac:dyDescent="0.25">
      <c r="A85" s="45">
        <v>700</v>
      </c>
      <c r="B85" s="81">
        <v>0.29812</v>
      </c>
      <c r="C85" s="83">
        <v>3473.9</v>
      </c>
      <c r="D85" s="83">
        <v>3921.1</v>
      </c>
      <c r="E85" s="82">
        <v>8.0860000000000003</v>
      </c>
      <c r="F85" s="82"/>
      <c r="G85" s="47"/>
      <c r="H85" s="47"/>
    </row>
    <row r="86" spans="1:8" ht="18.75" customHeight="1" x14ac:dyDescent="0.25">
      <c r="A86" s="45">
        <v>720</v>
      </c>
      <c r="B86" s="81">
        <v>0.30436000000000002</v>
      </c>
      <c r="C86" s="83">
        <v>3510.7</v>
      </c>
      <c r="D86" s="83">
        <v>3967.2</v>
      </c>
      <c r="E86" s="82">
        <v>8.1327999999999996</v>
      </c>
      <c r="F86" s="82"/>
      <c r="G86" s="47"/>
      <c r="H86" s="47"/>
    </row>
    <row r="87" spans="1:8" ht="18.75" customHeight="1" x14ac:dyDescent="0.25">
      <c r="A87" s="45">
        <v>740</v>
      </c>
      <c r="B87" s="81">
        <v>0.31059999999999999</v>
      </c>
      <c r="C87" s="83">
        <v>3547.5</v>
      </c>
      <c r="D87" s="83">
        <v>4013.4</v>
      </c>
      <c r="E87" s="82">
        <v>8.1789000000000005</v>
      </c>
      <c r="F87" s="82"/>
      <c r="G87" s="47"/>
      <c r="H87" s="47"/>
    </row>
    <row r="88" spans="1:8" ht="18.75" customHeight="1" x14ac:dyDescent="0.25">
      <c r="A88" s="45">
        <v>760</v>
      </c>
      <c r="B88" s="81">
        <v>0.31684000000000001</v>
      </c>
      <c r="C88" s="83">
        <v>3584.7</v>
      </c>
      <c r="D88" s="83">
        <v>4060</v>
      </c>
      <c r="E88" s="82">
        <v>8.2243999999999993</v>
      </c>
      <c r="F88" s="82"/>
      <c r="G88" s="47"/>
      <c r="H88" s="47"/>
    </row>
    <row r="89" spans="1:8" ht="18.75" customHeight="1" x14ac:dyDescent="0.25">
      <c r="A89" s="45">
        <v>780</v>
      </c>
      <c r="B89" s="81">
        <v>0.32306000000000001</v>
      </c>
      <c r="C89" s="83">
        <v>3622.2</v>
      </c>
      <c r="D89" s="83">
        <v>4106.8</v>
      </c>
      <c r="E89" s="82">
        <v>8.2692999999999994</v>
      </c>
      <c r="F89" s="82"/>
      <c r="G89" s="47"/>
      <c r="H89" s="47"/>
    </row>
    <row r="90" spans="1:8" ht="18.75" customHeight="1" x14ac:dyDescent="0.25">
      <c r="A90" s="45">
        <v>800</v>
      </c>
      <c r="B90" s="81">
        <v>0.32929000000000003</v>
      </c>
      <c r="C90" s="83">
        <v>3659.9</v>
      </c>
      <c r="D90" s="83">
        <v>4153.8</v>
      </c>
      <c r="E90" s="82">
        <v>8.3134999999999994</v>
      </c>
      <c r="F90" s="82"/>
      <c r="G90" s="47"/>
      <c r="H90" s="47"/>
    </row>
    <row r="91" spans="1:8" ht="18.75" customHeight="1" x14ac:dyDescent="0.25">
      <c r="A91" s="45">
        <v>820</v>
      </c>
      <c r="B91" s="81">
        <v>0.33550999999999997</v>
      </c>
      <c r="C91" s="83">
        <v>3697.8</v>
      </c>
      <c r="D91" s="83">
        <v>4201.1000000000004</v>
      </c>
      <c r="E91" s="82">
        <v>8.3572000000000006</v>
      </c>
      <c r="F91" s="82"/>
      <c r="G91" s="47"/>
      <c r="H91" s="47"/>
    </row>
    <row r="92" spans="1:8" ht="18.75" customHeight="1" x14ac:dyDescent="0.25">
      <c r="A92" s="45">
        <v>840</v>
      </c>
      <c r="B92" s="81">
        <v>0.34172999999999998</v>
      </c>
      <c r="C92" s="83">
        <v>3736.1</v>
      </c>
      <c r="D92" s="83">
        <v>4248.7</v>
      </c>
      <c r="E92" s="82">
        <v>8.4002999999999997</v>
      </c>
      <c r="F92" s="82"/>
      <c r="G92" s="47"/>
      <c r="H92" s="47"/>
    </row>
    <row r="93" spans="1:8" ht="18.75" customHeight="1" x14ac:dyDescent="0.25">
      <c r="A93" s="45">
        <v>860</v>
      </c>
      <c r="B93" s="81">
        <v>0.34794000000000003</v>
      </c>
      <c r="C93" s="83">
        <v>3774.6</v>
      </c>
      <c r="D93" s="83">
        <v>4296.5</v>
      </c>
      <c r="E93" s="82">
        <v>8.4428999999999998</v>
      </c>
      <c r="F93" s="82"/>
      <c r="G93" s="47"/>
      <c r="H93" s="47"/>
    </row>
    <row r="94" spans="1:8" ht="18.75" customHeight="1" x14ac:dyDescent="0.25">
      <c r="A94" s="45">
        <v>880</v>
      </c>
      <c r="B94" s="81">
        <v>0.35415000000000002</v>
      </c>
      <c r="C94" s="83">
        <v>3813.4</v>
      </c>
      <c r="D94" s="83">
        <v>4344.6000000000004</v>
      </c>
      <c r="E94" s="82">
        <v>8.4849999999999994</v>
      </c>
      <c r="F94" s="82"/>
      <c r="G94" s="47"/>
      <c r="H94" s="47"/>
    </row>
    <row r="95" spans="1:8" ht="18.75" customHeight="1" x14ac:dyDescent="0.25">
      <c r="A95" s="45">
        <v>900</v>
      </c>
      <c r="B95" s="81">
        <v>0.36036000000000001</v>
      </c>
      <c r="C95" s="83">
        <v>3852.4</v>
      </c>
      <c r="D95" s="83">
        <v>4392.8999999999996</v>
      </c>
      <c r="E95" s="82">
        <v>8.5266000000000002</v>
      </c>
      <c r="F95" s="82"/>
      <c r="G95" s="47"/>
      <c r="H95" s="47"/>
    </row>
    <row r="96" spans="1:8" ht="18.75" customHeight="1" x14ac:dyDescent="0.25">
      <c r="A96" s="45">
        <v>920</v>
      </c>
      <c r="B96" s="81">
        <v>0.36656</v>
      </c>
      <c r="C96" s="83">
        <v>3891.7</v>
      </c>
      <c r="D96" s="83">
        <v>4441.5</v>
      </c>
      <c r="E96" s="82">
        <v>8.5676000000000005</v>
      </c>
      <c r="F96" s="82"/>
      <c r="G96" s="47"/>
      <c r="H96" s="47"/>
    </row>
    <row r="97" spans="1:8" ht="18.75" customHeight="1" x14ac:dyDescent="0.25">
      <c r="A97" s="45">
        <v>940</v>
      </c>
      <c r="B97" s="81">
        <v>0.37275999999999998</v>
      </c>
      <c r="C97" s="83">
        <v>3931.3</v>
      </c>
      <c r="D97" s="83">
        <v>4490.3999999999996</v>
      </c>
      <c r="E97" s="82">
        <v>8.6082000000000001</v>
      </c>
      <c r="F97" s="82"/>
      <c r="G97" s="47"/>
      <c r="H97" s="47"/>
    </row>
    <row r="98" spans="1:8" ht="18.75" customHeight="1" x14ac:dyDescent="0.25">
      <c r="A98" s="45">
        <v>960</v>
      </c>
      <c r="B98" s="81">
        <v>0.37896000000000002</v>
      </c>
      <c r="C98" s="83">
        <v>3971.1</v>
      </c>
      <c r="D98" s="83">
        <v>4539.5</v>
      </c>
      <c r="E98" s="82">
        <v>8.6484000000000005</v>
      </c>
      <c r="F98" s="82"/>
      <c r="G98" s="47"/>
      <c r="H98" s="47"/>
    </row>
    <row r="99" spans="1:8" ht="18.75" customHeight="1" x14ac:dyDescent="0.25">
      <c r="A99" s="45">
        <v>980</v>
      </c>
      <c r="B99" s="81">
        <v>0.38516</v>
      </c>
      <c r="C99" s="83">
        <v>4011.2</v>
      </c>
      <c r="D99" s="83">
        <v>4588.8999999999996</v>
      </c>
      <c r="E99" s="82">
        <v>8.6881000000000004</v>
      </c>
      <c r="F99" s="82"/>
      <c r="G99" s="47"/>
      <c r="H99" s="47"/>
    </row>
    <row r="100" spans="1:8" ht="18.75" customHeight="1" x14ac:dyDescent="0.25">
      <c r="A100" s="45">
        <v>1000</v>
      </c>
      <c r="B100" s="81">
        <v>0.39134999999999998</v>
      </c>
      <c r="C100" s="83">
        <v>4051.5</v>
      </c>
      <c r="D100" s="83">
        <v>4638.5</v>
      </c>
      <c r="E100" s="82">
        <v>8.7273999999999994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H100"/>
  <sheetViews>
    <sheetView topLeftCell="A26" workbookViewId="0">
      <selection activeCell="A46" sqref="A46:XFD46"/>
    </sheetView>
  </sheetViews>
  <sheetFormatPr defaultRowHeight="13.2" x14ac:dyDescent="0.25"/>
  <cols>
    <col min="1" max="2" width="9.218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206" t="s">
        <v>72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1600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9.993999999999999E-4</v>
      </c>
      <c r="C5" s="80">
        <v>-0.01</v>
      </c>
      <c r="D5" s="80">
        <v>1.59</v>
      </c>
      <c r="E5" s="81">
        <v>-5.0000000000000002E-5</v>
      </c>
      <c r="F5" s="81"/>
      <c r="G5" s="47"/>
      <c r="H5" s="47"/>
    </row>
    <row r="6" spans="1:8" ht="18.75" customHeight="1" x14ac:dyDescent="0.25">
      <c r="A6" s="45">
        <v>5</v>
      </c>
      <c r="B6" s="79">
        <v>9.9930000000000006E-4</v>
      </c>
      <c r="C6" s="80">
        <v>21.01</v>
      </c>
      <c r="D6" s="80">
        <v>22.61</v>
      </c>
      <c r="E6" s="81">
        <v>7.6219999999999996E-2</v>
      </c>
      <c r="F6" s="81"/>
      <c r="G6" s="47"/>
      <c r="H6" s="47"/>
    </row>
    <row r="7" spans="1:8" ht="18.75" customHeight="1" x14ac:dyDescent="0.25">
      <c r="A7" s="45">
        <v>10</v>
      </c>
      <c r="B7" s="79">
        <v>9.9957999999999991E-4</v>
      </c>
      <c r="C7" s="80">
        <v>41.98</v>
      </c>
      <c r="D7" s="80">
        <v>43.58</v>
      </c>
      <c r="E7" s="81">
        <v>0.15093999999999999</v>
      </c>
      <c r="F7" s="81"/>
      <c r="G7" s="47"/>
      <c r="H7" s="47"/>
    </row>
    <row r="8" spans="1:8" ht="18.75" customHeight="1" x14ac:dyDescent="0.25">
      <c r="A8" s="45">
        <v>15</v>
      </c>
      <c r="B8" s="79">
        <v>1.0001999999999999E-3</v>
      </c>
      <c r="C8" s="80">
        <v>62.91</v>
      </c>
      <c r="D8" s="80">
        <v>64.510000000000005</v>
      </c>
      <c r="E8" s="81">
        <v>0.22422</v>
      </c>
      <c r="F8" s="81"/>
      <c r="G8" s="47"/>
      <c r="H8" s="47"/>
    </row>
    <row r="9" spans="1:8" ht="18.75" customHeight="1" x14ac:dyDescent="0.25">
      <c r="A9" s="45">
        <v>20</v>
      </c>
      <c r="B9" s="79">
        <v>1.0011099999999999E-3</v>
      </c>
      <c r="C9" s="80">
        <v>83.82</v>
      </c>
      <c r="D9" s="80">
        <v>85.42</v>
      </c>
      <c r="E9" s="81">
        <v>0.29615000000000002</v>
      </c>
      <c r="F9" s="81"/>
      <c r="G9" s="47"/>
      <c r="H9" s="47"/>
    </row>
    <row r="10" spans="1:8" ht="18.75" customHeight="1" x14ac:dyDescent="0.25">
      <c r="A10" s="45">
        <v>25</v>
      </c>
      <c r="B10" s="79">
        <v>1.0022799999999999E-3</v>
      </c>
      <c r="C10" s="80">
        <v>104.71</v>
      </c>
      <c r="D10" s="80">
        <v>106.31</v>
      </c>
      <c r="E10" s="81">
        <v>0.36681000000000002</v>
      </c>
      <c r="F10" s="81"/>
      <c r="G10" s="47"/>
      <c r="H10" s="47"/>
    </row>
    <row r="11" spans="1:8" ht="18.75" customHeight="1" x14ac:dyDescent="0.25">
      <c r="A11" s="45">
        <v>30</v>
      </c>
      <c r="B11" s="79">
        <v>1.0036999999999999E-3</v>
      </c>
      <c r="C11" s="80">
        <v>125.58</v>
      </c>
      <c r="D11" s="80">
        <v>127.19</v>
      </c>
      <c r="E11" s="81">
        <v>0.43626999999999999</v>
      </c>
      <c r="F11" s="81"/>
      <c r="G11" s="47"/>
      <c r="H11" s="47"/>
    </row>
    <row r="12" spans="1:8" ht="18.75" customHeight="1" x14ac:dyDescent="0.25">
      <c r="A12" s="45">
        <v>35</v>
      </c>
      <c r="B12" s="79">
        <v>1.00533E-3</v>
      </c>
      <c r="C12" s="80">
        <v>146.46</v>
      </c>
      <c r="D12" s="80">
        <v>148.07</v>
      </c>
      <c r="E12" s="81">
        <v>0.50458000000000003</v>
      </c>
      <c r="F12" s="81"/>
      <c r="G12" s="47"/>
      <c r="H12" s="47"/>
    </row>
    <row r="13" spans="1:8" ht="18.75" customHeight="1" x14ac:dyDescent="0.25">
      <c r="A13" s="45">
        <v>40</v>
      </c>
      <c r="B13" s="79">
        <v>1.0071800000000001E-3</v>
      </c>
      <c r="C13" s="80">
        <v>167.33</v>
      </c>
      <c r="D13" s="80">
        <v>168.94</v>
      </c>
      <c r="E13" s="81">
        <v>0.57177999999999995</v>
      </c>
      <c r="F13" s="81"/>
      <c r="G13" s="47"/>
      <c r="H13" s="47"/>
    </row>
    <row r="14" spans="1:8" ht="18.75" customHeight="1" x14ac:dyDescent="0.25">
      <c r="A14" s="45">
        <v>45</v>
      </c>
      <c r="B14" s="79">
        <v>1.0092199999999999E-3</v>
      </c>
      <c r="C14" s="80">
        <v>188.21</v>
      </c>
      <c r="D14" s="80">
        <v>189.82</v>
      </c>
      <c r="E14" s="81">
        <v>0.63793999999999995</v>
      </c>
      <c r="F14" s="81"/>
      <c r="G14" s="47"/>
      <c r="H14" s="47"/>
    </row>
    <row r="15" spans="1:8" ht="18.75" customHeight="1" x14ac:dyDescent="0.25">
      <c r="A15" s="45">
        <v>50</v>
      </c>
      <c r="B15" s="79">
        <v>1.01144E-3</v>
      </c>
      <c r="C15" s="80">
        <v>209.09</v>
      </c>
      <c r="D15" s="80">
        <v>210.71</v>
      </c>
      <c r="E15" s="81">
        <v>0.70306999999999997</v>
      </c>
      <c r="F15" s="81"/>
      <c r="G15" s="47"/>
      <c r="H15" s="47"/>
    </row>
    <row r="16" spans="1:8" ht="18.75" customHeight="1" x14ac:dyDescent="0.25">
      <c r="A16" s="45">
        <v>55</v>
      </c>
      <c r="B16" s="79">
        <v>1.01384E-3</v>
      </c>
      <c r="C16" s="80">
        <v>229.98</v>
      </c>
      <c r="D16" s="80">
        <v>231.6</v>
      </c>
      <c r="E16" s="81">
        <v>0.76722999999999997</v>
      </c>
      <c r="F16" s="81"/>
      <c r="G16" s="47"/>
      <c r="H16" s="47"/>
    </row>
    <row r="17" spans="1:8" ht="18.75" customHeight="1" x14ac:dyDescent="0.25">
      <c r="A17" s="45">
        <v>60</v>
      </c>
      <c r="B17" s="79">
        <v>1.0164099999999999E-3</v>
      </c>
      <c r="C17" s="80">
        <v>250.88</v>
      </c>
      <c r="D17" s="80">
        <v>252.51</v>
      </c>
      <c r="E17" s="81">
        <v>0.83045000000000002</v>
      </c>
      <c r="F17" s="81"/>
      <c r="G17" s="47"/>
      <c r="H17" s="47"/>
    </row>
    <row r="18" spans="1:8" ht="18.75" customHeight="1" x14ac:dyDescent="0.25">
      <c r="A18" s="45">
        <v>65</v>
      </c>
      <c r="B18" s="79">
        <v>1.0191499999999999E-3</v>
      </c>
      <c r="C18" s="80">
        <v>271.79000000000002</v>
      </c>
      <c r="D18" s="80">
        <v>273.42</v>
      </c>
      <c r="E18" s="81">
        <v>0.89276</v>
      </c>
      <c r="F18" s="81"/>
      <c r="G18" s="47"/>
      <c r="H18" s="47"/>
    </row>
    <row r="19" spans="1:8" ht="18.75" customHeight="1" x14ac:dyDescent="0.25">
      <c r="A19" s="45">
        <v>70</v>
      </c>
      <c r="B19" s="79">
        <v>1.02205E-3</v>
      </c>
      <c r="C19" s="80">
        <v>292.70999999999998</v>
      </c>
      <c r="D19" s="80">
        <v>294.35000000000002</v>
      </c>
      <c r="E19" s="81">
        <v>0.95420000000000005</v>
      </c>
      <c r="F19" s="81"/>
      <c r="G19" s="47"/>
      <c r="H19" s="47"/>
    </row>
    <row r="20" spans="1:8" ht="18.75" customHeight="1" x14ac:dyDescent="0.25">
      <c r="A20" s="45">
        <v>75</v>
      </c>
      <c r="B20" s="79">
        <v>1.0251100000000001E-3</v>
      </c>
      <c r="C20" s="80">
        <v>313.64999999999998</v>
      </c>
      <c r="D20" s="80">
        <v>315.29000000000002</v>
      </c>
      <c r="E20" s="82">
        <v>1.0147999999999999</v>
      </c>
      <c r="F20" s="82"/>
      <c r="G20" s="47"/>
      <c r="H20" s="47"/>
    </row>
    <row r="21" spans="1:8" ht="18.75" customHeight="1" x14ac:dyDescent="0.25">
      <c r="A21" s="45">
        <v>80</v>
      </c>
      <c r="B21" s="79">
        <v>1.0283200000000001E-3</v>
      </c>
      <c r="C21" s="80">
        <v>334.6</v>
      </c>
      <c r="D21" s="80">
        <v>336.25</v>
      </c>
      <c r="E21" s="82">
        <v>1.0746</v>
      </c>
      <c r="F21" s="82"/>
      <c r="G21" s="47"/>
      <c r="H21" s="47"/>
    </row>
    <row r="22" spans="1:8" ht="18.75" customHeight="1" x14ac:dyDescent="0.25">
      <c r="A22" s="45">
        <v>85</v>
      </c>
      <c r="B22" s="79">
        <v>1.0316800000000001E-3</v>
      </c>
      <c r="C22" s="80">
        <v>355.58</v>
      </c>
      <c r="D22" s="80">
        <v>357.23</v>
      </c>
      <c r="E22" s="82">
        <v>1.1335</v>
      </c>
      <c r="F22" s="82"/>
      <c r="G22" s="47"/>
      <c r="H22" s="47"/>
    </row>
    <row r="23" spans="1:8" ht="18.75" customHeight="1" x14ac:dyDescent="0.25">
      <c r="A23" s="45">
        <v>90</v>
      </c>
      <c r="B23" s="79">
        <v>1.0352E-3</v>
      </c>
      <c r="C23" s="80">
        <v>376.56</v>
      </c>
      <c r="D23" s="80">
        <v>378.22</v>
      </c>
      <c r="E23" s="82">
        <v>1.1918</v>
      </c>
      <c r="F23" s="82"/>
      <c r="G23" s="47"/>
      <c r="H23" s="47"/>
    </row>
    <row r="24" spans="1:8" ht="18.75" customHeight="1" x14ac:dyDescent="0.25">
      <c r="A24" s="45">
        <v>95</v>
      </c>
      <c r="B24" s="79">
        <v>1.0388699999999999E-3</v>
      </c>
      <c r="C24" s="80">
        <v>397.58</v>
      </c>
      <c r="D24" s="80">
        <v>399.24</v>
      </c>
      <c r="E24" s="82">
        <v>1.2493000000000001</v>
      </c>
      <c r="F24" s="82"/>
      <c r="G24" s="47"/>
      <c r="H24" s="47"/>
    </row>
    <row r="25" spans="1:8" ht="18.75" customHeight="1" x14ac:dyDescent="0.25">
      <c r="A25" s="45">
        <v>100</v>
      </c>
      <c r="B25" s="79">
        <v>1.0426999999999999E-3</v>
      </c>
      <c r="C25" s="80">
        <v>418.62</v>
      </c>
      <c r="D25" s="80">
        <v>420.29</v>
      </c>
      <c r="E25" s="82">
        <v>1.306</v>
      </c>
      <c r="F25" s="82"/>
      <c r="G25" s="47"/>
      <c r="H25" s="47"/>
    </row>
    <row r="26" spans="1:8" ht="18.75" customHeight="1" x14ac:dyDescent="0.25">
      <c r="A26" s="45">
        <v>105</v>
      </c>
      <c r="B26" s="79">
        <v>1.04667E-3</v>
      </c>
      <c r="C26" s="80">
        <v>439.7</v>
      </c>
      <c r="D26" s="80">
        <v>441.37</v>
      </c>
      <c r="E26" s="82">
        <v>1.3621000000000001</v>
      </c>
      <c r="F26" s="82"/>
      <c r="G26" s="47"/>
      <c r="H26" s="47"/>
    </row>
    <row r="27" spans="1:8" ht="18.75" customHeight="1" x14ac:dyDescent="0.25">
      <c r="A27" s="45">
        <v>110</v>
      </c>
      <c r="B27" s="79">
        <v>1.0508E-3</v>
      </c>
      <c r="C27" s="80">
        <v>460.8</v>
      </c>
      <c r="D27" s="80">
        <v>462.48</v>
      </c>
      <c r="E27" s="82">
        <v>1.4176</v>
      </c>
      <c r="F27" s="82"/>
      <c r="G27" s="47"/>
      <c r="H27" s="47"/>
    </row>
    <row r="28" spans="1:8" ht="18.75" customHeight="1" x14ac:dyDescent="0.25">
      <c r="A28" s="45">
        <v>115</v>
      </c>
      <c r="B28" s="79">
        <v>1.0550900000000001E-3</v>
      </c>
      <c r="C28" s="80">
        <v>481.93</v>
      </c>
      <c r="D28" s="80">
        <v>483.62</v>
      </c>
      <c r="E28" s="82">
        <v>1.4723999999999999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1.0595400000000001E-3</v>
      </c>
      <c r="C29" s="80">
        <v>503.1</v>
      </c>
      <c r="D29" s="80">
        <v>504.8</v>
      </c>
      <c r="E29" s="82">
        <v>1.5266</v>
      </c>
      <c r="F29" s="82"/>
      <c r="G29" s="47"/>
      <c r="H29" s="47"/>
    </row>
    <row r="30" spans="1:8" ht="18.75" customHeight="1" x14ac:dyDescent="0.25">
      <c r="A30" s="45">
        <v>125</v>
      </c>
      <c r="B30" s="79">
        <v>1.06415E-3</v>
      </c>
      <c r="C30" s="80">
        <v>524.32000000000005</v>
      </c>
      <c r="D30" s="80">
        <v>526.02</v>
      </c>
      <c r="E30" s="82">
        <v>1.5803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1.0689199999999999E-3</v>
      </c>
      <c r="C31" s="80">
        <v>545.57000000000005</v>
      </c>
      <c r="D31" s="80">
        <v>547.28</v>
      </c>
      <c r="E31" s="82">
        <v>1.6334</v>
      </c>
      <c r="F31" s="82"/>
      <c r="G31" s="47"/>
      <c r="H31" s="47"/>
    </row>
    <row r="32" spans="1:8" ht="18.75" customHeight="1" x14ac:dyDescent="0.25">
      <c r="A32" s="45">
        <v>135</v>
      </c>
      <c r="B32" s="79">
        <v>1.07386E-3</v>
      </c>
      <c r="C32" s="80">
        <v>566.88</v>
      </c>
      <c r="D32" s="80">
        <v>568.6</v>
      </c>
      <c r="E32" s="82">
        <v>1.6859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1.07898E-3</v>
      </c>
      <c r="C33" s="80">
        <v>588.23</v>
      </c>
      <c r="D33" s="80">
        <v>589.96</v>
      </c>
      <c r="E33" s="82">
        <v>1.7379</v>
      </c>
      <c r="F33" s="82"/>
      <c r="G33" s="47"/>
      <c r="H33" s="47"/>
    </row>
    <row r="34" spans="1:8" ht="18.75" customHeight="1" x14ac:dyDescent="0.25">
      <c r="A34" s="45">
        <v>145</v>
      </c>
      <c r="B34" s="79">
        <v>1.08427E-3</v>
      </c>
      <c r="C34" s="80">
        <v>609.66</v>
      </c>
      <c r="D34" s="80">
        <v>611.39</v>
      </c>
      <c r="E34" s="82">
        <v>1.7895000000000001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1.08975E-3</v>
      </c>
      <c r="C35" s="80">
        <v>631.13</v>
      </c>
      <c r="D35" s="80">
        <v>632.87</v>
      </c>
      <c r="E35" s="82">
        <v>1.8405</v>
      </c>
      <c r="F35" s="82"/>
      <c r="G35" s="47"/>
      <c r="H35" s="47"/>
    </row>
    <row r="36" spans="1:8" ht="18.75" customHeight="1" x14ac:dyDescent="0.25">
      <c r="A36" s="45">
        <v>155</v>
      </c>
      <c r="B36" s="79">
        <v>1.09541E-3</v>
      </c>
      <c r="C36" s="80">
        <v>652.66999999999996</v>
      </c>
      <c r="D36" s="80">
        <v>654.41999999999996</v>
      </c>
      <c r="E36" s="82">
        <v>1.8912</v>
      </c>
      <c r="F36" s="82"/>
      <c r="G36" s="47"/>
      <c r="H36" s="47"/>
    </row>
    <row r="37" spans="1:8" ht="18.75" customHeight="1" x14ac:dyDescent="0.25">
      <c r="A37" s="45">
        <v>160</v>
      </c>
      <c r="B37" s="79">
        <v>1.1012800000000001E-3</v>
      </c>
      <c r="C37" s="80">
        <v>674.29</v>
      </c>
      <c r="D37" s="80">
        <v>676.05</v>
      </c>
      <c r="E37" s="82">
        <v>1.9414</v>
      </c>
      <c r="F37" s="82"/>
      <c r="G37" s="47"/>
      <c r="H37" s="47"/>
    </row>
    <row r="38" spans="1:8" ht="18.75" customHeight="1" x14ac:dyDescent="0.25">
      <c r="A38" s="45">
        <v>165</v>
      </c>
      <c r="B38" s="79">
        <v>1.10735E-3</v>
      </c>
      <c r="C38" s="80">
        <v>695.97</v>
      </c>
      <c r="D38" s="80">
        <v>697.74</v>
      </c>
      <c r="E38" s="82">
        <v>1.9912000000000001</v>
      </c>
      <c r="F38" s="82"/>
      <c r="G38" s="47"/>
      <c r="H38" s="47"/>
    </row>
    <row r="39" spans="1:8" ht="18.75" customHeight="1" x14ac:dyDescent="0.25">
      <c r="A39" s="45">
        <v>170</v>
      </c>
      <c r="B39" s="79">
        <v>1.1136399999999999E-3</v>
      </c>
      <c r="C39" s="80">
        <v>717.74</v>
      </c>
      <c r="D39" s="80">
        <v>719.52</v>
      </c>
      <c r="E39" s="82">
        <v>2.0406</v>
      </c>
      <c r="F39" s="82"/>
      <c r="G39" s="47"/>
      <c r="H39" s="47"/>
    </row>
    <row r="40" spans="1:8" ht="18.75" customHeight="1" x14ac:dyDescent="0.25">
      <c r="A40" s="45">
        <v>175</v>
      </c>
      <c r="B40" s="79">
        <v>1.1201399999999999E-3</v>
      </c>
      <c r="C40" s="80">
        <v>739.6</v>
      </c>
      <c r="D40" s="80">
        <v>741.39</v>
      </c>
      <c r="E40" s="82">
        <v>2.0897000000000001</v>
      </c>
      <c r="F40" s="82"/>
      <c r="G40" s="47"/>
      <c r="H40" s="47"/>
    </row>
    <row r="41" spans="1:8" ht="18.75" customHeight="1" x14ac:dyDescent="0.25">
      <c r="A41" s="45">
        <v>180</v>
      </c>
      <c r="B41" s="79">
        <v>1.12689E-3</v>
      </c>
      <c r="C41" s="80">
        <v>761.55</v>
      </c>
      <c r="D41" s="80">
        <v>763.35</v>
      </c>
      <c r="E41" s="82">
        <v>2.1383999999999999</v>
      </c>
      <c r="F41" s="82"/>
      <c r="G41" s="47"/>
      <c r="H41" s="47"/>
    </row>
    <row r="42" spans="1:8" ht="18.75" customHeight="1" x14ac:dyDescent="0.25">
      <c r="A42" s="45">
        <v>185</v>
      </c>
      <c r="B42" s="79">
        <v>1.1338800000000001E-3</v>
      </c>
      <c r="C42" s="80">
        <v>783.61</v>
      </c>
      <c r="D42" s="80">
        <v>785.42</v>
      </c>
      <c r="E42" s="82">
        <v>2.1867999999999999</v>
      </c>
      <c r="F42" s="82"/>
      <c r="G42" s="47"/>
      <c r="H42" s="47"/>
    </row>
    <row r="43" spans="1:8" ht="18.75" customHeight="1" x14ac:dyDescent="0.25">
      <c r="A43" s="45">
        <v>190</v>
      </c>
      <c r="B43" s="79">
        <v>1.14113E-3</v>
      </c>
      <c r="C43" s="80">
        <v>805.76</v>
      </c>
      <c r="D43" s="80">
        <v>807.59</v>
      </c>
      <c r="E43" s="82">
        <v>2.2349999999999999</v>
      </c>
      <c r="F43" s="82"/>
      <c r="G43" s="47"/>
      <c r="H43" s="47"/>
    </row>
    <row r="44" spans="1:8" ht="18.75" customHeight="1" x14ac:dyDescent="0.25">
      <c r="A44" s="45">
        <v>195</v>
      </c>
      <c r="B44" s="79">
        <v>1.1486599999999999E-3</v>
      </c>
      <c r="C44" s="80">
        <v>828.04</v>
      </c>
      <c r="D44" s="80">
        <v>829.88</v>
      </c>
      <c r="E44" s="82">
        <v>2.2827999999999999</v>
      </c>
      <c r="F44" s="82"/>
      <c r="G44" s="47"/>
      <c r="H44" s="47"/>
    </row>
    <row r="45" spans="1:8" ht="18.75" customHeight="1" x14ac:dyDescent="0.25">
      <c r="A45" s="45">
        <v>200</v>
      </c>
      <c r="B45" s="79">
        <v>1.1564800000000001E-3</v>
      </c>
      <c r="C45" s="80">
        <v>850.44</v>
      </c>
      <c r="D45" s="80">
        <v>852.29</v>
      </c>
      <c r="E45" s="82">
        <v>2.3304999999999998</v>
      </c>
      <c r="F45" s="82"/>
      <c r="G45" s="47"/>
      <c r="H45" s="47"/>
    </row>
    <row r="46" spans="1:8" ht="18.75" customHeight="1" x14ac:dyDescent="0.25">
      <c r="A46" s="45">
        <v>210</v>
      </c>
      <c r="B46" s="81">
        <v>0.12722</v>
      </c>
      <c r="C46" s="83">
        <v>2614.1</v>
      </c>
      <c r="D46" s="83">
        <v>2817.7</v>
      </c>
      <c r="E46" s="82">
        <v>6.4720000000000004</v>
      </c>
      <c r="F46" s="82"/>
      <c r="G46" s="47"/>
      <c r="H46" s="47"/>
    </row>
    <row r="47" spans="1:8" ht="18.75" customHeight="1" x14ac:dyDescent="0.25">
      <c r="A47" s="45">
        <v>220</v>
      </c>
      <c r="B47" s="81">
        <v>0.13106000000000001</v>
      </c>
      <c r="C47" s="83">
        <v>2635.1</v>
      </c>
      <c r="D47" s="83">
        <v>2844.8</v>
      </c>
      <c r="E47" s="82">
        <v>6.5274000000000001</v>
      </c>
      <c r="F47" s="82"/>
      <c r="G47" s="47"/>
      <c r="H47" s="47"/>
    </row>
    <row r="48" spans="1:8" ht="18.75" customHeight="1" x14ac:dyDescent="0.25">
      <c r="A48" s="45">
        <v>230</v>
      </c>
      <c r="B48" s="81">
        <v>0.13477</v>
      </c>
      <c r="C48" s="83">
        <v>2655</v>
      </c>
      <c r="D48" s="83">
        <v>2870.6</v>
      </c>
      <c r="E48" s="82">
        <v>6.5792000000000002</v>
      </c>
      <c r="F48" s="82"/>
      <c r="G48" s="47"/>
      <c r="H48" s="47"/>
    </row>
    <row r="49" spans="1:8" ht="18.75" customHeight="1" x14ac:dyDescent="0.25">
      <c r="A49" s="45">
        <v>240</v>
      </c>
      <c r="B49" s="81">
        <v>0.13838</v>
      </c>
      <c r="C49" s="83">
        <v>2674.2</v>
      </c>
      <c r="D49" s="83">
        <v>2895.6</v>
      </c>
      <c r="E49" s="82">
        <v>6.6284000000000001</v>
      </c>
      <c r="F49" s="82"/>
      <c r="G49" s="47"/>
      <c r="H49" s="47"/>
    </row>
    <row r="50" spans="1:8" ht="18.75" customHeight="1" x14ac:dyDescent="0.25">
      <c r="A50" s="45">
        <v>250</v>
      </c>
      <c r="B50" s="81">
        <v>0.1419</v>
      </c>
      <c r="C50" s="83">
        <v>2692.9</v>
      </c>
      <c r="D50" s="83">
        <v>2919.9</v>
      </c>
      <c r="E50" s="82">
        <v>6.6753</v>
      </c>
      <c r="F50" s="82"/>
      <c r="G50" s="47"/>
      <c r="H50" s="47"/>
    </row>
    <row r="51" spans="1:8" ht="18.75" customHeight="1" x14ac:dyDescent="0.25">
      <c r="A51" s="45">
        <v>260</v>
      </c>
      <c r="B51" s="81">
        <v>0.14535000000000001</v>
      </c>
      <c r="C51" s="83">
        <v>2711.1</v>
      </c>
      <c r="D51" s="83">
        <v>2943.7</v>
      </c>
      <c r="E51" s="82">
        <v>6.7203999999999997</v>
      </c>
      <c r="F51" s="82"/>
      <c r="G51" s="47"/>
      <c r="H51" s="47"/>
    </row>
    <row r="52" spans="1:8" ht="18.75" customHeight="1" x14ac:dyDescent="0.25">
      <c r="A52" s="45">
        <v>270</v>
      </c>
      <c r="B52" s="81">
        <v>0.14874999999999999</v>
      </c>
      <c r="C52" s="83">
        <v>2729.1</v>
      </c>
      <c r="D52" s="83">
        <v>2967.1</v>
      </c>
      <c r="E52" s="82">
        <v>6.7637999999999998</v>
      </c>
      <c r="F52" s="82"/>
      <c r="G52" s="47"/>
      <c r="H52" s="47"/>
    </row>
    <row r="53" spans="1:8" ht="18.75" customHeight="1" x14ac:dyDescent="0.25">
      <c r="A53" s="45">
        <v>280</v>
      </c>
      <c r="B53" s="81">
        <v>0.15209</v>
      </c>
      <c r="C53" s="83">
        <v>2746.8</v>
      </c>
      <c r="D53" s="83">
        <v>2990.1</v>
      </c>
      <c r="E53" s="82">
        <v>6.8059000000000003</v>
      </c>
      <c r="F53" s="82"/>
      <c r="G53" s="47"/>
      <c r="H53" s="47"/>
    </row>
    <row r="54" spans="1:8" ht="18.75" customHeight="1" x14ac:dyDescent="0.25">
      <c r="A54" s="45">
        <v>290</v>
      </c>
      <c r="B54" s="81">
        <v>0.15539</v>
      </c>
      <c r="C54" s="83">
        <v>2764.3</v>
      </c>
      <c r="D54" s="83">
        <v>3012.9</v>
      </c>
      <c r="E54" s="82">
        <v>6.8467000000000002</v>
      </c>
      <c r="F54" s="82"/>
      <c r="G54" s="47"/>
      <c r="H54" s="47"/>
    </row>
    <row r="55" spans="1:8" ht="18.75" customHeight="1" x14ac:dyDescent="0.25">
      <c r="A55" s="45">
        <v>300</v>
      </c>
      <c r="B55" s="81">
        <v>0.15866</v>
      </c>
      <c r="C55" s="83">
        <v>2781.5</v>
      </c>
      <c r="D55" s="83">
        <v>3035.4</v>
      </c>
      <c r="E55" s="82">
        <v>6.8863000000000003</v>
      </c>
      <c r="F55" s="82"/>
      <c r="G55" s="47"/>
      <c r="H55" s="47"/>
    </row>
    <row r="56" spans="1:8" ht="18.75" customHeight="1" x14ac:dyDescent="0.25">
      <c r="A56" s="45">
        <v>310</v>
      </c>
      <c r="B56" s="81">
        <v>0.16189999999999999</v>
      </c>
      <c r="C56" s="83">
        <v>2798.8</v>
      </c>
      <c r="D56" s="83">
        <v>3057.8</v>
      </c>
      <c r="E56" s="82">
        <v>6.9249999999999998</v>
      </c>
      <c r="F56" s="82"/>
      <c r="G56" s="47"/>
      <c r="H56" s="47"/>
    </row>
    <row r="57" spans="1:8" ht="18.75" customHeight="1" x14ac:dyDescent="0.25">
      <c r="A57" s="45">
        <v>320</v>
      </c>
      <c r="B57" s="81">
        <v>0.16511000000000001</v>
      </c>
      <c r="C57" s="83">
        <v>2815.8</v>
      </c>
      <c r="D57" s="83">
        <v>3080</v>
      </c>
      <c r="E57" s="82">
        <v>6.9627999999999997</v>
      </c>
      <c r="F57" s="82"/>
      <c r="G57" s="47"/>
      <c r="H57" s="47"/>
    </row>
    <row r="58" spans="1:8" ht="18.75" customHeight="1" x14ac:dyDescent="0.25">
      <c r="A58" s="45">
        <v>330</v>
      </c>
      <c r="B58" s="81">
        <v>0.16829</v>
      </c>
      <c r="C58" s="83">
        <v>2832.8</v>
      </c>
      <c r="D58" s="83">
        <v>3102.1</v>
      </c>
      <c r="E58" s="82">
        <v>6.9996999999999998</v>
      </c>
      <c r="F58" s="82"/>
      <c r="G58" s="47"/>
      <c r="H58" s="47"/>
    </row>
    <row r="59" spans="1:8" ht="18.75" customHeight="1" x14ac:dyDescent="0.25">
      <c r="A59" s="45">
        <v>340</v>
      </c>
      <c r="B59" s="81">
        <v>0.17144999999999999</v>
      </c>
      <c r="C59" s="83">
        <v>2849.8</v>
      </c>
      <c r="D59" s="83">
        <v>3124.1</v>
      </c>
      <c r="E59" s="82">
        <v>7.0358999999999998</v>
      </c>
      <c r="F59" s="82"/>
      <c r="G59" s="47"/>
      <c r="H59" s="47"/>
    </row>
    <row r="60" spans="1:8" ht="18.75" customHeight="1" x14ac:dyDescent="0.25">
      <c r="A60" s="45">
        <v>350</v>
      </c>
      <c r="B60" s="81">
        <v>0.17459</v>
      </c>
      <c r="C60" s="83">
        <v>2866.7</v>
      </c>
      <c r="D60" s="83">
        <v>3146</v>
      </c>
      <c r="E60" s="82">
        <v>7.0712999999999999</v>
      </c>
      <c r="F60" s="82"/>
      <c r="G60" s="47"/>
      <c r="H60" s="47"/>
    </row>
    <row r="61" spans="1:8" ht="18.75" customHeight="1" x14ac:dyDescent="0.25">
      <c r="A61" s="45">
        <v>360</v>
      </c>
      <c r="B61" s="81">
        <v>0.17771999999999999</v>
      </c>
      <c r="C61" s="83">
        <v>2883.4</v>
      </c>
      <c r="D61" s="83">
        <v>3167.8</v>
      </c>
      <c r="E61" s="82">
        <v>7.1060999999999996</v>
      </c>
      <c r="F61" s="82"/>
      <c r="G61" s="47"/>
      <c r="H61" s="47"/>
    </row>
    <row r="62" spans="1:8" ht="18.75" customHeight="1" x14ac:dyDescent="0.25">
      <c r="A62" s="45">
        <v>370</v>
      </c>
      <c r="B62" s="81">
        <v>0.18082999999999999</v>
      </c>
      <c r="C62" s="83">
        <v>2900.3</v>
      </c>
      <c r="D62" s="83">
        <v>3189.6</v>
      </c>
      <c r="E62" s="82">
        <v>7.1402999999999999</v>
      </c>
      <c r="F62" s="82"/>
      <c r="G62" s="47"/>
      <c r="H62" s="47"/>
    </row>
    <row r="63" spans="1:8" ht="18.75" customHeight="1" x14ac:dyDescent="0.25">
      <c r="A63" s="45">
        <v>380</v>
      </c>
      <c r="B63" s="81">
        <v>0.18392</v>
      </c>
      <c r="C63" s="83">
        <v>2917.1</v>
      </c>
      <c r="D63" s="83">
        <v>3211.4</v>
      </c>
      <c r="E63" s="82">
        <v>7.1738</v>
      </c>
      <c r="F63" s="82"/>
      <c r="G63" s="47"/>
      <c r="H63" s="47"/>
    </row>
    <row r="64" spans="1:8" ht="18.75" customHeight="1" x14ac:dyDescent="0.25">
      <c r="A64" s="45">
        <v>390</v>
      </c>
      <c r="B64" s="81">
        <v>0.187</v>
      </c>
      <c r="C64" s="83">
        <v>2933.9</v>
      </c>
      <c r="D64" s="83">
        <v>3233.1</v>
      </c>
      <c r="E64" s="82">
        <v>7.2069000000000001</v>
      </c>
      <c r="F64" s="82"/>
      <c r="G64" s="47"/>
      <c r="H64" s="47"/>
    </row>
    <row r="65" spans="1:8" ht="18.75" customHeight="1" x14ac:dyDescent="0.25">
      <c r="A65" s="45">
        <v>400</v>
      </c>
      <c r="B65" s="81">
        <v>0.19006999999999999</v>
      </c>
      <c r="C65" s="83">
        <v>2950.8</v>
      </c>
      <c r="D65" s="83">
        <v>3254.9</v>
      </c>
      <c r="E65" s="82">
        <v>7.2393999999999998</v>
      </c>
      <c r="F65" s="82"/>
      <c r="G65" s="47"/>
      <c r="H65" s="47"/>
    </row>
    <row r="66" spans="1:8" ht="18.75" customHeight="1" x14ac:dyDescent="0.25">
      <c r="A66" s="45">
        <v>410</v>
      </c>
      <c r="B66" s="81">
        <v>0.19313</v>
      </c>
      <c r="C66" s="83">
        <v>2967.6</v>
      </c>
      <c r="D66" s="83">
        <v>3276.6</v>
      </c>
      <c r="E66" s="82">
        <v>7.2713999999999999</v>
      </c>
      <c r="F66" s="82"/>
      <c r="G66" s="47"/>
      <c r="H66" s="47"/>
    </row>
    <row r="67" spans="1:8" ht="18.75" customHeight="1" x14ac:dyDescent="0.25">
      <c r="A67" s="45">
        <v>420</v>
      </c>
      <c r="B67" s="81">
        <v>0.19617999999999999</v>
      </c>
      <c r="C67" s="83">
        <v>2984.4</v>
      </c>
      <c r="D67" s="83">
        <v>3298.3</v>
      </c>
      <c r="E67" s="82">
        <v>7.3029999999999999</v>
      </c>
      <c r="F67" s="82"/>
      <c r="G67" s="47"/>
      <c r="H67" s="47"/>
    </row>
    <row r="68" spans="1:8" ht="18.75" customHeight="1" x14ac:dyDescent="0.25">
      <c r="A68" s="45">
        <v>430</v>
      </c>
      <c r="B68" s="81">
        <v>0.19922000000000001</v>
      </c>
      <c r="C68" s="83">
        <v>3001.2</v>
      </c>
      <c r="D68" s="83">
        <v>3320</v>
      </c>
      <c r="E68" s="82">
        <v>7.3341000000000003</v>
      </c>
      <c r="F68" s="82"/>
      <c r="G68" s="47"/>
      <c r="H68" s="47"/>
    </row>
    <row r="69" spans="1:8" ht="18.75" customHeight="1" x14ac:dyDescent="0.25">
      <c r="A69" s="45">
        <v>440</v>
      </c>
      <c r="B69" s="81">
        <v>0.20225000000000001</v>
      </c>
      <c r="C69" s="83">
        <v>3018.1</v>
      </c>
      <c r="D69" s="83">
        <v>3341.7</v>
      </c>
      <c r="E69" s="82">
        <v>7.3647999999999998</v>
      </c>
      <c r="F69" s="82"/>
      <c r="G69" s="47"/>
      <c r="H69" s="47"/>
    </row>
    <row r="70" spans="1:8" ht="18.75" customHeight="1" x14ac:dyDescent="0.25">
      <c r="A70" s="45">
        <v>450</v>
      </c>
      <c r="B70" s="81">
        <v>0.20527000000000001</v>
      </c>
      <c r="C70" s="83">
        <v>3035.1</v>
      </c>
      <c r="D70" s="83">
        <v>3363.5</v>
      </c>
      <c r="E70" s="82">
        <v>7.3949999999999996</v>
      </c>
      <c r="F70" s="82"/>
      <c r="G70" s="47"/>
      <c r="H70" s="47"/>
    </row>
    <row r="71" spans="1:8" ht="18.75" customHeight="1" x14ac:dyDescent="0.25">
      <c r="A71" s="45">
        <v>460</v>
      </c>
      <c r="B71" s="81">
        <v>0.20829</v>
      </c>
      <c r="C71" s="83">
        <v>3052</v>
      </c>
      <c r="D71" s="83">
        <v>3385.3</v>
      </c>
      <c r="E71" s="82">
        <v>7.4249000000000001</v>
      </c>
      <c r="F71" s="82"/>
      <c r="G71" s="47"/>
      <c r="H71" s="47"/>
    </row>
    <row r="72" spans="1:8" ht="18.75" customHeight="1" x14ac:dyDescent="0.25">
      <c r="A72" s="45">
        <v>470</v>
      </c>
      <c r="B72" s="81">
        <v>0.21129999999999999</v>
      </c>
      <c r="C72" s="83">
        <v>3068.9</v>
      </c>
      <c r="D72" s="83">
        <v>3407</v>
      </c>
      <c r="E72" s="82">
        <v>7.4545000000000003</v>
      </c>
      <c r="F72" s="82"/>
      <c r="G72" s="47"/>
      <c r="H72" s="47"/>
    </row>
    <row r="73" spans="1:8" ht="18.75" customHeight="1" x14ac:dyDescent="0.25">
      <c r="A73" s="45">
        <v>480</v>
      </c>
      <c r="B73" s="81">
        <v>0.21429999999999999</v>
      </c>
      <c r="C73" s="83">
        <v>3086</v>
      </c>
      <c r="D73" s="83">
        <v>3428.9</v>
      </c>
      <c r="E73" s="82">
        <v>7.4836</v>
      </c>
      <c r="F73" s="82"/>
      <c r="G73" s="47"/>
      <c r="H73" s="47"/>
    </row>
    <row r="74" spans="1:8" ht="18.75" customHeight="1" x14ac:dyDescent="0.25">
      <c r="A74" s="45">
        <v>490</v>
      </c>
      <c r="B74" s="81">
        <v>0.21729999999999999</v>
      </c>
      <c r="C74" s="83">
        <v>3103</v>
      </c>
      <c r="D74" s="83">
        <v>3450.7</v>
      </c>
      <c r="E74" s="82">
        <v>7.5124000000000004</v>
      </c>
      <c r="F74" s="82"/>
      <c r="G74" s="47"/>
      <c r="H74" s="47"/>
    </row>
    <row r="75" spans="1:8" ht="18.75" customHeight="1" x14ac:dyDescent="0.25">
      <c r="A75" s="45">
        <v>500</v>
      </c>
      <c r="B75" s="81">
        <v>0.22029000000000001</v>
      </c>
      <c r="C75" s="83">
        <v>3120.1</v>
      </c>
      <c r="D75" s="83">
        <v>3472.6</v>
      </c>
      <c r="E75" s="82">
        <v>7.5408999999999997</v>
      </c>
      <c r="F75" s="82"/>
      <c r="G75" s="47"/>
      <c r="H75" s="47"/>
    </row>
    <row r="76" spans="1:8" ht="18.75" customHeight="1" x14ac:dyDescent="0.25">
      <c r="A76" s="45">
        <v>520</v>
      </c>
      <c r="B76" s="81">
        <v>0.22625999999999999</v>
      </c>
      <c r="C76" s="83">
        <v>3154.5</v>
      </c>
      <c r="D76" s="83">
        <v>3516.5</v>
      </c>
      <c r="E76" s="82">
        <v>7.5970000000000004</v>
      </c>
      <c r="F76" s="82"/>
      <c r="G76" s="47"/>
      <c r="H76" s="47"/>
    </row>
    <row r="77" spans="1:8" ht="18.75" customHeight="1" x14ac:dyDescent="0.25">
      <c r="A77" s="45">
        <v>540</v>
      </c>
      <c r="B77" s="81">
        <v>0.23222000000000001</v>
      </c>
      <c r="C77" s="83">
        <v>3189</v>
      </c>
      <c r="D77" s="83">
        <v>3560.6</v>
      </c>
      <c r="E77" s="82">
        <v>7.6517999999999997</v>
      </c>
      <c r="F77" s="82"/>
      <c r="G77" s="47"/>
      <c r="H77" s="47"/>
    </row>
    <row r="78" spans="1:8" ht="18.75" customHeight="1" x14ac:dyDescent="0.25">
      <c r="A78" s="45">
        <v>560</v>
      </c>
      <c r="B78" s="81">
        <v>0.23815</v>
      </c>
      <c r="C78" s="83">
        <v>3223.8</v>
      </c>
      <c r="D78" s="83">
        <v>3604.8</v>
      </c>
      <c r="E78" s="82">
        <v>7.7055999999999996</v>
      </c>
      <c r="F78" s="82"/>
      <c r="G78" s="47"/>
      <c r="H78" s="47"/>
    </row>
    <row r="79" spans="1:8" ht="18.75" customHeight="1" x14ac:dyDescent="0.25">
      <c r="A79" s="45">
        <v>580</v>
      </c>
      <c r="B79" s="81">
        <v>0.24407999999999999</v>
      </c>
      <c r="C79" s="83">
        <v>3258.7</v>
      </c>
      <c r="D79" s="83">
        <v>3649.2</v>
      </c>
      <c r="E79" s="82">
        <v>7.7583000000000002</v>
      </c>
      <c r="F79" s="82"/>
      <c r="G79" s="47"/>
      <c r="H79" s="47"/>
    </row>
    <row r="80" spans="1:8" ht="18.75" customHeight="1" x14ac:dyDescent="0.25">
      <c r="A80" s="45">
        <v>600</v>
      </c>
      <c r="B80" s="81">
        <v>0.24998999999999999</v>
      </c>
      <c r="C80" s="83">
        <v>3293.9</v>
      </c>
      <c r="D80" s="83">
        <v>3693.9</v>
      </c>
      <c r="E80" s="82">
        <v>7.81</v>
      </c>
      <c r="F80" s="82"/>
      <c r="G80" s="47"/>
      <c r="H80" s="47"/>
    </row>
    <row r="81" spans="1:8" ht="18.75" customHeight="1" x14ac:dyDescent="0.25">
      <c r="A81" s="45">
        <v>620</v>
      </c>
      <c r="B81" s="81">
        <v>0.25589000000000001</v>
      </c>
      <c r="C81" s="83">
        <v>3329.3</v>
      </c>
      <c r="D81" s="83">
        <v>3738.7</v>
      </c>
      <c r="E81" s="82">
        <v>7.8608000000000002</v>
      </c>
      <c r="F81" s="82"/>
      <c r="G81" s="47"/>
      <c r="H81" s="47"/>
    </row>
    <row r="82" spans="1:8" ht="18.75" customHeight="1" x14ac:dyDescent="0.25">
      <c r="A82" s="45">
        <v>640</v>
      </c>
      <c r="B82" s="81">
        <v>0.26178000000000001</v>
      </c>
      <c r="C82" s="83">
        <v>3365</v>
      </c>
      <c r="D82" s="83">
        <v>3783.8</v>
      </c>
      <c r="E82" s="82">
        <v>7.9108000000000001</v>
      </c>
      <c r="F82" s="82"/>
      <c r="G82" s="47"/>
      <c r="H82" s="47"/>
    </row>
    <row r="83" spans="1:8" ht="18.75" customHeight="1" x14ac:dyDescent="0.25">
      <c r="A83" s="45">
        <v>660</v>
      </c>
      <c r="B83" s="81">
        <v>0.26766000000000001</v>
      </c>
      <c r="C83" s="83">
        <v>3400.9</v>
      </c>
      <c r="D83" s="83">
        <v>3829.2</v>
      </c>
      <c r="E83" s="82">
        <v>7.9599000000000002</v>
      </c>
      <c r="F83" s="82"/>
      <c r="G83" s="47"/>
      <c r="H83" s="47"/>
    </row>
    <row r="84" spans="1:8" ht="18.75" customHeight="1" x14ac:dyDescent="0.25">
      <c r="A84" s="45">
        <v>680</v>
      </c>
      <c r="B84" s="81">
        <v>0.27354000000000001</v>
      </c>
      <c r="C84" s="83">
        <v>3437</v>
      </c>
      <c r="D84" s="83">
        <v>3874.7</v>
      </c>
      <c r="E84" s="82">
        <v>8.0082000000000004</v>
      </c>
      <c r="F84" s="82"/>
      <c r="G84" s="47"/>
      <c r="H84" s="47"/>
    </row>
    <row r="85" spans="1:8" ht="18.75" customHeight="1" x14ac:dyDescent="0.25">
      <c r="A85" s="45">
        <v>700</v>
      </c>
      <c r="B85" s="81">
        <v>0.27939999999999998</v>
      </c>
      <c r="C85" s="83">
        <v>3473.5</v>
      </c>
      <c r="D85" s="83">
        <v>3920.5</v>
      </c>
      <c r="E85" s="82">
        <v>8.0556999999999999</v>
      </c>
      <c r="F85" s="82"/>
      <c r="G85" s="47"/>
      <c r="H85" s="47"/>
    </row>
    <row r="86" spans="1:8" ht="18.75" customHeight="1" x14ac:dyDescent="0.25">
      <c r="A86" s="45">
        <v>720</v>
      </c>
      <c r="B86" s="81">
        <v>0.28526000000000001</v>
      </c>
      <c r="C86" s="83">
        <v>3510.2</v>
      </c>
      <c r="D86" s="83">
        <v>3966.6</v>
      </c>
      <c r="E86" s="82">
        <v>8.1026000000000007</v>
      </c>
      <c r="F86" s="82"/>
      <c r="G86" s="47"/>
      <c r="H86" s="47"/>
    </row>
    <row r="87" spans="1:8" ht="18.75" customHeight="1" x14ac:dyDescent="0.25">
      <c r="A87" s="45">
        <v>740</v>
      </c>
      <c r="B87" s="81">
        <v>0.29111999999999999</v>
      </c>
      <c r="C87" s="83">
        <v>3547.1</v>
      </c>
      <c r="D87" s="83">
        <v>4012.9</v>
      </c>
      <c r="E87" s="82">
        <v>8.1486999999999998</v>
      </c>
      <c r="F87" s="82"/>
      <c r="G87" s="47"/>
      <c r="H87" s="47"/>
    </row>
    <row r="88" spans="1:8" ht="18.75" customHeight="1" x14ac:dyDescent="0.25">
      <c r="A88" s="45">
        <v>760</v>
      </c>
      <c r="B88" s="81">
        <v>0.29697000000000001</v>
      </c>
      <c r="C88" s="83">
        <v>3584.3</v>
      </c>
      <c r="D88" s="83">
        <v>4059.5</v>
      </c>
      <c r="E88" s="82">
        <v>8.1943000000000001</v>
      </c>
      <c r="F88" s="82"/>
      <c r="G88" s="47"/>
      <c r="H88" s="47"/>
    </row>
    <row r="89" spans="1:8" ht="18.75" customHeight="1" x14ac:dyDescent="0.25">
      <c r="A89" s="45">
        <v>780</v>
      </c>
      <c r="B89" s="81">
        <v>0.30281000000000002</v>
      </c>
      <c r="C89" s="83">
        <v>3621.8</v>
      </c>
      <c r="D89" s="83">
        <v>4106.3</v>
      </c>
      <c r="E89" s="82">
        <v>8.2391000000000005</v>
      </c>
      <c r="F89" s="82"/>
      <c r="G89" s="47"/>
      <c r="H89" s="47"/>
    </row>
    <row r="90" spans="1:8" ht="18.75" customHeight="1" x14ac:dyDescent="0.25">
      <c r="A90" s="45">
        <v>800</v>
      </c>
      <c r="B90" s="81">
        <v>0.30864999999999998</v>
      </c>
      <c r="C90" s="83">
        <v>3659.5</v>
      </c>
      <c r="D90" s="83">
        <v>4153.3</v>
      </c>
      <c r="E90" s="82">
        <v>8.2834000000000003</v>
      </c>
      <c r="F90" s="82"/>
      <c r="G90" s="47"/>
      <c r="H90" s="47"/>
    </row>
    <row r="91" spans="1:8" ht="18.75" customHeight="1" x14ac:dyDescent="0.25">
      <c r="A91" s="45">
        <v>820</v>
      </c>
      <c r="B91" s="81">
        <v>0.31448999999999999</v>
      </c>
      <c r="C91" s="83">
        <v>3697.5</v>
      </c>
      <c r="D91" s="83">
        <v>4200.7</v>
      </c>
      <c r="E91" s="82">
        <v>8.3270999999999997</v>
      </c>
      <c r="F91" s="82"/>
      <c r="G91" s="47"/>
      <c r="H91" s="47"/>
    </row>
    <row r="92" spans="1:8" ht="18.75" customHeight="1" x14ac:dyDescent="0.25">
      <c r="A92" s="45">
        <v>840</v>
      </c>
      <c r="B92" s="81">
        <v>0.32031999999999999</v>
      </c>
      <c r="C92" s="83">
        <v>3735.8</v>
      </c>
      <c r="D92" s="83">
        <v>4248.3</v>
      </c>
      <c r="E92" s="82">
        <v>8.3702000000000005</v>
      </c>
      <c r="F92" s="82"/>
      <c r="G92" s="47"/>
      <c r="H92" s="47"/>
    </row>
    <row r="93" spans="1:8" ht="18.75" customHeight="1" x14ac:dyDescent="0.25">
      <c r="A93" s="45">
        <v>860</v>
      </c>
      <c r="B93" s="81">
        <v>0.32615</v>
      </c>
      <c r="C93" s="83">
        <v>3774.3</v>
      </c>
      <c r="D93" s="83">
        <v>4296.1000000000004</v>
      </c>
      <c r="E93" s="82">
        <v>8.4128000000000007</v>
      </c>
      <c r="F93" s="82"/>
      <c r="G93" s="47"/>
      <c r="H93" s="47"/>
    </row>
    <row r="94" spans="1:8" ht="18.75" customHeight="1" x14ac:dyDescent="0.25">
      <c r="A94" s="45">
        <v>880</v>
      </c>
      <c r="B94" s="81">
        <v>0.33196999999999999</v>
      </c>
      <c r="C94" s="83">
        <v>3813</v>
      </c>
      <c r="D94" s="83">
        <v>4344.2</v>
      </c>
      <c r="E94" s="82">
        <v>8.4549000000000003</v>
      </c>
      <c r="F94" s="82"/>
      <c r="G94" s="47"/>
      <c r="H94" s="47"/>
    </row>
    <row r="95" spans="1:8" ht="18.75" customHeight="1" x14ac:dyDescent="0.25">
      <c r="A95" s="45">
        <v>900</v>
      </c>
      <c r="B95" s="81">
        <v>0.33779999999999999</v>
      </c>
      <c r="C95" s="83">
        <v>3852.1</v>
      </c>
      <c r="D95" s="83">
        <v>4392.6000000000004</v>
      </c>
      <c r="E95" s="82">
        <v>8.4964999999999993</v>
      </c>
      <c r="F95" s="82"/>
      <c r="G95" s="47"/>
      <c r="H95" s="47"/>
    </row>
    <row r="96" spans="1:8" ht="18.75" customHeight="1" x14ac:dyDescent="0.25">
      <c r="A96" s="45">
        <v>920</v>
      </c>
      <c r="B96" s="81">
        <v>0.34361000000000003</v>
      </c>
      <c r="C96" s="83">
        <v>3891.4</v>
      </c>
      <c r="D96" s="83">
        <v>4441.2</v>
      </c>
      <c r="E96" s="82">
        <v>8.5375999999999994</v>
      </c>
      <c r="F96" s="82"/>
      <c r="G96" s="47"/>
      <c r="H96" s="47"/>
    </row>
    <row r="97" spans="1:8" ht="18.75" customHeight="1" x14ac:dyDescent="0.25">
      <c r="A97" s="45">
        <v>940</v>
      </c>
      <c r="B97" s="81">
        <v>0.34943000000000002</v>
      </c>
      <c r="C97" s="83">
        <v>3931</v>
      </c>
      <c r="D97" s="83">
        <v>4490.1000000000004</v>
      </c>
      <c r="E97" s="82">
        <v>8.5782000000000007</v>
      </c>
      <c r="F97" s="82"/>
      <c r="G97" s="47"/>
      <c r="H97" s="47"/>
    </row>
    <row r="98" spans="1:8" ht="18.75" customHeight="1" x14ac:dyDescent="0.25">
      <c r="A98" s="45">
        <v>960</v>
      </c>
      <c r="B98" s="81">
        <v>0.35525000000000001</v>
      </c>
      <c r="C98" s="83">
        <v>3970.8</v>
      </c>
      <c r="D98" s="83">
        <v>4539.2</v>
      </c>
      <c r="E98" s="82">
        <v>8.6183999999999994</v>
      </c>
      <c r="F98" s="82"/>
      <c r="G98" s="47"/>
      <c r="H98" s="47"/>
    </row>
    <row r="99" spans="1:8" ht="18.75" customHeight="1" x14ac:dyDescent="0.25">
      <c r="A99" s="45">
        <v>980</v>
      </c>
      <c r="B99" s="81">
        <v>0.36105999999999999</v>
      </c>
      <c r="C99" s="83">
        <v>4010.9</v>
      </c>
      <c r="D99" s="83">
        <v>4588.6000000000004</v>
      </c>
      <c r="E99" s="82">
        <v>8.6580999999999992</v>
      </c>
      <c r="F99" s="82"/>
      <c r="G99" s="47"/>
      <c r="H99" s="47"/>
    </row>
    <row r="100" spans="1:8" ht="18.75" customHeight="1" x14ac:dyDescent="0.25">
      <c r="A100" s="45">
        <v>1000</v>
      </c>
      <c r="B100" s="81">
        <v>0.36686999999999997</v>
      </c>
      <c r="C100" s="83">
        <v>4051.2</v>
      </c>
      <c r="D100" s="83">
        <v>4638.2</v>
      </c>
      <c r="E100" s="82">
        <v>8.6974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H100"/>
  <sheetViews>
    <sheetView topLeftCell="A31" workbookViewId="0">
      <selection activeCell="A46" sqref="A46:XFD46"/>
    </sheetView>
  </sheetViews>
  <sheetFormatPr defaultRowHeight="13.2" x14ac:dyDescent="0.25"/>
  <cols>
    <col min="1" max="1" width="10.33203125" customWidth="1"/>
    <col min="2" max="2" width="9.3320312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206" t="s">
        <v>73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1800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9.992899999999999E-4</v>
      </c>
      <c r="C5" s="80">
        <v>-0.01</v>
      </c>
      <c r="D5" s="80">
        <v>1.79</v>
      </c>
      <c r="E5" s="81">
        <v>-4.0000000000000003E-5</v>
      </c>
      <c r="F5" s="81"/>
      <c r="G5" s="47"/>
      <c r="H5" s="47"/>
    </row>
    <row r="6" spans="1:8" ht="18.75" customHeight="1" x14ac:dyDescent="0.25">
      <c r="A6" s="45">
        <v>5</v>
      </c>
      <c r="B6" s="79">
        <v>9.992E-4</v>
      </c>
      <c r="C6" s="80">
        <v>21.01</v>
      </c>
      <c r="D6" s="80">
        <v>22.81</v>
      </c>
      <c r="E6" s="81">
        <v>7.6219999999999996E-2</v>
      </c>
      <c r="F6" s="81"/>
      <c r="G6" s="47"/>
      <c r="H6" s="47"/>
    </row>
    <row r="7" spans="1:8" ht="18.75" customHeight="1" x14ac:dyDescent="0.25">
      <c r="A7" s="45">
        <v>10</v>
      </c>
      <c r="B7" s="79">
        <v>9.9949000000000001E-4</v>
      </c>
      <c r="C7" s="80">
        <v>41.97</v>
      </c>
      <c r="D7" s="80">
        <v>43.77</v>
      </c>
      <c r="E7" s="81">
        <v>0.15092</v>
      </c>
      <c r="F7" s="81"/>
      <c r="G7" s="47"/>
      <c r="H7" s="47"/>
    </row>
    <row r="8" spans="1:8" ht="18.75" customHeight="1" x14ac:dyDescent="0.25">
      <c r="A8" s="45">
        <v>15</v>
      </c>
      <c r="B8" s="79">
        <v>1.00011E-3</v>
      </c>
      <c r="C8" s="80">
        <v>62.9</v>
      </c>
      <c r="D8" s="80">
        <v>64.7</v>
      </c>
      <c r="E8" s="81">
        <v>0.22419</v>
      </c>
      <c r="F8" s="81"/>
      <c r="G8" s="47"/>
      <c r="H8" s="47"/>
    </row>
    <row r="9" spans="1:8" ht="18.75" customHeight="1" x14ac:dyDescent="0.25">
      <c r="A9" s="45">
        <v>20</v>
      </c>
      <c r="B9" s="79">
        <v>1.00102E-3</v>
      </c>
      <c r="C9" s="80">
        <v>83.8</v>
      </c>
      <c r="D9" s="80">
        <v>85.6</v>
      </c>
      <c r="E9" s="81">
        <v>0.29610999999999998</v>
      </c>
      <c r="F9" s="81"/>
      <c r="G9" s="47"/>
      <c r="H9" s="47"/>
    </row>
    <row r="10" spans="1:8" ht="18.75" customHeight="1" x14ac:dyDescent="0.25">
      <c r="A10" s="45">
        <v>25</v>
      </c>
      <c r="B10" s="79">
        <v>1.00219E-3</v>
      </c>
      <c r="C10" s="80">
        <v>104.69</v>
      </c>
      <c r="D10" s="80">
        <v>106.49</v>
      </c>
      <c r="E10" s="81">
        <v>0.36675999999999997</v>
      </c>
      <c r="F10" s="81"/>
      <c r="G10" s="47"/>
      <c r="H10" s="47"/>
    </row>
    <row r="11" spans="1:8" ht="18.75" customHeight="1" x14ac:dyDescent="0.25">
      <c r="A11" s="45">
        <v>30</v>
      </c>
      <c r="B11" s="79">
        <v>1.00361E-3</v>
      </c>
      <c r="C11" s="80">
        <v>125.56</v>
      </c>
      <c r="D11" s="80">
        <v>127.37</v>
      </c>
      <c r="E11" s="81">
        <v>0.43620999999999999</v>
      </c>
      <c r="F11" s="81"/>
      <c r="G11" s="47"/>
      <c r="H11" s="47"/>
    </row>
    <row r="12" spans="1:8" ht="18.75" customHeight="1" x14ac:dyDescent="0.25">
      <c r="A12" s="45">
        <v>35</v>
      </c>
      <c r="B12" s="79">
        <v>1.0052500000000001E-3</v>
      </c>
      <c r="C12" s="80">
        <v>146.44</v>
      </c>
      <c r="D12" s="80">
        <v>148.25</v>
      </c>
      <c r="E12" s="81">
        <v>0.50451000000000001</v>
      </c>
      <c r="F12" s="81"/>
      <c r="G12" s="47"/>
      <c r="H12" s="47"/>
    </row>
    <row r="13" spans="1:8" ht="18.75" customHeight="1" x14ac:dyDescent="0.25">
      <c r="A13" s="45">
        <v>40</v>
      </c>
      <c r="B13" s="79">
        <v>1.00709E-3</v>
      </c>
      <c r="C13" s="80">
        <v>167.31</v>
      </c>
      <c r="D13" s="80">
        <v>169.12</v>
      </c>
      <c r="E13" s="81">
        <v>0.57171000000000005</v>
      </c>
      <c r="F13" s="81"/>
      <c r="G13" s="47"/>
      <c r="H13" s="47"/>
    </row>
    <row r="14" spans="1:8" ht="18.75" customHeight="1" x14ac:dyDescent="0.25">
      <c r="A14" s="45">
        <v>45</v>
      </c>
      <c r="B14" s="79">
        <v>1.00913E-3</v>
      </c>
      <c r="C14" s="80">
        <v>188.18</v>
      </c>
      <c r="D14" s="80">
        <v>190</v>
      </c>
      <c r="E14" s="81">
        <v>0.63785000000000003</v>
      </c>
      <c r="F14" s="81"/>
      <c r="G14" s="47"/>
      <c r="H14" s="47"/>
    </row>
    <row r="15" spans="1:8" ht="18.75" customHeight="1" x14ac:dyDescent="0.25">
      <c r="A15" s="45">
        <v>50</v>
      </c>
      <c r="B15" s="79">
        <v>1.0113500000000001E-3</v>
      </c>
      <c r="C15" s="80">
        <v>209.06</v>
      </c>
      <c r="D15" s="80">
        <v>210.88</v>
      </c>
      <c r="E15" s="81">
        <v>0.70298000000000005</v>
      </c>
      <c r="F15" s="81"/>
      <c r="G15" s="47"/>
      <c r="H15" s="47"/>
    </row>
    <row r="16" spans="1:8" ht="18.75" customHeight="1" x14ac:dyDescent="0.25">
      <c r="A16" s="45">
        <v>55</v>
      </c>
      <c r="B16" s="79">
        <v>1.0137499999999999E-3</v>
      </c>
      <c r="C16" s="80">
        <v>229.95</v>
      </c>
      <c r="D16" s="80">
        <v>231.77</v>
      </c>
      <c r="E16" s="81">
        <v>0.76712999999999998</v>
      </c>
      <c r="F16" s="81"/>
      <c r="G16" s="47"/>
      <c r="H16" s="47"/>
    </row>
    <row r="17" spans="1:8" ht="18.75" customHeight="1" x14ac:dyDescent="0.25">
      <c r="A17" s="45">
        <v>60</v>
      </c>
      <c r="B17" s="79">
        <v>1.01632E-3</v>
      </c>
      <c r="C17" s="80">
        <v>250.84</v>
      </c>
      <c r="D17" s="80">
        <v>252.67</v>
      </c>
      <c r="E17" s="81">
        <v>0.83035000000000003</v>
      </c>
      <c r="F17" s="81"/>
      <c r="G17" s="47"/>
      <c r="H17" s="47"/>
    </row>
    <row r="18" spans="1:8" ht="18.75" customHeight="1" x14ac:dyDescent="0.25">
      <c r="A18" s="45">
        <v>65</v>
      </c>
      <c r="B18" s="79">
        <v>1.01906E-3</v>
      </c>
      <c r="C18" s="80">
        <v>271.76</v>
      </c>
      <c r="D18" s="80">
        <v>273.58999999999997</v>
      </c>
      <c r="E18" s="81">
        <v>0.89265000000000005</v>
      </c>
      <c r="F18" s="81"/>
      <c r="G18" s="47"/>
      <c r="H18" s="47"/>
    </row>
    <row r="19" spans="1:8" ht="18.75" customHeight="1" x14ac:dyDescent="0.25">
      <c r="A19" s="45">
        <v>70</v>
      </c>
      <c r="B19" s="79">
        <v>1.0219599999999999E-3</v>
      </c>
      <c r="C19" s="80">
        <v>292.67</v>
      </c>
      <c r="D19" s="80">
        <v>294.51</v>
      </c>
      <c r="E19" s="81">
        <v>0.95408000000000004</v>
      </c>
      <c r="F19" s="81"/>
      <c r="G19" s="47"/>
      <c r="H19" s="47"/>
    </row>
    <row r="20" spans="1:8" ht="18.75" customHeight="1" x14ac:dyDescent="0.25">
      <c r="A20" s="45">
        <v>75</v>
      </c>
      <c r="B20" s="79">
        <v>1.02501E-3</v>
      </c>
      <c r="C20" s="80">
        <v>313.60000000000002</v>
      </c>
      <c r="D20" s="80">
        <v>315.45</v>
      </c>
      <c r="E20" s="82">
        <v>1.0146999999999999</v>
      </c>
      <c r="F20" s="82"/>
      <c r="G20" s="47"/>
      <c r="H20" s="47"/>
    </row>
    <row r="21" spans="1:8" ht="18.75" customHeight="1" x14ac:dyDescent="0.25">
      <c r="A21" s="45">
        <v>80</v>
      </c>
      <c r="B21" s="79">
        <v>1.02822E-3</v>
      </c>
      <c r="C21" s="80">
        <v>334.56</v>
      </c>
      <c r="D21" s="80">
        <v>336.41</v>
      </c>
      <c r="E21" s="82">
        <v>1.0744</v>
      </c>
      <c r="F21" s="82"/>
      <c r="G21" s="47"/>
      <c r="H21" s="47"/>
    </row>
    <row r="22" spans="1:8" ht="18.75" customHeight="1" x14ac:dyDescent="0.25">
      <c r="A22" s="45">
        <v>85</v>
      </c>
      <c r="B22" s="79">
        <v>1.03159E-3</v>
      </c>
      <c r="C22" s="80">
        <v>355.52</v>
      </c>
      <c r="D22" s="80">
        <v>357.38</v>
      </c>
      <c r="E22" s="82">
        <v>1.1334</v>
      </c>
      <c r="F22" s="82"/>
      <c r="G22" s="47"/>
      <c r="H22" s="47"/>
    </row>
    <row r="23" spans="1:8" ht="18.75" customHeight="1" x14ac:dyDescent="0.25">
      <c r="A23" s="45">
        <v>90</v>
      </c>
      <c r="B23" s="79">
        <v>1.0351E-3</v>
      </c>
      <c r="C23" s="80">
        <v>376.52</v>
      </c>
      <c r="D23" s="80">
        <v>378.38</v>
      </c>
      <c r="E23" s="82">
        <v>1.1916</v>
      </c>
      <c r="F23" s="82"/>
      <c r="G23" s="47"/>
      <c r="H23" s="47"/>
    </row>
    <row r="24" spans="1:8" ht="18.75" customHeight="1" x14ac:dyDescent="0.25">
      <c r="A24" s="45">
        <v>95</v>
      </c>
      <c r="B24" s="79">
        <v>1.0387700000000001E-3</v>
      </c>
      <c r="C24" s="80">
        <v>397.53</v>
      </c>
      <c r="D24" s="80">
        <v>399.4</v>
      </c>
      <c r="E24" s="82">
        <v>1.2491000000000001</v>
      </c>
      <c r="F24" s="82"/>
      <c r="G24" s="47"/>
      <c r="H24" s="47"/>
    </row>
    <row r="25" spans="1:8" ht="18.75" customHeight="1" x14ac:dyDescent="0.25">
      <c r="A25" s="45">
        <v>100</v>
      </c>
      <c r="B25" s="79">
        <v>1.0426000000000001E-3</v>
      </c>
      <c r="C25" s="80">
        <v>418.56</v>
      </c>
      <c r="D25" s="80">
        <v>420.44</v>
      </c>
      <c r="E25" s="82">
        <v>1.3059000000000001</v>
      </c>
      <c r="F25" s="82"/>
      <c r="G25" s="47"/>
      <c r="H25" s="47"/>
    </row>
    <row r="26" spans="1:8" ht="18.75" customHeight="1" x14ac:dyDescent="0.25">
      <c r="A26" s="45">
        <v>105</v>
      </c>
      <c r="B26" s="79">
        <v>1.0465699999999999E-3</v>
      </c>
      <c r="C26" s="80">
        <v>439.64</v>
      </c>
      <c r="D26" s="80">
        <v>441.52</v>
      </c>
      <c r="E26" s="82">
        <v>1.3620000000000001</v>
      </c>
      <c r="F26" s="82"/>
      <c r="G26" s="47"/>
      <c r="H26" s="47"/>
    </row>
    <row r="27" spans="1:8" ht="18.75" customHeight="1" x14ac:dyDescent="0.25">
      <c r="A27" s="45">
        <v>110</v>
      </c>
      <c r="B27" s="79">
        <v>1.0506999999999999E-3</v>
      </c>
      <c r="C27" s="80">
        <v>460.73</v>
      </c>
      <c r="D27" s="80">
        <v>462.62</v>
      </c>
      <c r="E27" s="82">
        <v>1.4174</v>
      </c>
      <c r="F27" s="82"/>
      <c r="G27" s="47"/>
      <c r="H27" s="47"/>
    </row>
    <row r="28" spans="1:8" ht="18.75" customHeight="1" x14ac:dyDescent="0.25">
      <c r="A28" s="45">
        <v>115</v>
      </c>
      <c r="B28" s="79">
        <v>1.0549800000000001E-3</v>
      </c>
      <c r="C28" s="80">
        <v>481.86</v>
      </c>
      <c r="D28" s="80">
        <v>483.76</v>
      </c>
      <c r="E28" s="82">
        <v>1.4722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1.0594300000000001E-3</v>
      </c>
      <c r="C29" s="80">
        <v>503.03</v>
      </c>
      <c r="D29" s="80">
        <v>504.94</v>
      </c>
      <c r="E29" s="82">
        <v>1.5265</v>
      </c>
      <c r="F29" s="82"/>
      <c r="G29" s="47"/>
      <c r="H29" s="47"/>
    </row>
    <row r="30" spans="1:8" ht="18.75" customHeight="1" x14ac:dyDescent="0.25">
      <c r="A30" s="45">
        <v>125</v>
      </c>
      <c r="B30" s="79">
        <v>1.0640300000000001E-3</v>
      </c>
      <c r="C30" s="80">
        <v>524.24</v>
      </c>
      <c r="D30" s="80">
        <v>526.16</v>
      </c>
      <c r="E30" s="82">
        <v>1.5801000000000001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1.0688E-3</v>
      </c>
      <c r="C31" s="80">
        <v>545.5</v>
      </c>
      <c r="D31" s="80">
        <v>547.41999999999996</v>
      </c>
      <c r="E31" s="82">
        <v>1.6332</v>
      </c>
      <c r="F31" s="82"/>
      <c r="G31" s="47"/>
      <c r="H31" s="47"/>
    </row>
    <row r="32" spans="1:8" ht="18.75" customHeight="1" x14ac:dyDescent="0.25">
      <c r="A32" s="45">
        <v>135</v>
      </c>
      <c r="B32" s="79">
        <v>1.0737399999999999E-3</v>
      </c>
      <c r="C32" s="80">
        <v>566.79999999999995</v>
      </c>
      <c r="D32" s="80">
        <v>568.73</v>
      </c>
      <c r="E32" s="82">
        <v>1.6857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1.0788499999999999E-3</v>
      </c>
      <c r="C33" s="80">
        <v>588.15</v>
      </c>
      <c r="D33" s="80">
        <v>590.09</v>
      </c>
      <c r="E33" s="82">
        <v>1.7377</v>
      </c>
      <c r="F33" s="82"/>
      <c r="G33" s="47"/>
      <c r="H33" s="47"/>
    </row>
    <row r="34" spans="1:8" ht="18.75" customHeight="1" x14ac:dyDescent="0.25">
      <c r="A34" s="45">
        <v>145</v>
      </c>
      <c r="B34" s="79">
        <v>1.0841399999999999E-3</v>
      </c>
      <c r="C34" s="80">
        <v>609.57000000000005</v>
      </c>
      <c r="D34" s="80">
        <v>611.52</v>
      </c>
      <c r="E34" s="82">
        <v>1.7892999999999999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1.08961E-3</v>
      </c>
      <c r="C35" s="80">
        <v>631.04</v>
      </c>
      <c r="D35" s="80">
        <v>633</v>
      </c>
      <c r="E35" s="82">
        <v>1.8403</v>
      </c>
      <c r="F35" s="82"/>
      <c r="G35" s="47"/>
      <c r="H35" s="47"/>
    </row>
    <row r="36" spans="1:8" ht="18.75" customHeight="1" x14ac:dyDescent="0.25">
      <c r="A36" s="45">
        <v>155</v>
      </c>
      <c r="B36" s="79">
        <v>1.09527E-3</v>
      </c>
      <c r="C36" s="80">
        <v>652.57000000000005</v>
      </c>
      <c r="D36" s="80">
        <v>654.54</v>
      </c>
      <c r="E36" s="82">
        <v>1.8909</v>
      </c>
      <c r="F36" s="82"/>
      <c r="G36" s="47"/>
      <c r="H36" s="47"/>
    </row>
    <row r="37" spans="1:8" ht="18.75" customHeight="1" x14ac:dyDescent="0.25">
      <c r="A37" s="45">
        <v>160</v>
      </c>
      <c r="B37" s="79">
        <v>1.1011300000000001E-3</v>
      </c>
      <c r="C37" s="80">
        <v>674.18</v>
      </c>
      <c r="D37" s="80">
        <v>676.16</v>
      </c>
      <c r="E37" s="82">
        <v>1.9411</v>
      </c>
      <c r="F37" s="82"/>
      <c r="G37" s="47"/>
      <c r="H37" s="47"/>
    </row>
    <row r="38" spans="1:8" ht="18.75" customHeight="1" x14ac:dyDescent="0.25">
      <c r="A38" s="45">
        <v>165</v>
      </c>
      <c r="B38" s="79">
        <v>1.1072E-3</v>
      </c>
      <c r="C38" s="80">
        <v>695.87</v>
      </c>
      <c r="D38" s="80">
        <v>697.86</v>
      </c>
      <c r="E38" s="82">
        <v>1.9908999999999999</v>
      </c>
      <c r="F38" s="82"/>
      <c r="G38" s="47"/>
      <c r="H38" s="47"/>
    </row>
    <row r="39" spans="1:8" ht="18.75" customHeight="1" x14ac:dyDescent="0.25">
      <c r="A39" s="45">
        <v>170</v>
      </c>
      <c r="B39" s="79">
        <v>1.11348E-3</v>
      </c>
      <c r="C39" s="80">
        <v>717.63</v>
      </c>
      <c r="D39" s="80">
        <v>719.63</v>
      </c>
      <c r="E39" s="82">
        <v>2.0404</v>
      </c>
      <c r="F39" s="82"/>
      <c r="G39" s="47"/>
      <c r="H39" s="47"/>
    </row>
    <row r="40" spans="1:8" ht="18.75" customHeight="1" x14ac:dyDescent="0.25">
      <c r="A40" s="45">
        <v>175</v>
      </c>
      <c r="B40" s="79">
        <v>1.11998E-3</v>
      </c>
      <c r="C40" s="80">
        <v>739.48</v>
      </c>
      <c r="D40" s="80">
        <v>741.5</v>
      </c>
      <c r="E40" s="82">
        <v>2.0893999999999999</v>
      </c>
      <c r="F40" s="82"/>
      <c r="G40" s="47"/>
      <c r="H40" s="47"/>
    </row>
    <row r="41" spans="1:8" ht="18.75" customHeight="1" x14ac:dyDescent="0.25">
      <c r="A41" s="45">
        <v>180</v>
      </c>
      <c r="B41" s="79">
        <v>1.1267199999999999E-3</v>
      </c>
      <c r="C41" s="80">
        <v>761.43</v>
      </c>
      <c r="D41" s="80">
        <v>763.46</v>
      </c>
      <c r="E41" s="82">
        <v>2.1381999999999999</v>
      </c>
      <c r="F41" s="82"/>
      <c r="G41" s="47"/>
      <c r="H41" s="47"/>
    </row>
    <row r="42" spans="1:8" ht="18.75" customHeight="1" x14ac:dyDescent="0.25">
      <c r="A42" s="45">
        <v>185</v>
      </c>
      <c r="B42" s="79">
        <v>1.1337000000000001E-3</v>
      </c>
      <c r="C42" s="80">
        <v>783.47</v>
      </c>
      <c r="D42" s="80">
        <v>785.51</v>
      </c>
      <c r="E42" s="82">
        <v>2.1865999999999999</v>
      </c>
      <c r="F42" s="82"/>
      <c r="G42" s="47"/>
      <c r="H42" s="47"/>
    </row>
    <row r="43" spans="1:8" ht="18.75" customHeight="1" x14ac:dyDescent="0.25">
      <c r="A43" s="45">
        <v>190</v>
      </c>
      <c r="B43" s="79">
        <v>1.14095E-3</v>
      </c>
      <c r="C43" s="80">
        <v>805.63</v>
      </c>
      <c r="D43" s="80">
        <v>807.68</v>
      </c>
      <c r="E43" s="82">
        <v>2.2347000000000001</v>
      </c>
      <c r="F43" s="82"/>
      <c r="G43" s="47"/>
      <c r="H43" s="47"/>
    </row>
    <row r="44" spans="1:8" ht="18.75" customHeight="1" x14ac:dyDescent="0.25">
      <c r="A44" s="45">
        <v>195</v>
      </c>
      <c r="B44" s="79">
        <v>1.14847E-3</v>
      </c>
      <c r="C44" s="80">
        <v>827.89</v>
      </c>
      <c r="D44" s="80">
        <v>829.96</v>
      </c>
      <c r="E44" s="82">
        <v>2.2825000000000002</v>
      </c>
      <c r="F44" s="82"/>
      <c r="G44" s="47"/>
      <c r="H44" s="47"/>
    </row>
    <row r="45" spans="1:8" ht="18.75" customHeight="1" x14ac:dyDescent="0.25">
      <c r="A45" s="45">
        <v>200</v>
      </c>
      <c r="B45" s="79">
        <v>1.15628E-3</v>
      </c>
      <c r="C45" s="80">
        <v>850.29</v>
      </c>
      <c r="D45" s="80">
        <v>852.37</v>
      </c>
      <c r="E45" s="82">
        <v>2.3300999999999998</v>
      </c>
      <c r="F45" s="82"/>
      <c r="G45" s="47"/>
      <c r="H45" s="47"/>
    </row>
    <row r="46" spans="1:8" ht="18.75" customHeight="1" x14ac:dyDescent="0.25">
      <c r="A46" s="45">
        <v>210</v>
      </c>
      <c r="B46" s="81">
        <v>0.11144999999999999</v>
      </c>
      <c r="C46" s="83">
        <v>2604.1</v>
      </c>
      <c r="D46" s="83">
        <v>2804.7</v>
      </c>
      <c r="E46" s="82">
        <v>6.3958000000000004</v>
      </c>
      <c r="F46" s="82"/>
      <c r="G46" s="47"/>
      <c r="H46" s="47"/>
    </row>
    <row r="47" spans="1:8" ht="18.75" customHeight="1" x14ac:dyDescent="0.25">
      <c r="A47" s="45">
        <v>220</v>
      </c>
      <c r="B47" s="81">
        <v>0.11505</v>
      </c>
      <c r="C47" s="83">
        <v>2626.4</v>
      </c>
      <c r="D47" s="83">
        <v>2833.5</v>
      </c>
      <c r="E47" s="82">
        <v>6.4547999999999996</v>
      </c>
      <c r="F47" s="82"/>
      <c r="G47" s="47"/>
      <c r="H47" s="47"/>
    </row>
    <row r="48" spans="1:8" ht="18.75" customHeight="1" x14ac:dyDescent="0.25">
      <c r="A48" s="45">
        <v>230</v>
      </c>
      <c r="B48" s="81">
        <v>0.11848</v>
      </c>
      <c r="C48" s="83">
        <v>2647.3</v>
      </c>
      <c r="D48" s="83">
        <v>2860.6</v>
      </c>
      <c r="E48" s="82">
        <v>6.5091999999999999</v>
      </c>
      <c r="F48" s="82"/>
      <c r="G48" s="47"/>
      <c r="H48" s="47"/>
    </row>
    <row r="49" spans="1:8" ht="18.75" customHeight="1" x14ac:dyDescent="0.25">
      <c r="A49" s="45">
        <v>240</v>
      </c>
      <c r="B49" s="81">
        <v>0.12180000000000001</v>
      </c>
      <c r="C49" s="83">
        <v>2667.4</v>
      </c>
      <c r="D49" s="83">
        <v>2886.6</v>
      </c>
      <c r="E49" s="82">
        <v>6.5602</v>
      </c>
      <c r="F49" s="82"/>
      <c r="G49" s="47"/>
      <c r="H49" s="47"/>
    </row>
    <row r="50" spans="1:8" ht="18.75" customHeight="1" x14ac:dyDescent="0.25">
      <c r="A50" s="45">
        <v>250</v>
      </c>
      <c r="B50" s="81">
        <v>0.12501999999999999</v>
      </c>
      <c r="C50" s="83">
        <v>2686.7</v>
      </c>
      <c r="D50" s="83">
        <v>2911.7</v>
      </c>
      <c r="E50" s="82">
        <v>6.6086999999999998</v>
      </c>
      <c r="F50" s="82"/>
      <c r="G50" s="47"/>
      <c r="H50" s="47"/>
    </row>
    <row r="51" spans="1:8" ht="18.75" customHeight="1" x14ac:dyDescent="0.25">
      <c r="A51" s="45">
        <v>260</v>
      </c>
      <c r="B51" s="81">
        <v>0.12817000000000001</v>
      </c>
      <c r="C51" s="83">
        <v>2705.5</v>
      </c>
      <c r="D51" s="83">
        <v>2936.2</v>
      </c>
      <c r="E51" s="82">
        <v>6.6551</v>
      </c>
      <c r="F51" s="82"/>
      <c r="G51" s="47"/>
      <c r="H51" s="47"/>
    </row>
    <row r="52" spans="1:8" ht="18.75" customHeight="1" x14ac:dyDescent="0.25">
      <c r="A52" s="45">
        <v>270</v>
      </c>
      <c r="B52" s="81">
        <v>0.13125999999999999</v>
      </c>
      <c r="C52" s="83">
        <v>2723.8</v>
      </c>
      <c r="D52" s="83">
        <v>2960.1</v>
      </c>
      <c r="E52" s="82">
        <v>6.6996000000000002</v>
      </c>
      <c r="F52" s="82"/>
      <c r="G52" s="47"/>
      <c r="H52" s="47"/>
    </row>
    <row r="53" spans="1:8" ht="18.75" customHeight="1" x14ac:dyDescent="0.25">
      <c r="A53" s="45">
        <v>280</v>
      </c>
      <c r="B53" s="81">
        <v>0.1343</v>
      </c>
      <c r="C53" s="83">
        <v>2742</v>
      </c>
      <c r="D53" s="83">
        <v>2983.7</v>
      </c>
      <c r="E53" s="82">
        <v>6.7426000000000004</v>
      </c>
      <c r="F53" s="82"/>
      <c r="G53" s="47"/>
      <c r="H53" s="47"/>
    </row>
    <row r="54" spans="1:8" ht="18.75" customHeight="1" x14ac:dyDescent="0.25">
      <c r="A54" s="45">
        <v>290</v>
      </c>
      <c r="B54" s="81">
        <v>0.13729</v>
      </c>
      <c r="C54" s="83">
        <v>2759.8</v>
      </c>
      <c r="D54" s="83">
        <v>3006.9</v>
      </c>
      <c r="E54" s="82">
        <v>6.7842000000000002</v>
      </c>
      <c r="F54" s="82"/>
      <c r="G54" s="47"/>
      <c r="H54" s="47"/>
    </row>
    <row r="55" spans="1:8" ht="18.75" customHeight="1" x14ac:dyDescent="0.25">
      <c r="A55" s="45">
        <v>300</v>
      </c>
      <c r="B55" s="81">
        <v>0.14025000000000001</v>
      </c>
      <c r="C55" s="83">
        <v>2777.4</v>
      </c>
      <c r="D55" s="83">
        <v>3029.9</v>
      </c>
      <c r="E55" s="82">
        <v>6.8246000000000002</v>
      </c>
      <c r="F55" s="82"/>
      <c r="G55" s="47"/>
      <c r="H55" s="47"/>
    </row>
    <row r="56" spans="1:8" ht="18.75" customHeight="1" x14ac:dyDescent="0.25">
      <c r="A56" s="45">
        <v>310</v>
      </c>
      <c r="B56" s="81">
        <v>0.14316999999999999</v>
      </c>
      <c r="C56" s="83">
        <v>2794.9</v>
      </c>
      <c r="D56" s="83">
        <v>3052.6</v>
      </c>
      <c r="E56" s="82">
        <v>6.8639000000000001</v>
      </c>
      <c r="F56" s="82"/>
      <c r="G56" s="47"/>
      <c r="H56" s="47"/>
    </row>
    <row r="57" spans="1:8" ht="18.75" customHeight="1" x14ac:dyDescent="0.25">
      <c r="A57" s="45">
        <v>320</v>
      </c>
      <c r="B57" s="81">
        <v>0.14606</v>
      </c>
      <c r="C57" s="83">
        <v>2812.2</v>
      </c>
      <c r="D57" s="83">
        <v>3075.1</v>
      </c>
      <c r="E57" s="82">
        <v>6.9021999999999997</v>
      </c>
      <c r="F57" s="82"/>
      <c r="G57" s="47"/>
      <c r="H57" s="47"/>
    </row>
    <row r="58" spans="1:8" ht="18.75" customHeight="1" x14ac:dyDescent="0.25">
      <c r="A58" s="45">
        <v>330</v>
      </c>
      <c r="B58" s="81">
        <v>0.14893000000000001</v>
      </c>
      <c r="C58" s="83">
        <v>2829.4</v>
      </c>
      <c r="D58" s="83">
        <v>3097.5</v>
      </c>
      <c r="E58" s="82">
        <v>6.9396000000000004</v>
      </c>
      <c r="F58" s="82"/>
      <c r="G58" s="47"/>
      <c r="H58" s="47"/>
    </row>
    <row r="59" spans="1:8" ht="18.75" customHeight="1" x14ac:dyDescent="0.25">
      <c r="A59" s="45">
        <v>340</v>
      </c>
      <c r="B59" s="81">
        <v>0.15176999999999999</v>
      </c>
      <c r="C59" s="83">
        <v>2846.5</v>
      </c>
      <c r="D59" s="83">
        <v>3119.7</v>
      </c>
      <c r="E59" s="82">
        <v>6.9760999999999997</v>
      </c>
      <c r="F59" s="82"/>
      <c r="G59" s="47"/>
      <c r="H59" s="47"/>
    </row>
    <row r="60" spans="1:8" ht="18.75" customHeight="1" x14ac:dyDescent="0.25">
      <c r="A60" s="45">
        <v>350</v>
      </c>
      <c r="B60" s="81">
        <v>0.15459999999999999</v>
      </c>
      <c r="C60" s="83">
        <v>2863.5</v>
      </c>
      <c r="D60" s="83">
        <v>3141.8</v>
      </c>
      <c r="E60" s="82">
        <v>7.0119999999999996</v>
      </c>
      <c r="F60" s="82"/>
      <c r="G60" s="47"/>
      <c r="H60" s="47"/>
    </row>
    <row r="61" spans="1:8" ht="18.75" customHeight="1" x14ac:dyDescent="0.25">
      <c r="A61" s="45">
        <v>360</v>
      </c>
      <c r="B61" s="81">
        <v>0.15740999999999999</v>
      </c>
      <c r="C61" s="83">
        <v>2880.6</v>
      </c>
      <c r="D61" s="83">
        <v>3163.9</v>
      </c>
      <c r="E61" s="82">
        <v>7.0471000000000004</v>
      </c>
      <c r="F61" s="82"/>
      <c r="G61" s="47"/>
      <c r="H61" s="47"/>
    </row>
    <row r="62" spans="1:8" ht="18.75" customHeight="1" x14ac:dyDescent="0.25">
      <c r="A62" s="45">
        <v>370</v>
      </c>
      <c r="B62" s="81">
        <v>0.16020000000000001</v>
      </c>
      <c r="C62" s="83">
        <v>2897.5</v>
      </c>
      <c r="D62" s="83">
        <v>3185.9</v>
      </c>
      <c r="E62" s="82">
        <v>7.0815000000000001</v>
      </c>
      <c r="F62" s="82"/>
      <c r="G62" s="47"/>
      <c r="H62" s="47"/>
    </row>
    <row r="63" spans="1:8" ht="18.75" customHeight="1" x14ac:dyDescent="0.25">
      <c r="A63" s="45">
        <v>380</v>
      </c>
      <c r="B63" s="81">
        <v>0.16297</v>
      </c>
      <c r="C63" s="83">
        <v>2914.5</v>
      </c>
      <c r="D63" s="83">
        <v>3207.8</v>
      </c>
      <c r="E63" s="82">
        <v>7.1154000000000002</v>
      </c>
      <c r="F63" s="82"/>
      <c r="G63" s="47"/>
      <c r="H63" s="47"/>
    </row>
    <row r="64" spans="1:8" ht="18.75" customHeight="1" x14ac:dyDescent="0.25">
      <c r="A64" s="45">
        <v>390</v>
      </c>
      <c r="B64" s="81">
        <v>0.16572999999999999</v>
      </c>
      <c r="C64" s="83">
        <v>2931.4</v>
      </c>
      <c r="D64" s="83">
        <v>3229.7</v>
      </c>
      <c r="E64" s="82">
        <v>7.1486999999999998</v>
      </c>
      <c r="F64" s="82"/>
      <c r="G64" s="47"/>
      <c r="H64" s="47"/>
    </row>
    <row r="65" spans="1:8" ht="18.75" customHeight="1" x14ac:dyDescent="0.25">
      <c r="A65" s="45">
        <v>400</v>
      </c>
      <c r="B65" s="81">
        <v>0.16849</v>
      </c>
      <c r="C65" s="83">
        <v>2948.3</v>
      </c>
      <c r="D65" s="83">
        <v>3251.6</v>
      </c>
      <c r="E65" s="82">
        <v>7.1814</v>
      </c>
      <c r="F65" s="82"/>
      <c r="G65" s="47"/>
      <c r="H65" s="47"/>
    </row>
    <row r="66" spans="1:8" ht="18.75" customHeight="1" x14ac:dyDescent="0.25">
      <c r="A66" s="45">
        <v>410</v>
      </c>
      <c r="B66" s="81">
        <v>0.17122000000000001</v>
      </c>
      <c r="C66" s="83">
        <v>2965.3</v>
      </c>
      <c r="D66" s="83">
        <v>3273.5</v>
      </c>
      <c r="E66" s="82">
        <v>7.2135999999999996</v>
      </c>
      <c r="F66" s="82"/>
      <c r="G66" s="47"/>
      <c r="H66" s="47"/>
    </row>
    <row r="67" spans="1:8" ht="18.75" customHeight="1" x14ac:dyDescent="0.25">
      <c r="A67" s="45">
        <v>420</v>
      </c>
      <c r="B67" s="81">
        <v>0.17394999999999999</v>
      </c>
      <c r="C67" s="83">
        <v>2982.2</v>
      </c>
      <c r="D67" s="83">
        <v>3295.3</v>
      </c>
      <c r="E67" s="82">
        <v>7.2454000000000001</v>
      </c>
      <c r="F67" s="82"/>
      <c r="G67" s="47"/>
      <c r="H67" s="47"/>
    </row>
    <row r="68" spans="1:8" ht="18.75" customHeight="1" x14ac:dyDescent="0.25">
      <c r="A68" s="45">
        <v>430</v>
      </c>
      <c r="B68" s="81">
        <v>0.17666999999999999</v>
      </c>
      <c r="C68" s="83">
        <v>2999.2</v>
      </c>
      <c r="D68" s="83">
        <v>3317.2</v>
      </c>
      <c r="E68" s="82">
        <v>7.2766999999999999</v>
      </c>
      <c r="F68" s="82"/>
      <c r="G68" s="47"/>
      <c r="H68" s="47"/>
    </row>
    <row r="69" spans="1:8" ht="18.75" customHeight="1" x14ac:dyDescent="0.25">
      <c r="A69" s="45">
        <v>440</v>
      </c>
      <c r="B69" s="81">
        <v>0.17938999999999999</v>
      </c>
      <c r="C69" s="83">
        <v>3016.1</v>
      </c>
      <c r="D69" s="83">
        <v>3339</v>
      </c>
      <c r="E69" s="82">
        <v>7.3075000000000001</v>
      </c>
      <c r="F69" s="82"/>
      <c r="G69" s="47"/>
      <c r="H69" s="47"/>
    </row>
    <row r="70" spans="1:8" ht="18.75" customHeight="1" x14ac:dyDescent="0.25">
      <c r="A70" s="45">
        <v>450</v>
      </c>
      <c r="B70" s="81">
        <v>0.18209</v>
      </c>
      <c r="C70" s="83">
        <v>3033.1</v>
      </c>
      <c r="D70" s="83">
        <v>3360.9</v>
      </c>
      <c r="E70" s="82">
        <v>7.3380000000000001</v>
      </c>
      <c r="F70" s="82"/>
      <c r="G70" s="47"/>
      <c r="H70" s="47"/>
    </row>
    <row r="71" spans="1:8" ht="18.75" customHeight="1" x14ac:dyDescent="0.25">
      <c r="A71" s="45">
        <v>460</v>
      </c>
      <c r="B71" s="81">
        <v>0.18479000000000001</v>
      </c>
      <c r="C71" s="83">
        <v>3050.1</v>
      </c>
      <c r="D71" s="83">
        <v>3382.7</v>
      </c>
      <c r="E71" s="82">
        <v>7.3680000000000003</v>
      </c>
      <c r="F71" s="82"/>
      <c r="G71" s="47"/>
      <c r="H71" s="47"/>
    </row>
    <row r="72" spans="1:8" ht="18.75" customHeight="1" x14ac:dyDescent="0.25">
      <c r="A72" s="45">
        <v>470</v>
      </c>
      <c r="B72" s="81">
        <v>0.18748000000000001</v>
      </c>
      <c r="C72" s="83">
        <v>3067.1</v>
      </c>
      <c r="D72" s="83">
        <v>3404.6</v>
      </c>
      <c r="E72" s="82">
        <v>7.3975999999999997</v>
      </c>
      <c r="F72" s="82"/>
      <c r="G72" s="47"/>
      <c r="H72" s="47"/>
    </row>
    <row r="73" spans="1:8" ht="18.75" customHeight="1" x14ac:dyDescent="0.25">
      <c r="A73" s="45">
        <v>480</v>
      </c>
      <c r="B73" s="81">
        <v>0.19016</v>
      </c>
      <c r="C73" s="83">
        <v>3084.2</v>
      </c>
      <c r="D73" s="83">
        <v>3426.5</v>
      </c>
      <c r="E73" s="82">
        <v>7.4268999999999998</v>
      </c>
      <c r="F73" s="82"/>
      <c r="G73" s="47"/>
      <c r="H73" s="47"/>
    </row>
    <row r="74" spans="1:8" ht="18.75" customHeight="1" x14ac:dyDescent="0.25">
      <c r="A74" s="45">
        <v>490</v>
      </c>
      <c r="B74" s="81">
        <v>0.19284000000000001</v>
      </c>
      <c r="C74" s="83">
        <v>3101.4</v>
      </c>
      <c r="D74" s="83">
        <v>3448.5</v>
      </c>
      <c r="E74" s="82">
        <v>7.4558999999999997</v>
      </c>
      <c r="F74" s="82"/>
      <c r="G74" s="47"/>
      <c r="H74" s="47"/>
    </row>
    <row r="75" spans="1:8" ht="18.75" customHeight="1" x14ac:dyDescent="0.25">
      <c r="A75" s="45">
        <v>500</v>
      </c>
      <c r="B75" s="81">
        <v>0.19550999999999999</v>
      </c>
      <c r="C75" s="83">
        <v>3118.5</v>
      </c>
      <c r="D75" s="83">
        <v>3470.4</v>
      </c>
      <c r="E75" s="82">
        <v>7.4844999999999997</v>
      </c>
      <c r="F75" s="82"/>
      <c r="G75" s="47"/>
      <c r="H75" s="47"/>
    </row>
    <row r="76" spans="1:8" ht="18.75" customHeight="1" x14ac:dyDescent="0.25">
      <c r="A76" s="45">
        <v>520</v>
      </c>
      <c r="B76" s="81">
        <v>0.20083999999999999</v>
      </c>
      <c r="C76" s="83">
        <v>3153</v>
      </c>
      <c r="D76" s="83">
        <v>3514.5</v>
      </c>
      <c r="E76" s="82">
        <v>7.5407000000000002</v>
      </c>
      <c r="F76" s="82"/>
      <c r="G76" s="47"/>
      <c r="H76" s="47"/>
    </row>
    <row r="77" spans="1:8" ht="18.75" customHeight="1" x14ac:dyDescent="0.25">
      <c r="A77" s="45">
        <v>540</v>
      </c>
      <c r="B77" s="81">
        <v>0.20615</v>
      </c>
      <c r="C77" s="83">
        <v>3187.6</v>
      </c>
      <c r="D77" s="83">
        <v>3558.7</v>
      </c>
      <c r="E77" s="82">
        <v>7.5956999999999999</v>
      </c>
      <c r="F77" s="82"/>
      <c r="G77" s="47"/>
      <c r="H77" s="47"/>
    </row>
    <row r="78" spans="1:8" ht="18.75" customHeight="1" x14ac:dyDescent="0.25">
      <c r="A78" s="45">
        <v>560</v>
      </c>
      <c r="B78" s="81">
        <v>0.21145</v>
      </c>
      <c r="C78" s="83">
        <v>3222.4</v>
      </c>
      <c r="D78" s="83">
        <v>3603</v>
      </c>
      <c r="E78" s="82">
        <v>7.6496000000000004</v>
      </c>
      <c r="F78" s="82"/>
      <c r="G78" s="47"/>
      <c r="H78" s="47"/>
    </row>
    <row r="79" spans="1:8" ht="18.75" customHeight="1" x14ac:dyDescent="0.25">
      <c r="A79" s="45">
        <v>580</v>
      </c>
      <c r="B79" s="81">
        <v>0.21673000000000001</v>
      </c>
      <c r="C79" s="83">
        <v>3257.5</v>
      </c>
      <c r="D79" s="83">
        <v>3647.6</v>
      </c>
      <c r="E79" s="82">
        <v>7.7024999999999997</v>
      </c>
      <c r="F79" s="82"/>
      <c r="G79" s="47"/>
      <c r="H79" s="47"/>
    </row>
    <row r="80" spans="1:8" ht="18.75" customHeight="1" x14ac:dyDescent="0.25">
      <c r="A80" s="45">
        <v>600</v>
      </c>
      <c r="B80" s="81">
        <v>0.222</v>
      </c>
      <c r="C80" s="83">
        <v>3292.7</v>
      </c>
      <c r="D80" s="83">
        <v>3692.3</v>
      </c>
      <c r="E80" s="82">
        <v>7.7542999999999997</v>
      </c>
      <c r="F80" s="82"/>
      <c r="G80" s="47"/>
      <c r="H80" s="47"/>
    </row>
    <row r="81" spans="1:8" ht="18.75" customHeight="1" x14ac:dyDescent="0.25">
      <c r="A81" s="45">
        <v>620</v>
      </c>
      <c r="B81" s="81">
        <v>0.22725999999999999</v>
      </c>
      <c r="C81" s="83">
        <v>3328.2</v>
      </c>
      <c r="D81" s="83">
        <v>3737.3</v>
      </c>
      <c r="E81" s="82">
        <v>7.8052000000000001</v>
      </c>
      <c r="F81" s="82"/>
      <c r="G81" s="47"/>
      <c r="H81" s="47"/>
    </row>
    <row r="82" spans="1:8" ht="18.75" customHeight="1" x14ac:dyDescent="0.25">
      <c r="A82" s="45">
        <v>640</v>
      </c>
      <c r="B82" s="81">
        <v>0.23250999999999999</v>
      </c>
      <c r="C82" s="83">
        <v>3363.9</v>
      </c>
      <c r="D82" s="83">
        <v>3782.4</v>
      </c>
      <c r="E82" s="82">
        <v>7.8552</v>
      </c>
      <c r="F82" s="82"/>
      <c r="G82" s="47"/>
      <c r="H82" s="47"/>
    </row>
    <row r="83" spans="1:8" ht="18.75" customHeight="1" x14ac:dyDescent="0.25">
      <c r="A83" s="45">
        <v>660</v>
      </c>
      <c r="B83" s="81">
        <v>0.23774999999999999</v>
      </c>
      <c r="C83" s="83">
        <v>3399.9</v>
      </c>
      <c r="D83" s="83">
        <v>3827.8</v>
      </c>
      <c r="E83" s="82">
        <v>7.9043999999999999</v>
      </c>
      <c r="F83" s="82"/>
      <c r="G83" s="47"/>
      <c r="H83" s="47"/>
    </row>
    <row r="84" spans="1:8" ht="18.75" customHeight="1" x14ac:dyDescent="0.25">
      <c r="A84" s="45">
        <v>680</v>
      </c>
      <c r="B84" s="81">
        <v>0.24299000000000001</v>
      </c>
      <c r="C84" s="83">
        <v>3436.1</v>
      </c>
      <c r="D84" s="83">
        <v>3873.5</v>
      </c>
      <c r="E84" s="82">
        <v>7.9527999999999999</v>
      </c>
      <c r="F84" s="82"/>
      <c r="G84" s="47"/>
      <c r="H84" s="47"/>
    </row>
    <row r="85" spans="1:8" ht="18.75" customHeight="1" x14ac:dyDescent="0.25">
      <c r="A85" s="45">
        <v>700</v>
      </c>
      <c r="B85" s="81">
        <v>0.24820999999999999</v>
      </c>
      <c r="C85" s="83">
        <v>3472.6</v>
      </c>
      <c r="D85" s="83">
        <v>3919.4</v>
      </c>
      <c r="E85" s="82">
        <v>8.0004000000000008</v>
      </c>
      <c r="F85" s="82"/>
      <c r="G85" s="47"/>
      <c r="H85" s="47"/>
    </row>
    <row r="86" spans="1:8" ht="18.75" customHeight="1" x14ac:dyDescent="0.25">
      <c r="A86" s="45">
        <v>720</v>
      </c>
      <c r="B86" s="81">
        <v>0.25342999999999999</v>
      </c>
      <c r="C86" s="83">
        <v>3509.3</v>
      </c>
      <c r="D86" s="83">
        <v>3965.5</v>
      </c>
      <c r="E86" s="82">
        <v>8.0472999999999999</v>
      </c>
      <c r="F86" s="82"/>
      <c r="G86" s="47"/>
      <c r="H86" s="47"/>
    </row>
    <row r="87" spans="1:8" ht="18.75" customHeight="1" x14ac:dyDescent="0.25">
      <c r="A87" s="45">
        <v>740</v>
      </c>
      <c r="B87" s="81">
        <v>0.25864999999999999</v>
      </c>
      <c r="C87" s="83">
        <v>3546.2</v>
      </c>
      <c r="D87" s="83">
        <v>4011.8</v>
      </c>
      <c r="E87" s="82">
        <v>8.0936000000000003</v>
      </c>
      <c r="F87" s="82"/>
      <c r="G87" s="47"/>
      <c r="H87" s="47"/>
    </row>
    <row r="88" spans="1:8" ht="18.75" customHeight="1" x14ac:dyDescent="0.25">
      <c r="A88" s="45">
        <v>760</v>
      </c>
      <c r="B88" s="81">
        <v>0.26385999999999998</v>
      </c>
      <c r="C88" s="83">
        <v>3583.5</v>
      </c>
      <c r="D88" s="83">
        <v>4058.4</v>
      </c>
      <c r="E88" s="82">
        <v>8.1390999999999991</v>
      </c>
      <c r="F88" s="82"/>
      <c r="G88" s="47"/>
      <c r="H88" s="47"/>
    </row>
    <row r="89" spans="1:8" ht="18.75" customHeight="1" x14ac:dyDescent="0.25">
      <c r="A89" s="45">
        <v>780</v>
      </c>
      <c r="B89" s="81">
        <v>0.26906000000000002</v>
      </c>
      <c r="C89" s="83">
        <v>3621</v>
      </c>
      <c r="D89" s="83">
        <v>4105.3</v>
      </c>
      <c r="E89" s="82">
        <v>8.1839999999999993</v>
      </c>
      <c r="F89" s="82"/>
      <c r="G89" s="47"/>
      <c r="H89" s="47"/>
    </row>
    <row r="90" spans="1:8" ht="18.75" customHeight="1" x14ac:dyDescent="0.25">
      <c r="A90" s="45">
        <v>800</v>
      </c>
      <c r="B90" s="81">
        <v>0.27426</v>
      </c>
      <c r="C90" s="83">
        <v>3658.7</v>
      </c>
      <c r="D90" s="83">
        <v>4152.3999999999996</v>
      </c>
      <c r="E90" s="82">
        <v>8.2284000000000006</v>
      </c>
      <c r="F90" s="82"/>
      <c r="G90" s="47"/>
      <c r="H90" s="47"/>
    </row>
    <row r="91" spans="1:8" ht="18.75" customHeight="1" x14ac:dyDescent="0.25">
      <c r="A91" s="45">
        <v>820</v>
      </c>
      <c r="B91" s="81">
        <v>0.27944999999999998</v>
      </c>
      <c r="C91" s="83">
        <v>3696.8</v>
      </c>
      <c r="D91" s="83">
        <v>4199.8</v>
      </c>
      <c r="E91" s="82">
        <v>8.2721</v>
      </c>
      <c r="F91" s="82"/>
      <c r="G91" s="47"/>
      <c r="H91" s="47"/>
    </row>
    <row r="92" spans="1:8" ht="18.75" customHeight="1" x14ac:dyDescent="0.25">
      <c r="A92" s="45">
        <v>840</v>
      </c>
      <c r="B92" s="81">
        <v>0.28464</v>
      </c>
      <c r="C92" s="83">
        <v>3735</v>
      </c>
      <c r="D92" s="83">
        <v>4247.3999999999996</v>
      </c>
      <c r="E92" s="82">
        <v>8.3153000000000006</v>
      </c>
      <c r="F92" s="82"/>
      <c r="G92" s="47"/>
      <c r="H92" s="47"/>
    </row>
    <row r="93" spans="1:8" ht="18.75" customHeight="1" x14ac:dyDescent="0.25">
      <c r="A93" s="45">
        <v>860</v>
      </c>
      <c r="B93" s="81">
        <v>0.28982999999999998</v>
      </c>
      <c r="C93" s="83">
        <v>3773.6</v>
      </c>
      <c r="D93" s="83">
        <v>4295.3</v>
      </c>
      <c r="E93" s="82">
        <v>8.3579000000000008</v>
      </c>
      <c r="F93" s="82"/>
      <c r="G93" s="47"/>
      <c r="H93" s="47"/>
    </row>
    <row r="94" spans="1:8" ht="18.75" customHeight="1" x14ac:dyDescent="0.25">
      <c r="A94" s="45">
        <v>880</v>
      </c>
      <c r="B94" s="81">
        <v>0.29502</v>
      </c>
      <c r="C94" s="83">
        <v>3812.5</v>
      </c>
      <c r="D94" s="83">
        <v>4343.5</v>
      </c>
      <c r="E94" s="82">
        <v>8.4</v>
      </c>
      <c r="F94" s="82"/>
      <c r="G94" s="47"/>
      <c r="H94" s="47"/>
    </row>
    <row r="95" spans="1:8" ht="18.75" customHeight="1" x14ac:dyDescent="0.25">
      <c r="A95" s="45">
        <v>900</v>
      </c>
      <c r="B95" s="81">
        <v>0.30020000000000002</v>
      </c>
      <c r="C95" s="83">
        <v>3851.5</v>
      </c>
      <c r="D95" s="83">
        <v>4391.8999999999996</v>
      </c>
      <c r="E95" s="82">
        <v>8.4415999999999993</v>
      </c>
      <c r="F95" s="82"/>
      <c r="G95" s="47"/>
      <c r="H95" s="47"/>
    </row>
    <row r="96" spans="1:8" ht="18.75" customHeight="1" x14ac:dyDescent="0.25">
      <c r="A96" s="45">
        <v>920</v>
      </c>
      <c r="B96" s="81">
        <v>0.30536999999999997</v>
      </c>
      <c r="C96" s="83">
        <v>3890.8</v>
      </c>
      <c r="D96" s="83">
        <v>4440.5</v>
      </c>
      <c r="E96" s="82">
        <v>8.4827999999999992</v>
      </c>
      <c r="F96" s="82"/>
      <c r="G96" s="47"/>
      <c r="H96" s="47"/>
    </row>
    <row r="97" spans="1:8" ht="18.75" customHeight="1" x14ac:dyDescent="0.25">
      <c r="A97" s="45">
        <v>940</v>
      </c>
      <c r="B97" s="81">
        <v>0.31054999999999999</v>
      </c>
      <c r="C97" s="83">
        <v>3930.4</v>
      </c>
      <c r="D97" s="83">
        <v>4489.3999999999996</v>
      </c>
      <c r="E97" s="82">
        <v>8.5234000000000005</v>
      </c>
      <c r="F97" s="82"/>
      <c r="G97" s="47"/>
      <c r="H97" s="47"/>
    </row>
    <row r="98" spans="1:8" ht="18.75" customHeight="1" x14ac:dyDescent="0.25">
      <c r="A98" s="45">
        <v>960</v>
      </c>
      <c r="B98" s="81">
        <v>0.31572</v>
      </c>
      <c r="C98" s="83">
        <v>3970.3</v>
      </c>
      <c r="D98" s="83">
        <v>4538.6000000000004</v>
      </c>
      <c r="E98" s="82">
        <v>8.5635999999999992</v>
      </c>
      <c r="F98" s="82"/>
      <c r="G98" s="47"/>
      <c r="H98" s="47"/>
    </row>
    <row r="99" spans="1:8" ht="18.75" customHeight="1" x14ac:dyDescent="0.25">
      <c r="A99" s="45">
        <v>980</v>
      </c>
      <c r="B99" s="81">
        <v>0.32089000000000001</v>
      </c>
      <c r="C99" s="83">
        <v>4010.4</v>
      </c>
      <c r="D99" s="83">
        <v>4588</v>
      </c>
      <c r="E99" s="82">
        <v>8.6033000000000008</v>
      </c>
      <c r="F99" s="82"/>
      <c r="G99" s="47"/>
      <c r="H99" s="47"/>
    </row>
    <row r="100" spans="1:8" ht="18.75" customHeight="1" x14ac:dyDescent="0.25">
      <c r="A100" s="45">
        <v>1000</v>
      </c>
      <c r="B100" s="81">
        <v>0.32606000000000002</v>
      </c>
      <c r="C100" s="83">
        <v>4050.7</v>
      </c>
      <c r="D100" s="83">
        <v>4637.6000000000004</v>
      </c>
      <c r="E100" s="82">
        <v>8.6425999999999998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G104"/>
  <sheetViews>
    <sheetView topLeftCell="A31" workbookViewId="0">
      <selection activeCell="A47" sqref="A47:XFD47"/>
    </sheetView>
  </sheetViews>
  <sheetFormatPr defaultRowHeight="13.2" x14ac:dyDescent="0.25"/>
  <cols>
    <col min="1" max="1" width="6.21875" customWidth="1"/>
    <col min="2" max="2" width="11.44140625" customWidth="1"/>
    <col min="3" max="3" width="6.77734375" customWidth="1"/>
    <col min="4" max="4" width="7.44140625" customWidth="1"/>
    <col min="5" max="5" width="9.109375" customWidth="1"/>
    <col min="6" max="6" width="6.88671875" customWidth="1"/>
    <col min="7" max="7" width="75.77734375" customWidth="1"/>
  </cols>
  <sheetData>
    <row r="1" spans="1:7" ht="18.75" customHeight="1" x14ac:dyDescent="0.25">
      <c r="A1" s="207" t="s">
        <v>74</v>
      </c>
      <c r="B1" s="207"/>
      <c r="C1" s="207"/>
      <c r="D1" s="207"/>
      <c r="E1" s="207"/>
      <c r="F1" s="207"/>
      <c r="G1" s="207"/>
    </row>
    <row r="2" spans="1:7" ht="18.75" customHeight="1" x14ac:dyDescent="0.25">
      <c r="A2" s="89" t="s">
        <v>126</v>
      </c>
      <c r="B2" s="90">
        <v>2000</v>
      </c>
      <c r="C2" s="84"/>
      <c r="D2" s="84"/>
      <c r="E2" s="84"/>
      <c r="F2" s="84"/>
      <c r="G2" s="84"/>
    </row>
    <row r="3" spans="1:7" ht="15.75" customHeight="1" x14ac:dyDescent="0.25">
      <c r="A3" s="92" t="s">
        <v>26</v>
      </c>
      <c r="B3" s="92" t="s">
        <v>27</v>
      </c>
      <c r="C3" s="92" t="s">
        <v>28</v>
      </c>
      <c r="D3" s="92" t="s">
        <v>29</v>
      </c>
      <c r="E3" s="92" t="s">
        <v>30</v>
      </c>
      <c r="F3" s="93"/>
    </row>
    <row r="4" spans="1:7" ht="18.75" customHeight="1" x14ac:dyDescent="0.25">
      <c r="A4" s="94" t="s">
        <v>31</v>
      </c>
      <c r="B4" s="94" t="s">
        <v>18</v>
      </c>
      <c r="C4" s="96" t="s">
        <v>19</v>
      </c>
      <c r="D4" s="96" t="s">
        <v>19</v>
      </c>
      <c r="E4" s="96" t="s">
        <v>32</v>
      </c>
      <c r="F4" s="97"/>
    </row>
    <row r="5" spans="1:7" ht="18.75" customHeight="1" x14ac:dyDescent="0.25">
      <c r="A5" s="98">
        <v>0</v>
      </c>
      <c r="B5" s="99">
        <v>9.9919000000000006E-4</v>
      </c>
      <c r="C5" s="100">
        <v>-0.01</v>
      </c>
      <c r="D5" s="100">
        <v>1.99</v>
      </c>
      <c r="E5" s="101">
        <v>-3.0000000000000001E-5</v>
      </c>
      <c r="F5" s="102"/>
    </row>
    <row r="6" spans="1:7" ht="18.75" customHeight="1" x14ac:dyDescent="0.25">
      <c r="A6" s="103">
        <v>5</v>
      </c>
      <c r="B6" s="104">
        <v>9.9909999999999994E-4</v>
      </c>
      <c r="C6" s="105">
        <v>21.01</v>
      </c>
      <c r="D6" s="105">
        <v>23.01</v>
      </c>
      <c r="E6" s="106">
        <v>7.6219999999999996E-2</v>
      </c>
      <c r="F6" s="107"/>
    </row>
    <row r="7" spans="1:7" ht="18.75" customHeight="1" x14ac:dyDescent="0.25">
      <c r="A7" s="103">
        <v>10</v>
      </c>
      <c r="B7" s="104">
        <v>9.9938999999999996E-4</v>
      </c>
      <c r="C7" s="105">
        <v>41.97</v>
      </c>
      <c r="D7" s="105">
        <v>43.97</v>
      </c>
      <c r="E7" s="106">
        <v>0.15090999999999999</v>
      </c>
      <c r="F7" s="107"/>
    </row>
    <row r="8" spans="1:7" ht="18.75" customHeight="1" x14ac:dyDescent="0.25">
      <c r="A8" s="103">
        <v>15</v>
      </c>
      <c r="B8" s="104">
        <v>1.00001E-3</v>
      </c>
      <c r="C8" s="105">
        <v>62.89</v>
      </c>
      <c r="D8" s="105">
        <v>64.89</v>
      </c>
      <c r="E8" s="106">
        <v>0.22416</v>
      </c>
      <c r="F8" s="107"/>
    </row>
    <row r="9" spans="1:7" ht="18.75" customHeight="1" x14ac:dyDescent="0.25">
      <c r="A9" s="103">
        <v>20</v>
      </c>
      <c r="B9" s="104">
        <v>1.0009299999999999E-3</v>
      </c>
      <c r="C9" s="105">
        <v>83.79</v>
      </c>
      <c r="D9" s="105">
        <v>85.79</v>
      </c>
      <c r="E9" s="106">
        <v>0.29607</v>
      </c>
      <c r="F9" s="107"/>
    </row>
    <row r="10" spans="1:7" ht="18.75" customHeight="1" x14ac:dyDescent="0.25">
      <c r="A10" s="103">
        <v>25</v>
      </c>
      <c r="B10" s="104">
        <v>1.0020999999999999E-3</v>
      </c>
      <c r="C10" s="105">
        <v>104.68</v>
      </c>
      <c r="D10" s="105">
        <v>106.68</v>
      </c>
      <c r="E10" s="106">
        <v>0.36670999999999998</v>
      </c>
      <c r="F10" s="107"/>
    </row>
    <row r="11" spans="1:7" ht="18.75" customHeight="1" x14ac:dyDescent="0.25">
      <c r="A11" s="103">
        <v>30</v>
      </c>
      <c r="B11" s="104">
        <v>1.0035199999999999E-3</v>
      </c>
      <c r="C11" s="105">
        <v>125.54</v>
      </c>
      <c r="D11" s="105">
        <v>127.55</v>
      </c>
      <c r="E11" s="106">
        <v>0.43614999999999998</v>
      </c>
      <c r="F11" s="107"/>
    </row>
    <row r="12" spans="1:7" ht="18.75" customHeight="1" x14ac:dyDescent="0.25">
      <c r="A12" s="103">
        <v>35</v>
      </c>
      <c r="B12" s="104">
        <v>1.00516E-3</v>
      </c>
      <c r="C12" s="105">
        <v>146.41999999999999</v>
      </c>
      <c r="D12" s="105">
        <v>148.43</v>
      </c>
      <c r="E12" s="106">
        <v>0.50444</v>
      </c>
      <c r="F12" s="107"/>
    </row>
    <row r="13" spans="1:7" ht="18.75" customHeight="1" x14ac:dyDescent="0.25">
      <c r="A13" s="103">
        <v>40</v>
      </c>
      <c r="B13" s="104">
        <v>1.0070000000000001E-3</v>
      </c>
      <c r="C13" s="105">
        <v>167.29</v>
      </c>
      <c r="D13" s="105">
        <v>169.3</v>
      </c>
      <c r="E13" s="106">
        <v>0.57162999999999997</v>
      </c>
      <c r="F13" s="107"/>
    </row>
    <row r="14" spans="1:7" ht="18.75" customHeight="1" x14ac:dyDescent="0.25">
      <c r="A14" s="103">
        <v>45</v>
      </c>
      <c r="B14" s="104">
        <v>1.0090399999999999E-3</v>
      </c>
      <c r="C14" s="105">
        <v>188.15</v>
      </c>
      <c r="D14" s="105">
        <v>190.17</v>
      </c>
      <c r="E14" s="106">
        <v>0.63775999999999999</v>
      </c>
      <c r="F14" s="107"/>
    </row>
    <row r="15" spans="1:7" ht="18.75" customHeight="1" x14ac:dyDescent="0.25">
      <c r="A15" s="103">
        <v>50</v>
      </c>
      <c r="B15" s="104">
        <v>1.0112599999999999E-3</v>
      </c>
      <c r="C15" s="105">
        <v>209.04</v>
      </c>
      <c r="D15" s="105">
        <v>211.06</v>
      </c>
      <c r="E15" s="106">
        <v>0.70289000000000001</v>
      </c>
      <c r="F15" s="107"/>
    </row>
    <row r="16" spans="1:7" ht="18.75" customHeight="1" x14ac:dyDescent="0.25">
      <c r="A16" s="103">
        <v>55</v>
      </c>
      <c r="B16" s="104">
        <v>1.01366E-3</v>
      </c>
      <c r="C16" s="105">
        <v>229.91</v>
      </c>
      <c r="D16" s="105">
        <v>231.94</v>
      </c>
      <c r="E16" s="106">
        <v>0.76704000000000006</v>
      </c>
      <c r="F16" s="107"/>
    </row>
    <row r="17" spans="1:6" ht="18.75" customHeight="1" x14ac:dyDescent="0.25">
      <c r="A17" s="103">
        <v>60</v>
      </c>
      <c r="B17" s="104">
        <v>1.0162299999999999E-3</v>
      </c>
      <c r="C17" s="105">
        <v>250.81</v>
      </c>
      <c r="D17" s="105">
        <v>252.84</v>
      </c>
      <c r="E17" s="106">
        <v>0.83023999999999998</v>
      </c>
      <c r="F17" s="107"/>
    </row>
    <row r="18" spans="1:6" ht="18.75" customHeight="1" x14ac:dyDescent="0.25">
      <c r="A18" s="103">
        <v>65</v>
      </c>
      <c r="B18" s="104">
        <v>1.0189699999999999E-3</v>
      </c>
      <c r="C18" s="105">
        <v>271.70999999999998</v>
      </c>
      <c r="D18" s="105">
        <v>273.75</v>
      </c>
      <c r="E18" s="106">
        <v>0.89254</v>
      </c>
      <c r="F18" s="107"/>
    </row>
    <row r="19" spans="1:6" ht="18.75" customHeight="1" x14ac:dyDescent="0.25">
      <c r="A19" s="103">
        <v>70</v>
      </c>
      <c r="B19" s="104">
        <v>1.02187E-3</v>
      </c>
      <c r="C19" s="105">
        <v>292.64</v>
      </c>
      <c r="D19" s="105">
        <v>294.68</v>
      </c>
      <c r="E19" s="106">
        <v>0.95396000000000003</v>
      </c>
      <c r="F19" s="107"/>
    </row>
    <row r="20" spans="1:6" ht="18.75" customHeight="1" x14ac:dyDescent="0.25">
      <c r="A20" s="103">
        <v>75</v>
      </c>
      <c r="B20" s="104">
        <v>1.0249199999999999E-3</v>
      </c>
      <c r="C20" s="105">
        <v>313.56</v>
      </c>
      <c r="D20" s="105">
        <v>315.61</v>
      </c>
      <c r="E20" s="108">
        <v>1.0145</v>
      </c>
      <c r="F20" s="109"/>
    </row>
    <row r="21" spans="1:6" ht="18.75" customHeight="1" x14ac:dyDescent="0.25">
      <c r="A21" s="103">
        <v>80</v>
      </c>
      <c r="B21" s="104">
        <v>1.0281299999999999E-3</v>
      </c>
      <c r="C21" s="105">
        <v>334.51</v>
      </c>
      <c r="D21" s="105">
        <v>336.57</v>
      </c>
      <c r="E21" s="108">
        <v>1.0743</v>
      </c>
      <c r="F21" s="109"/>
    </row>
    <row r="22" spans="1:6" ht="18.75" customHeight="1" x14ac:dyDescent="0.25">
      <c r="A22" s="103">
        <v>85</v>
      </c>
      <c r="B22" s="104">
        <v>1.0314899999999999E-3</v>
      </c>
      <c r="C22" s="105">
        <v>355.48</v>
      </c>
      <c r="D22" s="105">
        <v>357.54</v>
      </c>
      <c r="E22" s="108">
        <v>1.1333</v>
      </c>
      <c r="F22" s="109"/>
    </row>
    <row r="23" spans="1:6" ht="18.75" customHeight="1" x14ac:dyDescent="0.25">
      <c r="A23" s="103">
        <v>90</v>
      </c>
      <c r="B23" s="104">
        <v>1.0350100000000001E-3</v>
      </c>
      <c r="C23" s="105">
        <v>376.46</v>
      </c>
      <c r="D23" s="105">
        <v>378.53</v>
      </c>
      <c r="E23" s="108">
        <v>1.1915</v>
      </c>
      <c r="F23" s="109"/>
    </row>
    <row r="24" spans="1:6" ht="18.75" customHeight="1" x14ac:dyDescent="0.25">
      <c r="A24" s="103">
        <v>95</v>
      </c>
      <c r="B24" s="104">
        <v>1.03867E-3</v>
      </c>
      <c r="C24" s="105">
        <v>397.47</v>
      </c>
      <c r="D24" s="105">
        <v>399.55</v>
      </c>
      <c r="E24" s="108">
        <v>1.2490000000000001</v>
      </c>
      <c r="F24" s="109"/>
    </row>
    <row r="25" spans="1:6" ht="18.75" customHeight="1" x14ac:dyDescent="0.25">
      <c r="A25" s="103">
        <v>100</v>
      </c>
      <c r="B25" s="104">
        <v>1.0424900000000001E-3</v>
      </c>
      <c r="C25" s="105">
        <v>418.51</v>
      </c>
      <c r="D25" s="105">
        <v>420.59</v>
      </c>
      <c r="E25" s="108">
        <v>1.3057000000000001</v>
      </c>
      <c r="F25" s="109"/>
    </row>
    <row r="26" spans="1:6" ht="18.75" customHeight="1" x14ac:dyDescent="0.25">
      <c r="A26" s="103">
        <v>105</v>
      </c>
      <c r="B26" s="104">
        <v>1.0464700000000001E-3</v>
      </c>
      <c r="C26" s="105">
        <v>439.57</v>
      </c>
      <c r="D26" s="105">
        <v>441.66</v>
      </c>
      <c r="E26" s="108">
        <v>1.3617999999999999</v>
      </c>
      <c r="F26" s="109"/>
    </row>
    <row r="27" spans="1:6" ht="18.75" customHeight="1" x14ac:dyDescent="0.25">
      <c r="A27" s="103">
        <v>110</v>
      </c>
      <c r="B27" s="104">
        <v>1.0505899999999999E-3</v>
      </c>
      <c r="C27" s="105">
        <v>460.67</v>
      </c>
      <c r="D27" s="105">
        <v>462.77</v>
      </c>
      <c r="E27" s="108">
        <v>1.4173</v>
      </c>
      <c r="F27" s="109"/>
    </row>
    <row r="28" spans="1:6" ht="18.75" customHeight="1" x14ac:dyDescent="0.25">
      <c r="A28" s="103">
        <v>115</v>
      </c>
      <c r="B28" s="104">
        <v>1.0548700000000001E-3</v>
      </c>
      <c r="C28" s="105">
        <v>481.79</v>
      </c>
      <c r="D28" s="105">
        <v>483.9</v>
      </c>
      <c r="E28" s="108">
        <v>1.4721</v>
      </c>
      <c r="F28" s="109"/>
    </row>
    <row r="29" spans="1:6" ht="18.75" customHeight="1" x14ac:dyDescent="0.25">
      <c r="A29" s="103">
        <v>120</v>
      </c>
      <c r="B29" s="104">
        <v>1.0593099999999999E-3</v>
      </c>
      <c r="C29" s="105">
        <v>502.96</v>
      </c>
      <c r="D29" s="105">
        <v>505.08</v>
      </c>
      <c r="E29" s="108">
        <v>1.5263</v>
      </c>
      <c r="F29" s="109"/>
    </row>
    <row r="30" spans="1:6" ht="18.75" customHeight="1" x14ac:dyDescent="0.25">
      <c r="A30" s="103">
        <v>125</v>
      </c>
      <c r="B30" s="104">
        <v>1.0639200000000001E-3</v>
      </c>
      <c r="C30" s="105">
        <v>524.16</v>
      </c>
      <c r="D30" s="105">
        <v>526.29</v>
      </c>
      <c r="E30" s="108">
        <v>1.5799000000000001</v>
      </c>
      <c r="F30" s="109"/>
    </row>
    <row r="31" spans="1:6" ht="18.75" customHeight="1" x14ac:dyDescent="0.25">
      <c r="A31" s="103">
        <v>130</v>
      </c>
      <c r="B31" s="104">
        <v>1.06868E-3</v>
      </c>
      <c r="C31" s="105">
        <v>545.41</v>
      </c>
      <c r="D31" s="105">
        <v>547.54999999999995</v>
      </c>
      <c r="E31" s="108">
        <v>1.633</v>
      </c>
      <c r="F31" s="109"/>
    </row>
    <row r="32" spans="1:6" ht="18.75" customHeight="1" x14ac:dyDescent="0.25">
      <c r="A32" s="103">
        <v>135</v>
      </c>
      <c r="B32" s="104">
        <v>1.07362E-3</v>
      </c>
      <c r="C32" s="105">
        <v>566.71</v>
      </c>
      <c r="D32" s="105">
        <v>568.86</v>
      </c>
      <c r="E32" s="108">
        <v>1.6855</v>
      </c>
      <c r="F32" s="109"/>
    </row>
    <row r="33" spans="1:6" ht="18.75" customHeight="1" x14ac:dyDescent="0.25">
      <c r="A33" s="103">
        <v>140</v>
      </c>
      <c r="B33" s="104">
        <v>1.07872E-3</v>
      </c>
      <c r="C33" s="105">
        <v>588.05999999999995</v>
      </c>
      <c r="D33" s="105">
        <v>590.22</v>
      </c>
      <c r="E33" s="108">
        <v>1.7375</v>
      </c>
      <c r="F33" s="109"/>
    </row>
    <row r="34" spans="1:6" ht="18.75" customHeight="1" x14ac:dyDescent="0.25">
      <c r="A34" s="103">
        <v>145</v>
      </c>
      <c r="B34" s="104">
        <v>1.0840100000000001E-3</v>
      </c>
      <c r="C34" s="105">
        <v>609.47</v>
      </c>
      <c r="D34" s="105">
        <v>611.64</v>
      </c>
      <c r="E34" s="108">
        <v>1.7889999999999999</v>
      </c>
      <c r="F34" s="109"/>
    </row>
    <row r="35" spans="1:6" ht="18.75" customHeight="1" x14ac:dyDescent="0.25">
      <c r="A35" s="103">
        <v>150</v>
      </c>
      <c r="B35" s="104">
        <v>1.0894800000000001E-3</v>
      </c>
      <c r="C35" s="105">
        <v>630.94000000000005</v>
      </c>
      <c r="D35" s="105">
        <v>633.12</v>
      </c>
      <c r="E35" s="108">
        <v>1.8401000000000001</v>
      </c>
      <c r="F35" s="109"/>
    </row>
    <row r="36" spans="1:6" ht="18.75" customHeight="1" x14ac:dyDescent="0.25">
      <c r="A36" s="103">
        <v>155</v>
      </c>
      <c r="B36" s="104">
        <v>1.0951299999999999E-3</v>
      </c>
      <c r="C36" s="105">
        <v>652.48</v>
      </c>
      <c r="D36" s="105">
        <v>654.66999999999996</v>
      </c>
      <c r="E36" s="108">
        <v>1.8907</v>
      </c>
      <c r="F36" s="109"/>
    </row>
    <row r="37" spans="1:6" ht="18.75" customHeight="1" x14ac:dyDescent="0.25">
      <c r="A37" s="103">
        <v>160</v>
      </c>
      <c r="B37" s="104">
        <v>1.10099E-3</v>
      </c>
      <c r="C37" s="105">
        <v>674.08</v>
      </c>
      <c r="D37" s="105">
        <v>676.28</v>
      </c>
      <c r="E37" s="108">
        <v>1.9409000000000001</v>
      </c>
      <c r="F37" s="109"/>
    </row>
    <row r="38" spans="1:6" ht="18.75" customHeight="1" x14ac:dyDescent="0.25">
      <c r="A38" s="103">
        <v>165</v>
      </c>
      <c r="B38" s="104">
        <v>1.10705E-3</v>
      </c>
      <c r="C38" s="105">
        <v>695.76</v>
      </c>
      <c r="D38" s="105">
        <v>697.97</v>
      </c>
      <c r="E38" s="108">
        <v>1.9906999999999999</v>
      </c>
      <c r="F38" s="109"/>
    </row>
    <row r="39" spans="1:6" ht="18.75" customHeight="1" x14ac:dyDescent="0.25">
      <c r="A39" s="103">
        <v>170</v>
      </c>
      <c r="B39" s="104">
        <v>1.1133200000000001E-3</v>
      </c>
      <c r="C39" s="105">
        <v>717.51</v>
      </c>
      <c r="D39" s="105">
        <v>719.74</v>
      </c>
      <c r="E39" s="108">
        <v>2.0400999999999998</v>
      </c>
      <c r="F39" s="109"/>
    </row>
    <row r="40" spans="1:6" ht="18.75" customHeight="1" x14ac:dyDescent="0.25">
      <c r="A40" s="103">
        <v>175</v>
      </c>
      <c r="B40" s="104">
        <v>1.1198200000000001E-3</v>
      </c>
      <c r="C40" s="105">
        <v>739.36</v>
      </c>
      <c r="D40" s="105">
        <v>741.6</v>
      </c>
      <c r="E40" s="108">
        <v>2.0891999999999999</v>
      </c>
      <c r="F40" s="109"/>
    </row>
    <row r="41" spans="1:6" ht="18.75" customHeight="1" x14ac:dyDescent="0.25">
      <c r="A41" s="103">
        <v>180</v>
      </c>
      <c r="B41" s="104">
        <v>1.12655E-3</v>
      </c>
      <c r="C41" s="105">
        <v>761.31</v>
      </c>
      <c r="D41" s="105">
        <v>763.56</v>
      </c>
      <c r="E41" s="108">
        <v>2.1379000000000001</v>
      </c>
      <c r="F41" s="109"/>
    </row>
    <row r="42" spans="1:6" ht="18.75" customHeight="1" x14ac:dyDescent="0.25">
      <c r="A42" s="103">
        <v>185</v>
      </c>
      <c r="B42" s="104">
        <v>1.13353E-3</v>
      </c>
      <c r="C42" s="105">
        <v>783.34</v>
      </c>
      <c r="D42" s="105">
        <v>785.61</v>
      </c>
      <c r="E42" s="108">
        <v>2.1863000000000001</v>
      </c>
      <c r="F42" s="109"/>
    </row>
    <row r="43" spans="1:6" ht="18.75" customHeight="1" x14ac:dyDescent="0.25">
      <c r="A43" s="103">
        <v>190</v>
      </c>
      <c r="B43" s="104">
        <v>1.14076E-3</v>
      </c>
      <c r="C43" s="105">
        <v>805.49</v>
      </c>
      <c r="D43" s="105">
        <v>807.77</v>
      </c>
      <c r="E43" s="108">
        <v>2.2343999999999999</v>
      </c>
      <c r="F43" s="109"/>
    </row>
    <row r="44" spans="1:6" ht="18.75" customHeight="1" x14ac:dyDescent="0.25">
      <c r="A44" s="103">
        <v>195</v>
      </c>
      <c r="B44" s="104">
        <v>1.1482700000000001E-3</v>
      </c>
      <c r="C44" s="105">
        <v>827.75</v>
      </c>
      <c r="D44" s="105">
        <v>830.05</v>
      </c>
      <c r="E44" s="108">
        <v>2.2822</v>
      </c>
      <c r="F44" s="109"/>
    </row>
    <row r="45" spans="1:6" ht="18.75" customHeight="1" x14ac:dyDescent="0.25">
      <c r="A45" s="103">
        <v>200</v>
      </c>
      <c r="B45" s="104">
        <v>1.1560699999999999E-3</v>
      </c>
      <c r="C45" s="105">
        <v>850.14</v>
      </c>
      <c r="D45" s="105">
        <v>852.45</v>
      </c>
      <c r="E45" s="108">
        <v>2.3298000000000001</v>
      </c>
      <c r="F45" s="109"/>
    </row>
    <row r="46" spans="1:6" ht="18.75" customHeight="1" x14ac:dyDescent="0.25">
      <c r="A46" s="103">
        <v>210</v>
      </c>
      <c r="B46" s="104">
        <v>1.1726200000000001E-3</v>
      </c>
      <c r="C46" s="105">
        <v>895.31</v>
      </c>
      <c r="D46" s="105">
        <v>897.66</v>
      </c>
      <c r="E46" s="108">
        <v>2.4243999999999999</v>
      </c>
      <c r="F46" s="109"/>
    </row>
    <row r="47" spans="1:6" ht="18.75" customHeight="1" x14ac:dyDescent="0.25">
      <c r="A47" s="113">
        <v>212.37700000000001</v>
      </c>
      <c r="B47" s="114">
        <v>9.9585000000000007E-2</v>
      </c>
      <c r="C47" s="115">
        <v>2599.1</v>
      </c>
      <c r="D47" s="115">
        <v>2798.3</v>
      </c>
      <c r="E47" s="117">
        <v>6.3390000000000004</v>
      </c>
      <c r="F47" s="118"/>
    </row>
    <row r="48" spans="1:6" ht="18.75" customHeight="1" x14ac:dyDescent="0.25">
      <c r="A48" s="103">
        <v>220</v>
      </c>
      <c r="B48" s="106">
        <v>0.10218000000000001</v>
      </c>
      <c r="C48" s="119">
        <v>2617.1999999999998</v>
      </c>
      <c r="D48" s="119">
        <v>2821.6</v>
      </c>
      <c r="E48" s="108">
        <v>6.3867000000000003</v>
      </c>
      <c r="F48" s="109"/>
    </row>
    <row r="49" spans="1:6" ht="18.75" customHeight="1" x14ac:dyDescent="0.25">
      <c r="A49" s="103">
        <v>230</v>
      </c>
      <c r="B49" s="106">
        <v>0.10541</v>
      </c>
      <c r="C49" s="119">
        <v>2639.4</v>
      </c>
      <c r="D49" s="119">
        <v>2850.2</v>
      </c>
      <c r="E49" s="108">
        <v>6.444</v>
      </c>
      <c r="F49" s="109"/>
    </row>
    <row r="50" spans="1:6" ht="18.75" customHeight="1" x14ac:dyDescent="0.25">
      <c r="A50" s="103">
        <v>240</v>
      </c>
      <c r="B50" s="106">
        <v>0.1085</v>
      </c>
      <c r="C50" s="119">
        <v>2660.2</v>
      </c>
      <c r="D50" s="119">
        <v>2877.2</v>
      </c>
      <c r="E50" s="108">
        <v>6.4973000000000001</v>
      </c>
      <c r="F50" s="109"/>
    </row>
    <row r="51" spans="1:6" ht="18.75" customHeight="1" x14ac:dyDescent="0.25">
      <c r="A51" s="103">
        <v>250</v>
      </c>
      <c r="B51" s="106">
        <v>0.1115</v>
      </c>
      <c r="C51" s="119">
        <v>2680.2</v>
      </c>
      <c r="D51" s="119">
        <v>2903.2</v>
      </c>
      <c r="E51" s="108">
        <v>6.5475000000000003</v>
      </c>
      <c r="F51" s="109"/>
    </row>
    <row r="52" spans="1:6" ht="18.75" customHeight="1" x14ac:dyDescent="0.25">
      <c r="A52" s="103">
        <v>260</v>
      </c>
      <c r="B52" s="106">
        <v>0.11441</v>
      </c>
      <c r="C52" s="119">
        <v>2699.7</v>
      </c>
      <c r="D52" s="119">
        <v>2928.5</v>
      </c>
      <c r="E52" s="108">
        <v>6.5952000000000002</v>
      </c>
      <c r="F52" s="109"/>
    </row>
    <row r="53" spans="1:6" ht="18.75" customHeight="1" x14ac:dyDescent="0.25">
      <c r="A53" s="121">
        <v>270</v>
      </c>
      <c r="B53" s="122">
        <v>0.11726</v>
      </c>
      <c r="C53" s="124">
        <v>2718.6</v>
      </c>
      <c r="D53" s="124">
        <v>2953.1</v>
      </c>
      <c r="E53" s="111">
        <v>6.6409000000000002</v>
      </c>
      <c r="F53" s="112"/>
    </row>
    <row r="54" spans="1:6" ht="15.75" customHeight="1" x14ac:dyDescent="0.25">
      <c r="A54" s="2" t="s">
        <v>26</v>
      </c>
      <c r="B54" s="93"/>
      <c r="C54" s="93"/>
      <c r="D54" s="93"/>
      <c r="E54" s="93"/>
    </row>
    <row r="55" spans="1:6" ht="18.75" customHeight="1" x14ac:dyDescent="0.25">
      <c r="A55" s="1" t="s">
        <v>31</v>
      </c>
      <c r="B55" s="95"/>
      <c r="C55" s="97"/>
      <c r="D55" s="97"/>
      <c r="E55" s="97"/>
    </row>
    <row r="56" spans="1:6" ht="18.75" customHeight="1" x14ac:dyDescent="0.25">
      <c r="A56" s="3">
        <v>270</v>
      </c>
      <c r="B56" s="102"/>
      <c r="C56" s="116"/>
      <c r="D56" s="116"/>
      <c r="E56" s="118"/>
    </row>
    <row r="57" spans="1:6" ht="18.75" customHeight="1" x14ac:dyDescent="0.25">
      <c r="A57" s="4">
        <v>280</v>
      </c>
      <c r="B57" s="107"/>
      <c r="C57" s="120"/>
      <c r="D57" s="120"/>
      <c r="E57" s="109"/>
    </row>
    <row r="58" spans="1:6" ht="18.75" customHeight="1" x14ac:dyDescent="0.25">
      <c r="A58" s="4">
        <v>290</v>
      </c>
      <c r="B58" s="107"/>
      <c r="C58" s="120"/>
      <c r="D58" s="120"/>
      <c r="E58" s="109"/>
    </row>
    <row r="59" spans="1:6" ht="18.75" customHeight="1" x14ac:dyDescent="0.25">
      <c r="A59" s="4">
        <v>300</v>
      </c>
      <c r="B59" s="107"/>
      <c r="C59" s="120"/>
      <c r="D59" s="120"/>
      <c r="E59" s="109"/>
    </row>
    <row r="60" spans="1:6" ht="18.75" customHeight="1" x14ac:dyDescent="0.25">
      <c r="A60" s="4">
        <v>310</v>
      </c>
      <c r="B60" s="107"/>
      <c r="C60" s="120"/>
      <c r="D60" s="120"/>
      <c r="E60" s="109"/>
    </row>
    <row r="61" spans="1:6" ht="18.75" customHeight="1" x14ac:dyDescent="0.25">
      <c r="A61" s="4">
        <v>320</v>
      </c>
      <c r="B61" s="107"/>
      <c r="C61" s="120"/>
      <c r="D61" s="120"/>
      <c r="E61" s="109"/>
    </row>
    <row r="62" spans="1:6" ht="18.75" customHeight="1" x14ac:dyDescent="0.25">
      <c r="A62" s="4">
        <v>330</v>
      </c>
      <c r="B62" s="107"/>
      <c r="C62" s="120"/>
      <c r="D62" s="120"/>
      <c r="E62" s="109"/>
    </row>
    <row r="63" spans="1:6" ht="18.75" customHeight="1" x14ac:dyDescent="0.25">
      <c r="A63" s="4">
        <v>340</v>
      </c>
      <c r="B63" s="107"/>
      <c r="C63" s="120"/>
      <c r="D63" s="120"/>
      <c r="E63" s="109"/>
    </row>
    <row r="64" spans="1:6" ht="18.75" customHeight="1" x14ac:dyDescent="0.25">
      <c r="A64" s="4">
        <v>350</v>
      </c>
      <c r="B64" s="107"/>
      <c r="C64" s="120"/>
      <c r="D64" s="120"/>
      <c r="E64" s="109"/>
    </row>
    <row r="65" spans="1:5" ht="18.75" customHeight="1" x14ac:dyDescent="0.25">
      <c r="A65" s="4">
        <v>360</v>
      </c>
      <c r="B65" s="107"/>
      <c r="C65" s="120"/>
      <c r="D65" s="120"/>
      <c r="E65" s="109"/>
    </row>
    <row r="66" spans="1:5" ht="18.75" customHeight="1" x14ac:dyDescent="0.25">
      <c r="A66" s="4">
        <v>370</v>
      </c>
      <c r="B66" s="107"/>
      <c r="C66" s="120"/>
      <c r="D66" s="120"/>
      <c r="E66" s="109"/>
    </row>
    <row r="67" spans="1:5" ht="18.75" customHeight="1" x14ac:dyDescent="0.25">
      <c r="A67" s="4">
        <v>380</v>
      </c>
      <c r="B67" s="107"/>
      <c r="C67" s="120"/>
      <c r="D67" s="120"/>
      <c r="E67" s="109"/>
    </row>
    <row r="68" spans="1:5" ht="18.75" customHeight="1" x14ac:dyDescent="0.25">
      <c r="A68" s="4">
        <v>390</v>
      </c>
      <c r="B68" s="107"/>
      <c r="C68" s="120"/>
      <c r="D68" s="120"/>
      <c r="E68" s="109"/>
    </row>
    <row r="69" spans="1:5" ht="18.75" customHeight="1" x14ac:dyDescent="0.25">
      <c r="A69" s="4">
        <v>400</v>
      </c>
      <c r="B69" s="107"/>
      <c r="C69" s="120"/>
      <c r="D69" s="120"/>
      <c r="E69" s="109"/>
    </row>
    <row r="70" spans="1:5" ht="18.75" customHeight="1" x14ac:dyDescent="0.25">
      <c r="A70" s="4">
        <v>410</v>
      </c>
      <c r="B70" s="107"/>
      <c r="C70" s="120"/>
      <c r="D70" s="120"/>
      <c r="E70" s="109"/>
    </row>
    <row r="71" spans="1:5" ht="18.75" customHeight="1" x14ac:dyDescent="0.25">
      <c r="A71" s="4">
        <v>420</v>
      </c>
      <c r="B71" s="107"/>
      <c r="C71" s="120"/>
      <c r="D71" s="120"/>
      <c r="E71" s="109"/>
    </row>
    <row r="72" spans="1:5" ht="18.75" customHeight="1" x14ac:dyDescent="0.25">
      <c r="A72" s="4">
        <v>430</v>
      </c>
      <c r="B72" s="107"/>
      <c r="C72" s="120"/>
      <c r="D72" s="120"/>
      <c r="E72" s="109"/>
    </row>
    <row r="73" spans="1:5" ht="18.75" customHeight="1" x14ac:dyDescent="0.25">
      <c r="A73" s="4">
        <v>440</v>
      </c>
      <c r="B73" s="107"/>
      <c r="C73" s="120"/>
      <c r="D73" s="120"/>
      <c r="E73" s="109"/>
    </row>
    <row r="74" spans="1:5" ht="18.75" customHeight="1" x14ac:dyDescent="0.25">
      <c r="A74" s="4">
        <v>450</v>
      </c>
      <c r="B74" s="107"/>
      <c r="C74" s="120"/>
      <c r="D74" s="120"/>
      <c r="E74" s="109"/>
    </row>
    <row r="75" spans="1:5" ht="18.75" customHeight="1" x14ac:dyDescent="0.25">
      <c r="A75" s="4">
        <v>460</v>
      </c>
      <c r="B75" s="107"/>
      <c r="C75" s="120"/>
      <c r="D75" s="120"/>
      <c r="E75" s="109"/>
    </row>
    <row r="76" spans="1:5" ht="18.75" customHeight="1" x14ac:dyDescent="0.25">
      <c r="A76" s="4">
        <v>470</v>
      </c>
      <c r="B76" s="107"/>
      <c r="C76" s="120"/>
      <c r="D76" s="120"/>
      <c r="E76" s="109"/>
    </row>
    <row r="77" spans="1:5" ht="18.75" customHeight="1" x14ac:dyDescent="0.25">
      <c r="A77" s="4">
        <v>480</v>
      </c>
      <c r="B77" s="107"/>
      <c r="C77" s="120"/>
      <c r="D77" s="120"/>
      <c r="E77" s="109"/>
    </row>
    <row r="78" spans="1:5" ht="18.75" customHeight="1" x14ac:dyDescent="0.25">
      <c r="A78" s="4">
        <v>490</v>
      </c>
      <c r="B78" s="107"/>
      <c r="C78" s="120"/>
      <c r="D78" s="120"/>
      <c r="E78" s="109"/>
    </row>
    <row r="79" spans="1:5" ht="18.75" customHeight="1" x14ac:dyDescent="0.25">
      <c r="A79" s="4">
        <v>500</v>
      </c>
      <c r="B79" s="107"/>
      <c r="C79" s="120"/>
      <c r="D79" s="120"/>
      <c r="E79" s="109"/>
    </row>
    <row r="80" spans="1:5" ht="18.75" customHeight="1" x14ac:dyDescent="0.25">
      <c r="A80" s="4">
        <v>520</v>
      </c>
      <c r="B80" s="107"/>
      <c r="C80" s="120"/>
      <c r="D80" s="120"/>
      <c r="E80" s="109"/>
    </row>
    <row r="81" spans="1:5" ht="18.75" customHeight="1" x14ac:dyDescent="0.25">
      <c r="A81" s="4">
        <v>540</v>
      </c>
      <c r="B81" s="107"/>
      <c r="C81" s="120"/>
      <c r="D81" s="120"/>
      <c r="E81" s="109"/>
    </row>
    <row r="82" spans="1:5" ht="18.75" customHeight="1" x14ac:dyDescent="0.25">
      <c r="A82" s="4">
        <v>560</v>
      </c>
      <c r="B82" s="107"/>
      <c r="C82" s="120"/>
      <c r="D82" s="120"/>
      <c r="E82" s="109"/>
    </row>
    <row r="83" spans="1:5" ht="18.75" customHeight="1" x14ac:dyDescent="0.25">
      <c r="A83" s="4">
        <v>580</v>
      </c>
      <c r="B83" s="107"/>
      <c r="C83" s="120"/>
      <c r="D83" s="120"/>
      <c r="E83" s="109"/>
    </row>
    <row r="84" spans="1:5" ht="18.75" customHeight="1" x14ac:dyDescent="0.25">
      <c r="A84" s="4">
        <v>600</v>
      </c>
      <c r="B84" s="107"/>
      <c r="C84" s="120"/>
      <c r="D84" s="120"/>
      <c r="E84" s="109"/>
    </row>
    <row r="85" spans="1:5" ht="18.75" customHeight="1" x14ac:dyDescent="0.25">
      <c r="A85" s="4">
        <v>620</v>
      </c>
      <c r="B85" s="107"/>
      <c r="C85" s="120"/>
      <c r="D85" s="120"/>
      <c r="E85" s="109"/>
    </row>
    <row r="86" spans="1:5" ht="18.75" customHeight="1" x14ac:dyDescent="0.25">
      <c r="A86" s="4">
        <v>640</v>
      </c>
      <c r="B86" s="107"/>
      <c r="C86" s="120"/>
      <c r="D86" s="120"/>
      <c r="E86" s="109"/>
    </row>
    <row r="87" spans="1:5" ht="18.75" customHeight="1" x14ac:dyDescent="0.25">
      <c r="A87" s="4">
        <v>660</v>
      </c>
      <c r="B87" s="107"/>
      <c r="C87" s="120"/>
      <c r="D87" s="120"/>
      <c r="E87" s="109"/>
    </row>
    <row r="88" spans="1:5" ht="18.75" customHeight="1" x14ac:dyDescent="0.25">
      <c r="A88" s="4">
        <v>680</v>
      </c>
      <c r="B88" s="107"/>
      <c r="C88" s="120"/>
      <c r="D88" s="120"/>
      <c r="E88" s="109"/>
    </row>
    <row r="89" spans="1:5" ht="18.75" customHeight="1" x14ac:dyDescent="0.25">
      <c r="A89" s="4">
        <v>700</v>
      </c>
      <c r="B89" s="107"/>
      <c r="C89" s="120"/>
      <c r="D89" s="120"/>
      <c r="E89" s="109"/>
    </row>
    <row r="90" spans="1:5" ht="18.75" customHeight="1" x14ac:dyDescent="0.25">
      <c r="A90" s="4">
        <v>720</v>
      </c>
      <c r="B90" s="107"/>
      <c r="C90" s="120"/>
      <c r="D90" s="120"/>
      <c r="E90" s="109"/>
    </row>
    <row r="91" spans="1:5" ht="18.75" customHeight="1" x14ac:dyDescent="0.25">
      <c r="A91" s="4">
        <v>740</v>
      </c>
      <c r="B91" s="107"/>
      <c r="C91" s="120"/>
      <c r="D91" s="120"/>
      <c r="E91" s="109"/>
    </row>
    <row r="92" spans="1:5" ht="18.75" customHeight="1" x14ac:dyDescent="0.25">
      <c r="A92" s="4">
        <v>760</v>
      </c>
      <c r="B92" s="107"/>
      <c r="C92" s="120"/>
      <c r="D92" s="120"/>
      <c r="E92" s="109"/>
    </row>
    <row r="93" spans="1:5" ht="18.75" customHeight="1" x14ac:dyDescent="0.25">
      <c r="A93" s="4">
        <v>780</v>
      </c>
      <c r="B93" s="107"/>
      <c r="C93" s="120"/>
      <c r="D93" s="120"/>
      <c r="E93" s="109"/>
    </row>
    <row r="94" spans="1:5" ht="18.75" customHeight="1" x14ac:dyDescent="0.25">
      <c r="A94" s="4">
        <v>800</v>
      </c>
      <c r="B94" s="107"/>
      <c r="C94" s="120"/>
      <c r="D94" s="120"/>
      <c r="E94" s="109"/>
    </row>
    <row r="95" spans="1:5" ht="18.75" customHeight="1" x14ac:dyDescent="0.25">
      <c r="A95" s="4">
        <v>820</v>
      </c>
      <c r="B95" s="107"/>
      <c r="C95" s="120"/>
      <c r="D95" s="120"/>
      <c r="E95" s="109"/>
    </row>
    <row r="96" spans="1:5" ht="18.75" customHeight="1" x14ac:dyDescent="0.25">
      <c r="A96" s="4">
        <v>840</v>
      </c>
      <c r="B96" s="107"/>
      <c r="C96" s="120"/>
      <c r="D96" s="120"/>
      <c r="E96" s="109"/>
    </row>
    <row r="97" spans="1:5" ht="18.75" customHeight="1" x14ac:dyDescent="0.25">
      <c r="A97" s="4">
        <v>860</v>
      </c>
      <c r="B97" s="107"/>
      <c r="C97" s="120"/>
      <c r="D97" s="120"/>
      <c r="E97" s="109"/>
    </row>
    <row r="98" spans="1:5" ht="18.75" customHeight="1" x14ac:dyDescent="0.25">
      <c r="A98" s="4">
        <v>880</v>
      </c>
      <c r="B98" s="107"/>
      <c r="C98" s="120"/>
      <c r="D98" s="120"/>
      <c r="E98" s="109"/>
    </row>
    <row r="99" spans="1:5" ht="18.75" customHeight="1" x14ac:dyDescent="0.25">
      <c r="A99" s="4">
        <v>900</v>
      </c>
      <c r="B99" s="107"/>
      <c r="C99" s="120"/>
      <c r="D99" s="120"/>
      <c r="E99" s="109"/>
    </row>
    <row r="100" spans="1:5" ht="18.75" customHeight="1" x14ac:dyDescent="0.25">
      <c r="A100" s="4">
        <v>920</v>
      </c>
      <c r="B100" s="107"/>
      <c r="C100" s="120"/>
      <c r="D100" s="120"/>
      <c r="E100" s="109"/>
    </row>
    <row r="101" spans="1:5" ht="18.75" customHeight="1" x14ac:dyDescent="0.25">
      <c r="A101" s="4">
        <v>940</v>
      </c>
      <c r="B101" s="107"/>
      <c r="C101" s="120"/>
      <c r="D101" s="120"/>
      <c r="E101" s="109"/>
    </row>
    <row r="102" spans="1:5" ht="18.75" customHeight="1" x14ac:dyDescent="0.25">
      <c r="A102" s="4">
        <v>960</v>
      </c>
      <c r="B102" s="107"/>
      <c r="C102" s="120"/>
      <c r="D102" s="120"/>
      <c r="E102" s="109"/>
    </row>
    <row r="103" spans="1:5" ht="18.75" customHeight="1" x14ac:dyDescent="0.25">
      <c r="A103" s="4">
        <v>980</v>
      </c>
      <c r="B103" s="107"/>
      <c r="C103" s="120"/>
      <c r="D103" s="120"/>
      <c r="E103" s="109"/>
    </row>
    <row r="104" spans="1:5" ht="18.75" customHeight="1" x14ac:dyDescent="0.25">
      <c r="A104" s="5">
        <v>1000</v>
      </c>
      <c r="B104" s="123"/>
      <c r="C104" s="125"/>
      <c r="D104" s="125"/>
      <c r="E104" s="112"/>
    </row>
  </sheetData>
  <mergeCells count="1">
    <mergeCell ref="A1:G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H100"/>
  <sheetViews>
    <sheetView topLeftCell="A33" workbookViewId="0">
      <selection activeCell="A47" sqref="A47:XFD47"/>
    </sheetView>
  </sheetViews>
  <sheetFormatPr defaultRowHeight="13.2" x14ac:dyDescent="0.25"/>
  <cols>
    <col min="1" max="1" width="9.21875" customWidth="1"/>
    <col min="2" max="2" width="11.109375" customWidth="1"/>
    <col min="3" max="3" width="6.88671875" customWidth="1"/>
    <col min="4" max="4" width="7.109375" customWidth="1"/>
    <col min="5" max="5" width="6.88671875" customWidth="1"/>
    <col min="6" max="6" width="3.5546875" customWidth="1"/>
    <col min="7" max="7" width="6.88671875" customWidth="1"/>
    <col min="8" max="8" width="75.77734375" customWidth="1"/>
  </cols>
  <sheetData>
    <row r="1" spans="1:8" ht="18.75" customHeight="1" x14ac:dyDescent="0.25">
      <c r="A1" s="193" t="s">
        <v>75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2200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9.9909E-4</v>
      </c>
      <c r="C5" s="80">
        <v>0</v>
      </c>
      <c r="D5" s="80">
        <v>2.2000000000000002</v>
      </c>
      <c r="E5" s="81">
        <v>-1.0000000000000001E-5</v>
      </c>
      <c r="F5" s="81"/>
      <c r="G5" s="28"/>
      <c r="H5" s="28"/>
    </row>
    <row r="6" spans="1:8" ht="18.75" customHeight="1" x14ac:dyDescent="0.25">
      <c r="A6" s="7">
        <v>5</v>
      </c>
      <c r="B6" s="79">
        <v>9.990000000000001E-4</v>
      </c>
      <c r="C6" s="80">
        <v>21.01</v>
      </c>
      <c r="D6" s="80">
        <v>23.21</v>
      </c>
      <c r="E6" s="81">
        <v>7.621E-2</v>
      </c>
      <c r="F6" s="81"/>
      <c r="G6" s="28"/>
      <c r="H6" s="28"/>
    </row>
    <row r="7" spans="1:8" ht="18.75" customHeight="1" x14ac:dyDescent="0.25">
      <c r="A7" s="7">
        <v>10</v>
      </c>
      <c r="B7" s="79">
        <v>9.9930000000000006E-4</v>
      </c>
      <c r="C7" s="80">
        <v>41.96</v>
      </c>
      <c r="D7" s="80">
        <v>44.16</v>
      </c>
      <c r="E7" s="81">
        <v>0.15089</v>
      </c>
      <c r="F7" s="81"/>
      <c r="G7" s="28"/>
      <c r="H7" s="28"/>
    </row>
    <row r="8" spans="1:8" ht="18.75" customHeight="1" x14ac:dyDescent="0.25">
      <c r="A8" s="7">
        <v>15</v>
      </c>
      <c r="B8" s="79">
        <v>9.9992000000000006E-4</v>
      </c>
      <c r="C8" s="80">
        <v>62.88</v>
      </c>
      <c r="D8" s="80">
        <v>65.08</v>
      </c>
      <c r="E8" s="81">
        <v>0.22413</v>
      </c>
      <c r="F8" s="81"/>
      <c r="G8" s="28"/>
      <c r="H8" s="28"/>
    </row>
    <row r="9" spans="1:8" ht="18.75" customHeight="1" x14ac:dyDescent="0.25">
      <c r="A9" s="7">
        <v>20</v>
      </c>
      <c r="B9" s="79">
        <v>1.0008300000000001E-3</v>
      </c>
      <c r="C9" s="80">
        <v>83.78</v>
      </c>
      <c r="D9" s="80">
        <v>85.98</v>
      </c>
      <c r="E9" s="81">
        <v>0.29603000000000002</v>
      </c>
      <c r="F9" s="81"/>
      <c r="G9" s="28"/>
      <c r="H9" s="28"/>
    </row>
    <row r="10" spans="1:8" ht="18.75" customHeight="1" x14ac:dyDescent="0.25">
      <c r="A10" s="7">
        <v>25</v>
      </c>
      <c r="B10" s="79">
        <v>1.00201E-3</v>
      </c>
      <c r="C10" s="80">
        <v>104.66</v>
      </c>
      <c r="D10" s="80">
        <v>106.86</v>
      </c>
      <c r="E10" s="81">
        <v>0.36665999999999999</v>
      </c>
      <c r="F10" s="81"/>
      <c r="G10" s="28"/>
      <c r="H10" s="28"/>
    </row>
    <row r="11" spans="1:8" ht="18.75" customHeight="1" x14ac:dyDescent="0.25">
      <c r="A11" s="7">
        <v>30</v>
      </c>
      <c r="B11" s="79">
        <v>1.00343E-3</v>
      </c>
      <c r="C11" s="80">
        <v>125.53</v>
      </c>
      <c r="D11" s="80">
        <v>127.74</v>
      </c>
      <c r="E11" s="81">
        <v>0.43608000000000002</v>
      </c>
      <c r="F11" s="81"/>
      <c r="G11" s="28"/>
      <c r="H11" s="28"/>
    </row>
    <row r="12" spans="1:8" ht="18.75" customHeight="1" x14ac:dyDescent="0.25">
      <c r="A12" s="7">
        <v>35</v>
      </c>
      <c r="B12" s="79">
        <v>1.0050700000000001E-3</v>
      </c>
      <c r="C12" s="80">
        <v>146.38999999999999</v>
      </c>
      <c r="D12" s="80">
        <v>148.6</v>
      </c>
      <c r="E12" s="81">
        <v>0.50436999999999999</v>
      </c>
      <c r="F12" s="81"/>
      <c r="G12" s="28"/>
      <c r="H12" s="28"/>
    </row>
    <row r="13" spans="1:8" ht="18.75" customHeight="1" x14ac:dyDescent="0.25">
      <c r="A13" s="7">
        <v>40</v>
      </c>
      <c r="B13" s="79">
        <v>1.00691E-3</v>
      </c>
      <c r="C13" s="80">
        <v>167.26</v>
      </c>
      <c r="D13" s="80">
        <v>169.48</v>
      </c>
      <c r="E13" s="81">
        <v>0.57155</v>
      </c>
      <c r="F13" s="81"/>
      <c r="G13" s="28"/>
      <c r="H13" s="28"/>
    </row>
    <row r="14" spans="1:8" ht="18.75" customHeight="1" x14ac:dyDescent="0.25">
      <c r="A14" s="7">
        <v>45</v>
      </c>
      <c r="B14" s="79">
        <v>1.00895E-3</v>
      </c>
      <c r="C14" s="80">
        <v>188.13</v>
      </c>
      <c r="D14" s="80">
        <v>190.35</v>
      </c>
      <c r="E14" s="81">
        <v>0.63768000000000002</v>
      </c>
      <c r="F14" s="81"/>
      <c r="G14" s="28"/>
      <c r="H14" s="28"/>
    </row>
    <row r="15" spans="1:8" ht="18.75" customHeight="1" x14ac:dyDescent="0.25">
      <c r="A15" s="7">
        <v>50</v>
      </c>
      <c r="B15" s="79">
        <v>1.01117E-3</v>
      </c>
      <c r="C15" s="80">
        <v>209.01</v>
      </c>
      <c r="D15" s="80">
        <v>211.23</v>
      </c>
      <c r="E15" s="81">
        <v>0.70279999999999998</v>
      </c>
      <c r="F15" s="81"/>
      <c r="G15" s="28"/>
      <c r="H15" s="28"/>
    </row>
    <row r="16" spans="1:8" ht="18.75" customHeight="1" x14ac:dyDescent="0.25">
      <c r="A16" s="7">
        <v>55</v>
      </c>
      <c r="B16" s="79">
        <v>1.0135700000000001E-3</v>
      </c>
      <c r="C16" s="80">
        <v>229.88</v>
      </c>
      <c r="D16" s="80">
        <v>232.11</v>
      </c>
      <c r="E16" s="81">
        <v>0.76693999999999996</v>
      </c>
      <c r="F16" s="81"/>
      <c r="G16" s="28"/>
      <c r="H16" s="28"/>
    </row>
    <row r="17" spans="1:8" ht="18.75" customHeight="1" x14ac:dyDescent="0.25">
      <c r="A17" s="7">
        <v>60</v>
      </c>
      <c r="B17" s="79">
        <v>1.01614E-3</v>
      </c>
      <c r="C17" s="80">
        <v>250.77</v>
      </c>
      <c r="D17" s="80">
        <v>253.01</v>
      </c>
      <c r="E17" s="81">
        <v>0.83013000000000003</v>
      </c>
      <c r="F17" s="81"/>
      <c r="G17" s="28"/>
      <c r="H17" s="28"/>
    </row>
    <row r="18" spans="1:8" ht="18.75" customHeight="1" x14ac:dyDescent="0.25">
      <c r="A18" s="7">
        <v>65</v>
      </c>
      <c r="B18" s="79">
        <v>1.01888E-3</v>
      </c>
      <c r="C18" s="80">
        <v>271.68</v>
      </c>
      <c r="D18" s="80">
        <v>273.92</v>
      </c>
      <c r="E18" s="81">
        <v>0.89242999999999995</v>
      </c>
      <c r="F18" s="81"/>
      <c r="G18" s="28"/>
      <c r="H18" s="28"/>
    </row>
    <row r="19" spans="1:8" ht="18.75" customHeight="1" x14ac:dyDescent="0.25">
      <c r="A19" s="7">
        <v>70</v>
      </c>
      <c r="B19" s="79">
        <v>1.02177E-3</v>
      </c>
      <c r="C19" s="80">
        <v>292.58999999999997</v>
      </c>
      <c r="D19" s="80">
        <v>294.83999999999997</v>
      </c>
      <c r="E19" s="81">
        <v>0.95384000000000002</v>
      </c>
      <c r="F19" s="81"/>
      <c r="G19" s="28"/>
      <c r="H19" s="28"/>
    </row>
    <row r="20" spans="1:8" ht="18.75" customHeight="1" x14ac:dyDescent="0.25">
      <c r="A20" s="7">
        <v>75</v>
      </c>
      <c r="B20" s="79">
        <v>1.02483E-3</v>
      </c>
      <c r="C20" s="80">
        <v>313.52</v>
      </c>
      <c r="D20" s="80">
        <v>315.77</v>
      </c>
      <c r="E20" s="82">
        <v>1.0144</v>
      </c>
      <c r="F20" s="82"/>
      <c r="G20" s="28"/>
      <c r="H20" s="28"/>
    </row>
    <row r="21" spans="1:8" ht="18.75" customHeight="1" x14ac:dyDescent="0.25">
      <c r="A21" s="7">
        <v>80</v>
      </c>
      <c r="B21" s="79">
        <v>1.02804E-3</v>
      </c>
      <c r="C21" s="80">
        <v>334.47</v>
      </c>
      <c r="D21" s="80">
        <v>336.73</v>
      </c>
      <c r="E21" s="82">
        <v>1.0742</v>
      </c>
      <c r="F21" s="82"/>
      <c r="G21" s="28"/>
      <c r="H21" s="28"/>
    </row>
    <row r="22" spans="1:8" ht="18.75" customHeight="1" x14ac:dyDescent="0.25">
      <c r="A22" s="7">
        <v>85</v>
      </c>
      <c r="B22" s="79">
        <v>1.0314E-3</v>
      </c>
      <c r="C22" s="80">
        <v>355.43</v>
      </c>
      <c r="D22" s="80">
        <v>357.7</v>
      </c>
      <c r="E22" s="82">
        <v>1.1331</v>
      </c>
      <c r="F22" s="82"/>
      <c r="G22" s="28"/>
      <c r="H22" s="28"/>
    </row>
    <row r="23" spans="1:8" ht="18.75" customHeight="1" x14ac:dyDescent="0.25">
      <c r="A23" s="7">
        <v>90</v>
      </c>
      <c r="B23" s="79">
        <v>1.03491E-3</v>
      </c>
      <c r="C23" s="80">
        <v>376.41</v>
      </c>
      <c r="D23" s="80">
        <v>378.69</v>
      </c>
      <c r="E23" s="82">
        <v>1.1913</v>
      </c>
      <c r="F23" s="82"/>
      <c r="G23" s="28"/>
      <c r="H23" s="28"/>
    </row>
    <row r="24" spans="1:8" ht="18.75" customHeight="1" x14ac:dyDescent="0.25">
      <c r="A24" s="7">
        <v>95</v>
      </c>
      <c r="B24" s="79">
        <v>1.0385699999999999E-3</v>
      </c>
      <c r="C24" s="80">
        <v>397.42</v>
      </c>
      <c r="D24" s="80">
        <v>399.7</v>
      </c>
      <c r="E24" s="82">
        <v>1.2487999999999999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1.04239E-3</v>
      </c>
      <c r="C25" s="80">
        <v>418.45</v>
      </c>
      <c r="D25" s="80">
        <v>420.74</v>
      </c>
      <c r="E25" s="82">
        <v>1.3056000000000001</v>
      </c>
      <c r="F25" s="82"/>
      <c r="G25" s="28"/>
      <c r="H25" s="28"/>
    </row>
    <row r="26" spans="1:8" ht="18.75" customHeight="1" x14ac:dyDescent="0.25">
      <c r="A26" s="7">
        <v>105</v>
      </c>
      <c r="B26" s="79">
        <v>1.0463600000000001E-3</v>
      </c>
      <c r="C26" s="80">
        <v>439.51</v>
      </c>
      <c r="D26" s="80">
        <v>441.81</v>
      </c>
      <c r="E26" s="82">
        <v>1.3616999999999999</v>
      </c>
      <c r="F26" s="82"/>
      <c r="G26" s="28"/>
      <c r="H26" s="28"/>
    </row>
    <row r="27" spans="1:8" ht="18.75" customHeight="1" x14ac:dyDescent="0.25">
      <c r="A27" s="7">
        <v>110</v>
      </c>
      <c r="B27" s="79">
        <v>1.0504900000000001E-3</v>
      </c>
      <c r="C27" s="80">
        <v>460.6</v>
      </c>
      <c r="D27" s="80">
        <v>462.91</v>
      </c>
      <c r="E27" s="82">
        <v>1.4171</v>
      </c>
      <c r="F27" s="82"/>
      <c r="G27" s="28"/>
      <c r="H27" s="28"/>
    </row>
    <row r="28" spans="1:8" ht="18.75" customHeight="1" x14ac:dyDescent="0.25">
      <c r="A28" s="7">
        <v>115</v>
      </c>
      <c r="B28" s="79">
        <v>1.05477E-3</v>
      </c>
      <c r="C28" s="80">
        <v>481.73</v>
      </c>
      <c r="D28" s="80">
        <v>484.05</v>
      </c>
      <c r="E28" s="82">
        <v>1.4719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1.0591999999999999E-3</v>
      </c>
      <c r="C29" s="80">
        <v>502.89</v>
      </c>
      <c r="D29" s="80">
        <v>505.22</v>
      </c>
      <c r="E29" s="82">
        <v>1.5261</v>
      </c>
      <c r="F29" s="82"/>
      <c r="G29" s="28"/>
      <c r="H29" s="28"/>
    </row>
    <row r="30" spans="1:8" ht="18.75" customHeight="1" x14ac:dyDescent="0.25">
      <c r="A30" s="7">
        <v>125</v>
      </c>
      <c r="B30" s="79">
        <v>1.0637999999999999E-3</v>
      </c>
      <c r="C30" s="80">
        <v>524.09</v>
      </c>
      <c r="D30" s="80">
        <v>526.42999999999995</v>
      </c>
      <c r="E30" s="82">
        <v>1.5797000000000001</v>
      </c>
      <c r="F30" s="82"/>
      <c r="G30" s="28"/>
      <c r="H30" s="28"/>
    </row>
    <row r="31" spans="1:8" ht="18.75" customHeight="1" x14ac:dyDescent="0.25">
      <c r="A31" s="7">
        <v>130</v>
      </c>
      <c r="B31" s="79">
        <v>1.0685600000000001E-3</v>
      </c>
      <c r="C31" s="80">
        <v>545.34</v>
      </c>
      <c r="D31" s="80">
        <v>547.69000000000005</v>
      </c>
      <c r="E31" s="82">
        <v>1.6328</v>
      </c>
      <c r="F31" s="82"/>
      <c r="G31" s="28"/>
      <c r="H31" s="28"/>
    </row>
    <row r="32" spans="1:8" ht="18.75" customHeight="1" x14ac:dyDescent="0.25">
      <c r="A32" s="7">
        <v>135</v>
      </c>
      <c r="B32" s="79">
        <v>1.0734900000000001E-3</v>
      </c>
      <c r="C32" s="80">
        <v>566.64</v>
      </c>
      <c r="D32" s="80">
        <v>569</v>
      </c>
      <c r="E32" s="82">
        <v>1.6853</v>
      </c>
      <c r="F32" s="82"/>
      <c r="G32" s="28"/>
      <c r="H32" s="28"/>
    </row>
    <row r="33" spans="1:8" ht="18.75" customHeight="1" x14ac:dyDescent="0.25">
      <c r="A33" s="7">
        <v>140</v>
      </c>
      <c r="B33" s="79">
        <v>1.0786000000000001E-3</v>
      </c>
      <c r="C33" s="80">
        <v>587.98</v>
      </c>
      <c r="D33" s="80">
        <v>590.35</v>
      </c>
      <c r="E33" s="82">
        <v>1.7373000000000001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1.08388E-3</v>
      </c>
      <c r="C34" s="80">
        <v>609.39</v>
      </c>
      <c r="D34" s="80">
        <v>611.77</v>
      </c>
      <c r="E34" s="82">
        <v>1.7887999999999999</v>
      </c>
      <c r="F34" s="82"/>
      <c r="G34" s="28"/>
      <c r="H34" s="28"/>
    </row>
    <row r="35" spans="1:8" ht="18.75" customHeight="1" x14ac:dyDescent="0.25">
      <c r="A35" s="7">
        <v>150</v>
      </c>
      <c r="B35" s="79">
        <v>1.0893400000000001E-3</v>
      </c>
      <c r="C35" s="80">
        <v>630.84</v>
      </c>
      <c r="D35" s="80">
        <v>633.24</v>
      </c>
      <c r="E35" s="82">
        <v>1.8399000000000001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1.0950000000000001E-3</v>
      </c>
      <c r="C36" s="80">
        <v>652.38</v>
      </c>
      <c r="D36" s="80">
        <v>654.79</v>
      </c>
      <c r="E36" s="82">
        <v>1.8905000000000001</v>
      </c>
      <c r="F36" s="82"/>
      <c r="G36" s="28"/>
      <c r="H36" s="28"/>
    </row>
    <row r="37" spans="1:8" ht="18.75" customHeight="1" x14ac:dyDescent="0.25">
      <c r="A37" s="7">
        <v>160</v>
      </c>
      <c r="B37" s="79">
        <v>1.10085E-3</v>
      </c>
      <c r="C37" s="80">
        <v>673.98</v>
      </c>
      <c r="D37" s="80">
        <v>676.4</v>
      </c>
      <c r="E37" s="82">
        <v>1.9407000000000001</v>
      </c>
      <c r="F37" s="82"/>
      <c r="G37" s="28"/>
      <c r="H37" s="28"/>
    </row>
    <row r="38" spans="1:8" ht="18.75" customHeight="1" x14ac:dyDescent="0.25">
      <c r="A38" s="7">
        <v>165</v>
      </c>
      <c r="B38" s="79">
        <v>1.1069000000000001E-3</v>
      </c>
      <c r="C38" s="80">
        <v>695.64</v>
      </c>
      <c r="D38" s="80">
        <v>698.08</v>
      </c>
      <c r="E38" s="82">
        <v>1.9904999999999999</v>
      </c>
      <c r="F38" s="82"/>
      <c r="G38" s="28"/>
      <c r="H38" s="28"/>
    </row>
    <row r="39" spans="1:8" ht="18.75" customHeight="1" x14ac:dyDescent="0.25">
      <c r="A39" s="7">
        <v>170</v>
      </c>
      <c r="B39" s="79">
        <v>1.1131699999999999E-3</v>
      </c>
      <c r="C39" s="80">
        <v>717.4</v>
      </c>
      <c r="D39" s="80">
        <v>719.85</v>
      </c>
      <c r="E39" s="82">
        <v>2.0398999999999998</v>
      </c>
      <c r="F39" s="82"/>
      <c r="G39" s="28"/>
      <c r="H39" s="28"/>
    </row>
    <row r="40" spans="1:8" ht="18.75" customHeight="1" x14ac:dyDescent="0.25">
      <c r="A40" s="7">
        <v>175</v>
      </c>
      <c r="B40" s="79">
        <v>1.11966E-3</v>
      </c>
      <c r="C40" s="80">
        <v>739.25</v>
      </c>
      <c r="D40" s="80">
        <v>741.71</v>
      </c>
      <c r="E40" s="82">
        <v>2.0889000000000002</v>
      </c>
      <c r="F40" s="82"/>
      <c r="G40" s="28"/>
      <c r="H40" s="28"/>
    </row>
    <row r="41" spans="1:8" ht="18.75" customHeight="1" x14ac:dyDescent="0.25">
      <c r="A41" s="7">
        <v>180</v>
      </c>
      <c r="B41" s="79">
        <v>1.12638E-3</v>
      </c>
      <c r="C41" s="80">
        <v>761.18</v>
      </c>
      <c r="D41" s="80">
        <v>763.66</v>
      </c>
      <c r="E41" s="82">
        <v>2.1375999999999999</v>
      </c>
      <c r="F41" s="82"/>
      <c r="G41" s="28"/>
      <c r="H41" s="28"/>
    </row>
    <row r="42" spans="1:8" ht="18.75" customHeight="1" x14ac:dyDescent="0.25">
      <c r="A42" s="7">
        <v>185</v>
      </c>
      <c r="B42" s="79">
        <v>1.13335E-3</v>
      </c>
      <c r="C42" s="80">
        <v>783.22</v>
      </c>
      <c r="D42" s="80">
        <v>785.71</v>
      </c>
      <c r="E42" s="82">
        <v>2.1859999999999999</v>
      </c>
      <c r="F42" s="82"/>
      <c r="G42" s="28"/>
      <c r="H42" s="28"/>
    </row>
    <row r="43" spans="1:8" ht="18.75" customHeight="1" x14ac:dyDescent="0.25">
      <c r="A43" s="7">
        <v>190</v>
      </c>
      <c r="B43" s="79">
        <v>1.14058E-3</v>
      </c>
      <c r="C43" s="80">
        <v>805.35</v>
      </c>
      <c r="D43" s="80">
        <v>807.86</v>
      </c>
      <c r="E43" s="82">
        <v>2.2341000000000002</v>
      </c>
      <c r="F43" s="82"/>
      <c r="G43" s="28"/>
      <c r="H43" s="28"/>
    </row>
    <row r="44" spans="1:8" ht="18.75" customHeight="1" x14ac:dyDescent="0.25">
      <c r="A44" s="7">
        <v>195</v>
      </c>
      <c r="B44" s="79">
        <v>1.1480800000000001E-3</v>
      </c>
      <c r="C44" s="80">
        <v>827.61</v>
      </c>
      <c r="D44" s="80">
        <v>830.14</v>
      </c>
      <c r="E44" s="82">
        <v>2.2818999999999998</v>
      </c>
      <c r="F44" s="82"/>
      <c r="G44" s="28"/>
      <c r="H44" s="28"/>
    </row>
    <row r="45" spans="1:8" ht="18.75" customHeight="1" x14ac:dyDescent="0.25">
      <c r="A45" s="7">
        <v>200</v>
      </c>
      <c r="B45" s="79">
        <v>1.15587E-3</v>
      </c>
      <c r="C45" s="80">
        <v>849.99</v>
      </c>
      <c r="D45" s="80">
        <v>852.53</v>
      </c>
      <c r="E45" s="82">
        <v>2.3294999999999999</v>
      </c>
      <c r="F45" s="82"/>
      <c r="G45" s="28"/>
      <c r="H45" s="28"/>
    </row>
    <row r="46" spans="1:8" ht="18.75" customHeight="1" x14ac:dyDescent="0.25">
      <c r="A46" s="7">
        <v>210</v>
      </c>
      <c r="B46" s="79">
        <v>1.1723899999999999E-3</v>
      </c>
      <c r="C46" s="80">
        <v>895.15</v>
      </c>
      <c r="D46" s="80">
        <v>897.73</v>
      </c>
      <c r="E46" s="82">
        <v>2.4239999999999999</v>
      </c>
      <c r="F46" s="82"/>
      <c r="G46" s="28"/>
      <c r="H46" s="28"/>
    </row>
    <row r="47" spans="1:8" ht="18.75" customHeight="1" x14ac:dyDescent="0.25">
      <c r="A47" s="7">
        <v>220</v>
      </c>
      <c r="B47" s="85">
        <v>9.1585E-2</v>
      </c>
      <c r="C47" s="83">
        <v>2607.5</v>
      </c>
      <c r="D47" s="83">
        <v>2809</v>
      </c>
      <c r="E47" s="82">
        <v>6.3217999999999996</v>
      </c>
      <c r="F47" s="82"/>
      <c r="G47" s="28"/>
      <c r="H47" s="28"/>
    </row>
    <row r="48" spans="1:8" ht="18.75" customHeight="1" x14ac:dyDescent="0.25">
      <c r="A48" s="7">
        <v>230</v>
      </c>
      <c r="B48" s="85">
        <v>9.4667000000000001E-2</v>
      </c>
      <c r="C48" s="83">
        <v>2630.9</v>
      </c>
      <c r="D48" s="83">
        <v>2839.2</v>
      </c>
      <c r="E48" s="82">
        <v>6.3826000000000001</v>
      </c>
      <c r="F48" s="82"/>
      <c r="G48" s="28"/>
      <c r="H48" s="28"/>
    </row>
    <row r="49" spans="1:8" ht="18.75" customHeight="1" x14ac:dyDescent="0.25">
      <c r="A49" s="7">
        <v>240</v>
      </c>
      <c r="B49" s="85">
        <v>9.7591999999999998E-2</v>
      </c>
      <c r="C49" s="83">
        <v>2652.8</v>
      </c>
      <c r="D49" s="83">
        <v>2867.5</v>
      </c>
      <c r="E49" s="82">
        <v>6.4382999999999999</v>
      </c>
      <c r="F49" s="82"/>
      <c r="G49" s="28"/>
      <c r="H49" s="28"/>
    </row>
    <row r="50" spans="1:8" ht="18.75" customHeight="1" x14ac:dyDescent="0.25">
      <c r="A50" s="7">
        <v>250</v>
      </c>
      <c r="B50" s="81">
        <v>0.10041</v>
      </c>
      <c r="C50" s="83">
        <v>2673.6</v>
      </c>
      <c r="D50" s="83">
        <v>2894.5</v>
      </c>
      <c r="E50" s="82">
        <v>6.4903000000000004</v>
      </c>
      <c r="F50" s="82"/>
      <c r="G50" s="28"/>
      <c r="H50" s="28"/>
    </row>
    <row r="51" spans="1:8" ht="18.75" customHeight="1" x14ac:dyDescent="0.25">
      <c r="A51" s="7">
        <v>260</v>
      </c>
      <c r="B51" s="81">
        <v>0.10313</v>
      </c>
      <c r="C51" s="83">
        <v>2693.6</v>
      </c>
      <c r="D51" s="83">
        <v>2920.5</v>
      </c>
      <c r="E51" s="82">
        <v>6.5396000000000001</v>
      </c>
      <c r="F51" s="82"/>
      <c r="G51" s="28"/>
      <c r="H51" s="28"/>
    </row>
    <row r="52" spans="1:8" ht="18.75" customHeight="1" x14ac:dyDescent="0.25">
      <c r="A52" s="7">
        <v>270</v>
      </c>
      <c r="B52" s="81">
        <v>0.10579</v>
      </c>
      <c r="C52" s="83">
        <v>2713.1</v>
      </c>
      <c r="D52" s="83">
        <v>2945.8</v>
      </c>
      <c r="E52" s="82">
        <v>6.5865999999999998</v>
      </c>
      <c r="F52" s="82"/>
      <c r="G52" s="28"/>
      <c r="H52" s="28"/>
    </row>
    <row r="53" spans="1:8" ht="18.75" customHeight="1" x14ac:dyDescent="0.25">
      <c r="A53" s="7">
        <v>280</v>
      </c>
      <c r="B53" s="81">
        <v>0.10838</v>
      </c>
      <c r="C53" s="83">
        <v>2732.1</v>
      </c>
      <c r="D53" s="83">
        <v>2970.5</v>
      </c>
      <c r="E53" s="82">
        <v>6.6315999999999997</v>
      </c>
      <c r="F53" s="82"/>
      <c r="G53" s="28"/>
      <c r="H53" s="28"/>
    </row>
    <row r="54" spans="1:8" ht="18.75" customHeight="1" x14ac:dyDescent="0.25">
      <c r="A54" s="7">
        <v>290</v>
      </c>
      <c r="B54" s="81">
        <v>0.11093</v>
      </c>
      <c r="C54" s="83">
        <v>2750.6</v>
      </c>
      <c r="D54" s="83">
        <v>2994.6</v>
      </c>
      <c r="E54" s="82">
        <v>6.6749000000000001</v>
      </c>
      <c r="F54" s="82"/>
      <c r="G54" s="28"/>
      <c r="H54" s="28"/>
    </row>
    <row r="55" spans="1:8" ht="18.75" customHeight="1" x14ac:dyDescent="0.25">
      <c r="A55" s="7">
        <v>300</v>
      </c>
      <c r="B55" s="81">
        <v>0.11344</v>
      </c>
      <c r="C55" s="83">
        <v>2768.8</v>
      </c>
      <c r="D55" s="83">
        <v>3018.4</v>
      </c>
      <c r="E55" s="82">
        <v>6.7167000000000003</v>
      </c>
      <c r="F55" s="82"/>
      <c r="G55" s="28"/>
      <c r="H55" s="28"/>
    </row>
    <row r="56" spans="1:8" ht="18.75" customHeight="1" x14ac:dyDescent="0.25">
      <c r="A56" s="7">
        <v>310</v>
      </c>
      <c r="B56" s="81">
        <v>0.11591</v>
      </c>
      <c r="C56" s="83">
        <v>2786.9</v>
      </c>
      <c r="D56" s="83">
        <v>3041.9</v>
      </c>
      <c r="E56" s="82">
        <v>6.7572999999999999</v>
      </c>
      <c r="F56" s="82"/>
      <c r="G56" s="28"/>
      <c r="H56" s="28"/>
    </row>
    <row r="57" spans="1:8" ht="18.75" customHeight="1" x14ac:dyDescent="0.25">
      <c r="A57" s="7">
        <v>320</v>
      </c>
      <c r="B57" s="81">
        <v>0.11834</v>
      </c>
      <c r="C57" s="83">
        <v>2804.8</v>
      </c>
      <c r="D57" s="83">
        <v>3065.1</v>
      </c>
      <c r="E57" s="82">
        <v>6.7967000000000004</v>
      </c>
      <c r="F57" s="82"/>
      <c r="G57" s="28"/>
      <c r="H57" s="28"/>
    </row>
    <row r="58" spans="1:8" ht="18.75" customHeight="1" x14ac:dyDescent="0.25">
      <c r="A58" s="7">
        <v>330</v>
      </c>
      <c r="B58" s="81">
        <v>0.12075</v>
      </c>
      <c r="C58" s="83">
        <v>2822.4</v>
      </c>
      <c r="D58" s="83">
        <v>3088</v>
      </c>
      <c r="E58" s="82">
        <v>6.8350999999999997</v>
      </c>
      <c r="F58" s="82"/>
      <c r="G58" s="28"/>
      <c r="H58" s="28"/>
    </row>
    <row r="59" spans="1:8" ht="18.75" customHeight="1" x14ac:dyDescent="0.25">
      <c r="A59" s="7">
        <v>340</v>
      </c>
      <c r="B59" s="81">
        <v>0.12314</v>
      </c>
      <c r="C59" s="83">
        <v>2839.9</v>
      </c>
      <c r="D59" s="83">
        <v>3110.8</v>
      </c>
      <c r="E59" s="82">
        <v>6.8726000000000003</v>
      </c>
      <c r="F59" s="82"/>
      <c r="G59" s="28"/>
      <c r="H59" s="28"/>
    </row>
    <row r="60" spans="1:8" ht="18.75" customHeight="1" x14ac:dyDescent="0.25">
      <c r="A60" s="7">
        <v>350</v>
      </c>
      <c r="B60" s="81">
        <v>0.12551000000000001</v>
      </c>
      <c r="C60" s="83">
        <v>2857.3</v>
      </c>
      <c r="D60" s="83">
        <v>3133.4</v>
      </c>
      <c r="E60" s="82">
        <v>6.9092000000000002</v>
      </c>
      <c r="F60" s="82"/>
      <c r="G60" s="28"/>
      <c r="H60" s="28"/>
    </row>
    <row r="61" spans="1:8" ht="18.75" customHeight="1" x14ac:dyDescent="0.25">
      <c r="A61" s="7">
        <v>360</v>
      </c>
      <c r="B61" s="81">
        <v>0.12784999999999999</v>
      </c>
      <c r="C61" s="83">
        <v>2874.6</v>
      </c>
      <c r="D61" s="83">
        <v>3155.9</v>
      </c>
      <c r="E61" s="82">
        <v>6.9450000000000003</v>
      </c>
      <c r="F61" s="82"/>
      <c r="G61" s="28"/>
      <c r="H61" s="28"/>
    </row>
    <row r="62" spans="1:8" ht="18.75" customHeight="1" x14ac:dyDescent="0.25">
      <c r="A62" s="7">
        <v>370</v>
      </c>
      <c r="B62" s="81">
        <v>0.13017999999999999</v>
      </c>
      <c r="C62" s="83">
        <v>2891.9</v>
      </c>
      <c r="D62" s="83">
        <v>3178.3</v>
      </c>
      <c r="E62" s="82">
        <v>6.9801000000000002</v>
      </c>
      <c r="F62" s="82"/>
      <c r="G62" s="28"/>
      <c r="H62" s="28"/>
    </row>
    <row r="63" spans="1:8" ht="18.75" customHeight="1" x14ac:dyDescent="0.25">
      <c r="A63" s="7">
        <v>380</v>
      </c>
      <c r="B63" s="81">
        <v>0.13249</v>
      </c>
      <c r="C63" s="83">
        <v>2909.1</v>
      </c>
      <c r="D63" s="83">
        <v>3200.6</v>
      </c>
      <c r="E63" s="82">
        <v>7.0145</v>
      </c>
      <c r="F63" s="82"/>
      <c r="G63" s="28"/>
      <c r="H63" s="28"/>
    </row>
    <row r="64" spans="1:8" ht="18.75" customHeight="1" x14ac:dyDescent="0.25">
      <c r="A64" s="7">
        <v>390</v>
      </c>
      <c r="B64" s="81">
        <v>0.13478999999999999</v>
      </c>
      <c r="C64" s="83">
        <v>2926.4</v>
      </c>
      <c r="D64" s="83">
        <v>3222.9</v>
      </c>
      <c r="E64" s="82">
        <v>7.0483000000000002</v>
      </c>
      <c r="F64" s="82"/>
      <c r="G64" s="28"/>
      <c r="H64" s="28"/>
    </row>
    <row r="65" spans="1:8" ht="18.75" customHeight="1" x14ac:dyDescent="0.25">
      <c r="A65" s="7">
        <v>400</v>
      </c>
      <c r="B65" s="81">
        <v>0.13708000000000001</v>
      </c>
      <c r="C65" s="83">
        <v>2943.5</v>
      </c>
      <c r="D65" s="83">
        <v>3245.1</v>
      </c>
      <c r="E65" s="82">
        <v>7.0815000000000001</v>
      </c>
      <c r="F65" s="82"/>
      <c r="G65" s="28"/>
      <c r="H65" s="28"/>
    </row>
    <row r="66" spans="1:8" ht="18.75" customHeight="1" x14ac:dyDescent="0.25">
      <c r="A66" s="7">
        <v>410</v>
      </c>
      <c r="B66" s="81">
        <v>0.13936000000000001</v>
      </c>
      <c r="C66" s="83">
        <v>2960.6</v>
      </c>
      <c r="D66" s="83">
        <v>3267.2</v>
      </c>
      <c r="E66" s="82">
        <v>7.1142000000000003</v>
      </c>
      <c r="F66" s="82"/>
      <c r="G66" s="28"/>
      <c r="H66" s="28"/>
    </row>
    <row r="67" spans="1:8" ht="18.75" customHeight="1" x14ac:dyDescent="0.25">
      <c r="A67" s="7">
        <v>420</v>
      </c>
      <c r="B67" s="81">
        <v>0.14162</v>
      </c>
      <c r="C67" s="83">
        <v>2977.7</v>
      </c>
      <c r="D67" s="83">
        <v>3289.3</v>
      </c>
      <c r="E67" s="82">
        <v>7.1463000000000001</v>
      </c>
      <c r="F67" s="82"/>
      <c r="G67" s="28"/>
      <c r="H67" s="28"/>
    </row>
    <row r="68" spans="1:8" ht="18.75" customHeight="1" x14ac:dyDescent="0.25">
      <c r="A68" s="7">
        <v>430</v>
      </c>
      <c r="B68" s="81">
        <v>0.14388000000000001</v>
      </c>
      <c r="C68" s="83">
        <v>2994.9</v>
      </c>
      <c r="D68" s="83">
        <v>3311.4</v>
      </c>
      <c r="E68" s="82">
        <v>7.1779999999999999</v>
      </c>
      <c r="F68" s="82"/>
      <c r="G68" s="28"/>
      <c r="H68" s="28"/>
    </row>
    <row r="69" spans="1:8" ht="18.75" customHeight="1" x14ac:dyDescent="0.25">
      <c r="A69" s="7">
        <v>440</v>
      </c>
      <c r="B69" s="81">
        <v>0.14613000000000001</v>
      </c>
      <c r="C69" s="83">
        <v>3012</v>
      </c>
      <c r="D69" s="83">
        <v>3333.5</v>
      </c>
      <c r="E69" s="82">
        <v>7.2091000000000003</v>
      </c>
      <c r="F69" s="82"/>
      <c r="G69" s="28"/>
      <c r="H69" s="28"/>
    </row>
    <row r="70" spans="1:8" ht="18.75" customHeight="1" x14ac:dyDescent="0.25">
      <c r="A70" s="7">
        <v>450</v>
      </c>
      <c r="B70" s="81">
        <v>0.14837</v>
      </c>
      <c r="C70" s="83">
        <v>3029.2</v>
      </c>
      <c r="D70" s="83">
        <v>3355.6</v>
      </c>
      <c r="E70" s="82">
        <v>7.2398999999999996</v>
      </c>
      <c r="F70" s="82"/>
      <c r="G70" s="28"/>
      <c r="H70" s="28"/>
    </row>
    <row r="71" spans="1:8" ht="18.75" customHeight="1" x14ac:dyDescent="0.25">
      <c r="A71" s="7">
        <v>460</v>
      </c>
      <c r="B71" s="81">
        <v>0.15060000000000001</v>
      </c>
      <c r="C71" s="83">
        <v>3046.3</v>
      </c>
      <c r="D71" s="83">
        <v>3377.6</v>
      </c>
      <c r="E71" s="82">
        <v>7.2702</v>
      </c>
      <c r="F71" s="82"/>
      <c r="G71" s="28"/>
      <c r="H71" s="28"/>
    </row>
    <row r="72" spans="1:8" ht="18.75" customHeight="1" x14ac:dyDescent="0.25">
      <c r="A72" s="7">
        <v>470</v>
      </c>
      <c r="B72" s="81">
        <v>0.15282000000000001</v>
      </c>
      <c r="C72" s="83">
        <v>3063.5</v>
      </c>
      <c r="D72" s="83">
        <v>3399.7</v>
      </c>
      <c r="E72" s="82">
        <v>7.3000999999999996</v>
      </c>
      <c r="F72" s="82"/>
      <c r="G72" s="28"/>
      <c r="H72" s="28"/>
    </row>
    <row r="73" spans="1:8" ht="18.75" customHeight="1" x14ac:dyDescent="0.25">
      <c r="A73" s="7">
        <v>480</v>
      </c>
      <c r="B73" s="81">
        <v>0.15504000000000001</v>
      </c>
      <c r="C73" s="83">
        <v>3080.7</v>
      </c>
      <c r="D73" s="83">
        <v>3421.8</v>
      </c>
      <c r="E73" s="82">
        <v>7.3296000000000001</v>
      </c>
      <c r="F73" s="82"/>
      <c r="G73" s="28"/>
      <c r="H73" s="28"/>
    </row>
    <row r="74" spans="1:8" ht="18.75" customHeight="1" x14ac:dyDescent="0.25">
      <c r="A74" s="7">
        <v>490</v>
      </c>
      <c r="B74" s="81">
        <v>0.15725</v>
      </c>
      <c r="C74" s="83">
        <v>3097.9</v>
      </c>
      <c r="D74" s="83">
        <v>3443.9</v>
      </c>
      <c r="E74" s="82">
        <v>7.3587999999999996</v>
      </c>
      <c r="F74" s="82"/>
      <c r="G74" s="28"/>
      <c r="H74" s="28"/>
    </row>
    <row r="75" spans="1:8" ht="18.75" customHeight="1" x14ac:dyDescent="0.25">
      <c r="A75" s="7">
        <v>500</v>
      </c>
      <c r="B75" s="81">
        <v>0.15945999999999999</v>
      </c>
      <c r="C75" s="83">
        <v>3115.2</v>
      </c>
      <c r="D75" s="83">
        <v>3466</v>
      </c>
      <c r="E75" s="82">
        <v>7.3875999999999999</v>
      </c>
      <c r="F75" s="82"/>
      <c r="G75" s="28"/>
      <c r="H75" s="28"/>
    </row>
    <row r="76" spans="1:8" ht="18.75" customHeight="1" x14ac:dyDescent="0.25">
      <c r="A76" s="7">
        <v>520</v>
      </c>
      <c r="B76" s="81">
        <v>0.16386000000000001</v>
      </c>
      <c r="C76" s="83">
        <v>3149.9</v>
      </c>
      <c r="D76" s="83">
        <v>3510.4</v>
      </c>
      <c r="E76" s="82">
        <v>7.4442000000000004</v>
      </c>
      <c r="F76" s="82"/>
      <c r="G76" s="28"/>
      <c r="H76" s="28"/>
    </row>
    <row r="77" spans="1:8" ht="18.75" customHeight="1" x14ac:dyDescent="0.25">
      <c r="A77" s="7">
        <v>540</v>
      </c>
      <c r="B77" s="81">
        <v>0.16824</v>
      </c>
      <c r="C77" s="83">
        <v>3184.7</v>
      </c>
      <c r="D77" s="83">
        <v>3554.8</v>
      </c>
      <c r="E77" s="82">
        <v>7.4996</v>
      </c>
      <c r="F77" s="82"/>
      <c r="G77" s="28"/>
      <c r="H77" s="28"/>
    </row>
    <row r="78" spans="1:8" ht="18.75" customHeight="1" x14ac:dyDescent="0.25">
      <c r="A78" s="7">
        <v>560</v>
      </c>
      <c r="B78" s="81">
        <v>0.17261000000000001</v>
      </c>
      <c r="C78" s="83">
        <v>3219.7</v>
      </c>
      <c r="D78" s="83">
        <v>3599.4</v>
      </c>
      <c r="E78" s="82">
        <v>7.5537999999999998</v>
      </c>
      <c r="F78" s="82"/>
      <c r="G78" s="28"/>
      <c r="H78" s="28"/>
    </row>
    <row r="79" spans="1:8" ht="18.75" customHeight="1" x14ac:dyDescent="0.25">
      <c r="A79" s="7">
        <v>580</v>
      </c>
      <c r="B79" s="81">
        <v>0.17696000000000001</v>
      </c>
      <c r="C79" s="83">
        <v>3254.9</v>
      </c>
      <c r="D79" s="83">
        <v>3644.2</v>
      </c>
      <c r="E79" s="82">
        <v>7.6069000000000004</v>
      </c>
      <c r="F79" s="82"/>
      <c r="G79" s="28"/>
      <c r="H79" s="28"/>
    </row>
    <row r="80" spans="1:8" ht="18.75" customHeight="1" x14ac:dyDescent="0.25">
      <c r="A80" s="7">
        <v>600</v>
      </c>
      <c r="B80" s="81">
        <v>0.18129999999999999</v>
      </c>
      <c r="C80" s="83">
        <v>3290.3</v>
      </c>
      <c r="D80" s="83">
        <v>3689.2</v>
      </c>
      <c r="E80" s="82">
        <v>7.6589</v>
      </c>
      <c r="F80" s="82"/>
      <c r="G80" s="28"/>
      <c r="H80" s="28"/>
    </row>
    <row r="81" spans="1:8" ht="18.75" customHeight="1" x14ac:dyDescent="0.25">
      <c r="A81" s="7">
        <v>620</v>
      </c>
      <c r="B81" s="81">
        <v>0.18562000000000001</v>
      </c>
      <c r="C81" s="83">
        <v>3325.9</v>
      </c>
      <c r="D81" s="83">
        <v>3734.3</v>
      </c>
      <c r="E81" s="82">
        <v>7.71</v>
      </c>
      <c r="F81" s="82"/>
      <c r="G81" s="28"/>
      <c r="H81" s="28"/>
    </row>
    <row r="82" spans="1:8" ht="18.75" customHeight="1" x14ac:dyDescent="0.25">
      <c r="A82" s="7">
        <v>640</v>
      </c>
      <c r="B82" s="81">
        <v>0.18994</v>
      </c>
      <c r="C82" s="83">
        <v>3361.7</v>
      </c>
      <c r="D82" s="83">
        <v>3779.6</v>
      </c>
      <c r="E82" s="82">
        <v>7.7603</v>
      </c>
      <c r="F82" s="82"/>
      <c r="G82" s="28"/>
      <c r="H82" s="28"/>
    </row>
    <row r="83" spans="1:8" ht="18.75" customHeight="1" x14ac:dyDescent="0.25">
      <c r="A83" s="7">
        <v>660</v>
      </c>
      <c r="B83" s="81">
        <v>0.19425000000000001</v>
      </c>
      <c r="C83" s="83">
        <v>3397.8</v>
      </c>
      <c r="D83" s="83">
        <v>3825.2</v>
      </c>
      <c r="E83" s="82">
        <v>7.8095999999999997</v>
      </c>
      <c r="F83" s="82"/>
      <c r="G83" s="28"/>
      <c r="H83" s="28"/>
    </row>
    <row r="84" spans="1:8" ht="18.75" customHeight="1" x14ac:dyDescent="0.25">
      <c r="A84" s="7">
        <v>680</v>
      </c>
      <c r="B84" s="81">
        <v>0.19855</v>
      </c>
      <c r="C84" s="83">
        <v>3434.2</v>
      </c>
      <c r="D84" s="83">
        <v>3871</v>
      </c>
      <c r="E84" s="82">
        <v>7.8581000000000003</v>
      </c>
      <c r="F84" s="82"/>
      <c r="G84" s="28"/>
      <c r="H84" s="28"/>
    </row>
    <row r="85" spans="1:8" ht="18.75" customHeight="1" x14ac:dyDescent="0.25">
      <c r="A85" s="7">
        <v>700</v>
      </c>
      <c r="B85" s="81">
        <v>0.20285</v>
      </c>
      <c r="C85" s="83">
        <v>3470.7</v>
      </c>
      <c r="D85" s="83">
        <v>3917</v>
      </c>
      <c r="E85" s="82">
        <v>7.9058999999999999</v>
      </c>
      <c r="F85" s="82"/>
      <c r="G85" s="28"/>
      <c r="H85" s="28"/>
    </row>
    <row r="86" spans="1:8" ht="18.75" customHeight="1" x14ac:dyDescent="0.25">
      <c r="A86" s="7">
        <v>720</v>
      </c>
      <c r="B86" s="81">
        <v>0.20713000000000001</v>
      </c>
      <c r="C86" s="83">
        <v>3507.5</v>
      </c>
      <c r="D86" s="83">
        <v>3963.2</v>
      </c>
      <c r="E86" s="82">
        <v>7.9528999999999996</v>
      </c>
      <c r="F86" s="82"/>
      <c r="G86" s="28"/>
      <c r="H86" s="28"/>
    </row>
    <row r="87" spans="1:8" ht="18.75" customHeight="1" x14ac:dyDescent="0.25">
      <c r="A87" s="7">
        <v>740</v>
      </c>
      <c r="B87" s="81">
        <v>0.21142</v>
      </c>
      <c r="C87" s="83">
        <v>3544.6</v>
      </c>
      <c r="D87" s="83">
        <v>4009.7</v>
      </c>
      <c r="E87" s="82">
        <v>7.9992999999999999</v>
      </c>
      <c r="F87" s="82"/>
      <c r="G87" s="28"/>
      <c r="H87" s="28"/>
    </row>
    <row r="88" spans="1:8" ht="18.75" customHeight="1" x14ac:dyDescent="0.25">
      <c r="A88" s="7">
        <v>760</v>
      </c>
      <c r="B88" s="81">
        <v>0.21568999999999999</v>
      </c>
      <c r="C88" s="83">
        <v>3581.9</v>
      </c>
      <c r="D88" s="83">
        <v>4056.4</v>
      </c>
      <c r="E88" s="82">
        <v>8.0449000000000002</v>
      </c>
      <c r="F88" s="82"/>
      <c r="G88" s="28"/>
      <c r="H88" s="28"/>
    </row>
    <row r="89" spans="1:8" ht="18.75" customHeight="1" x14ac:dyDescent="0.25">
      <c r="A89" s="7">
        <v>780</v>
      </c>
      <c r="B89" s="81">
        <v>0.21995999999999999</v>
      </c>
      <c r="C89" s="83">
        <v>3619.5</v>
      </c>
      <c r="D89" s="83">
        <v>4103.3999999999996</v>
      </c>
      <c r="E89" s="82">
        <v>8.09</v>
      </c>
      <c r="F89" s="82"/>
      <c r="G89" s="28"/>
      <c r="H89" s="28"/>
    </row>
    <row r="90" spans="1:8" ht="18.75" customHeight="1" x14ac:dyDescent="0.25">
      <c r="A90" s="7">
        <v>800</v>
      </c>
      <c r="B90" s="81">
        <v>0.22423000000000001</v>
      </c>
      <c r="C90" s="83">
        <v>3657.3</v>
      </c>
      <c r="D90" s="83">
        <v>4150.6000000000004</v>
      </c>
      <c r="E90" s="82">
        <v>8.1343999999999994</v>
      </c>
      <c r="F90" s="82"/>
      <c r="G90" s="28"/>
      <c r="H90" s="28"/>
    </row>
    <row r="91" spans="1:8" ht="18.75" customHeight="1" x14ac:dyDescent="0.25">
      <c r="A91" s="7">
        <v>820</v>
      </c>
      <c r="B91" s="81">
        <v>0.22849</v>
      </c>
      <c r="C91" s="83">
        <v>3695.4</v>
      </c>
      <c r="D91" s="83">
        <v>4198.1000000000004</v>
      </c>
      <c r="E91" s="82">
        <v>8.1782000000000004</v>
      </c>
      <c r="F91" s="82"/>
      <c r="G91" s="28"/>
      <c r="H91" s="28"/>
    </row>
    <row r="92" spans="1:8" ht="18.75" customHeight="1" x14ac:dyDescent="0.25">
      <c r="A92" s="7">
        <v>840</v>
      </c>
      <c r="B92" s="81">
        <v>0.23275000000000001</v>
      </c>
      <c r="C92" s="83">
        <v>3733.7</v>
      </c>
      <c r="D92" s="83">
        <v>4245.8</v>
      </c>
      <c r="E92" s="82">
        <v>8.2213999999999992</v>
      </c>
      <c r="F92" s="82"/>
      <c r="G92" s="28"/>
      <c r="H92" s="28"/>
    </row>
    <row r="93" spans="1:8" ht="18.75" customHeight="1" x14ac:dyDescent="0.25">
      <c r="A93" s="7">
        <v>860</v>
      </c>
      <c r="B93" s="81">
        <v>0.23701</v>
      </c>
      <c r="C93" s="83">
        <v>3772.3</v>
      </c>
      <c r="D93" s="83">
        <v>4293.7</v>
      </c>
      <c r="E93" s="82">
        <v>8.2640999999999991</v>
      </c>
      <c r="F93" s="82"/>
      <c r="G93" s="28"/>
      <c r="H93" s="28"/>
    </row>
    <row r="94" spans="1:8" ht="18.75" customHeight="1" x14ac:dyDescent="0.25">
      <c r="A94" s="7">
        <v>880</v>
      </c>
      <c r="B94" s="81">
        <v>0.24126</v>
      </c>
      <c r="C94" s="83">
        <v>3811.1</v>
      </c>
      <c r="D94" s="83">
        <v>4341.8999999999996</v>
      </c>
      <c r="E94" s="82">
        <v>8.3063000000000002</v>
      </c>
      <c r="F94" s="82"/>
      <c r="G94" s="28"/>
      <c r="H94" s="28"/>
    </row>
    <row r="95" spans="1:8" ht="18.75" customHeight="1" x14ac:dyDescent="0.25">
      <c r="A95" s="7">
        <v>900</v>
      </c>
      <c r="B95" s="81">
        <v>0.24551000000000001</v>
      </c>
      <c r="C95" s="83">
        <v>3850.3</v>
      </c>
      <c r="D95" s="83">
        <v>4390.3999999999996</v>
      </c>
      <c r="E95" s="82">
        <v>8.3480000000000008</v>
      </c>
      <c r="F95" s="82"/>
      <c r="G95" s="28"/>
      <c r="H95" s="28"/>
    </row>
    <row r="96" spans="1:8" ht="18.75" customHeight="1" x14ac:dyDescent="0.25">
      <c r="A96" s="7">
        <v>920</v>
      </c>
      <c r="B96" s="81">
        <v>0.24975</v>
      </c>
      <c r="C96" s="83">
        <v>3889.7</v>
      </c>
      <c r="D96" s="83">
        <v>4439.1000000000004</v>
      </c>
      <c r="E96" s="82">
        <v>8.3892000000000007</v>
      </c>
      <c r="F96" s="82"/>
      <c r="G96" s="28"/>
      <c r="H96" s="28"/>
    </row>
    <row r="97" spans="1:8" ht="18.75" customHeight="1" x14ac:dyDescent="0.25">
      <c r="A97" s="7">
        <v>940</v>
      </c>
      <c r="B97" s="81">
        <v>0.254</v>
      </c>
      <c r="C97" s="83">
        <v>3929.3</v>
      </c>
      <c r="D97" s="83">
        <v>4488.1000000000004</v>
      </c>
      <c r="E97" s="82">
        <v>8.4298999999999999</v>
      </c>
      <c r="F97" s="82"/>
      <c r="G97" s="28"/>
      <c r="H97" s="28"/>
    </row>
    <row r="98" spans="1:8" ht="18.75" customHeight="1" x14ac:dyDescent="0.25">
      <c r="A98" s="7">
        <v>960</v>
      </c>
      <c r="B98" s="81">
        <v>0.25824000000000003</v>
      </c>
      <c r="C98" s="83">
        <v>3969.2</v>
      </c>
      <c r="D98" s="83">
        <v>4537.3</v>
      </c>
      <c r="E98" s="82">
        <v>8.4701000000000004</v>
      </c>
      <c r="F98" s="82"/>
      <c r="G98" s="28"/>
      <c r="H98" s="28"/>
    </row>
    <row r="99" spans="1:8" ht="18.75" customHeight="1" x14ac:dyDescent="0.25">
      <c r="A99" s="7">
        <v>980</v>
      </c>
      <c r="B99" s="81">
        <v>0.26246999999999998</v>
      </c>
      <c r="C99" s="83">
        <v>4009.4</v>
      </c>
      <c r="D99" s="83">
        <v>4586.8</v>
      </c>
      <c r="E99" s="82">
        <v>8.5099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0.26671</v>
      </c>
      <c r="C100" s="83">
        <v>4049.7</v>
      </c>
      <c r="D100" s="83">
        <v>4636.5</v>
      </c>
      <c r="E100" s="82">
        <v>8.5492000000000008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H100"/>
  <sheetViews>
    <sheetView topLeftCell="A28" workbookViewId="0">
      <selection activeCell="A48" sqref="A48:XFD48"/>
    </sheetView>
  </sheetViews>
  <sheetFormatPr defaultRowHeight="13.2" x14ac:dyDescent="0.25"/>
  <cols>
    <col min="1" max="1" width="8.88671875" customWidth="1"/>
    <col min="2" max="2" width="10.21875" customWidth="1"/>
    <col min="3" max="3" width="6.5546875" customWidth="1"/>
    <col min="4" max="4" width="7.33203125" customWidth="1"/>
    <col min="5" max="5" width="9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76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2500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9.9894000000000003E-4</v>
      </c>
      <c r="C5" s="80">
        <v>0</v>
      </c>
      <c r="D5" s="80">
        <v>2.5</v>
      </c>
      <c r="E5" s="81">
        <v>0</v>
      </c>
      <c r="F5" s="81"/>
      <c r="G5" s="28"/>
      <c r="H5" s="28"/>
    </row>
    <row r="6" spans="1:8" ht="18.75" customHeight="1" x14ac:dyDescent="0.25">
      <c r="A6" s="7">
        <v>5</v>
      </c>
      <c r="B6" s="79">
        <v>9.9886000000000007E-4</v>
      </c>
      <c r="C6" s="80">
        <v>21</v>
      </c>
      <c r="D6" s="80">
        <v>23.5</v>
      </c>
      <c r="E6" s="81">
        <v>7.621E-2</v>
      </c>
      <c r="F6" s="81"/>
      <c r="G6" s="28"/>
      <c r="H6" s="28"/>
    </row>
    <row r="7" spans="1:8" ht="18.75" customHeight="1" x14ac:dyDescent="0.25">
      <c r="A7" s="7">
        <v>10</v>
      </c>
      <c r="B7" s="79">
        <v>9.9915000000000008E-4</v>
      </c>
      <c r="C7" s="80">
        <v>41.96</v>
      </c>
      <c r="D7" s="80">
        <v>44.46</v>
      </c>
      <c r="E7" s="81">
        <v>0.15085999999999999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9.9978000000000003E-4</v>
      </c>
      <c r="C8" s="80">
        <v>62.87</v>
      </c>
      <c r="D8" s="80">
        <v>65.37</v>
      </c>
      <c r="E8" s="81">
        <v>0.22408</v>
      </c>
      <c r="F8" s="81"/>
      <c r="G8" s="28"/>
      <c r="H8" s="28"/>
    </row>
    <row r="9" spans="1:8" ht="18.75" customHeight="1" x14ac:dyDescent="0.25">
      <c r="A9" s="7">
        <v>20</v>
      </c>
      <c r="B9" s="79">
        <v>1.0007E-3</v>
      </c>
      <c r="C9" s="80">
        <v>83.76</v>
      </c>
      <c r="D9" s="80">
        <v>86.26</v>
      </c>
      <c r="E9" s="81">
        <v>0.29596</v>
      </c>
      <c r="F9" s="81"/>
      <c r="G9" s="28"/>
      <c r="H9" s="28"/>
    </row>
    <row r="10" spans="1:8" ht="18.75" customHeight="1" x14ac:dyDescent="0.25">
      <c r="A10" s="7">
        <v>25</v>
      </c>
      <c r="B10" s="79">
        <v>1.0018799999999999E-3</v>
      </c>
      <c r="C10" s="80">
        <v>104.64</v>
      </c>
      <c r="D10" s="80">
        <v>107.14</v>
      </c>
      <c r="E10" s="81">
        <v>0.36658000000000002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1.00329E-3</v>
      </c>
      <c r="C11" s="80">
        <v>125.5</v>
      </c>
      <c r="D11" s="80">
        <v>128.01</v>
      </c>
      <c r="E11" s="81">
        <v>0.43598999999999999</v>
      </c>
      <c r="F11" s="81"/>
      <c r="G11" s="28"/>
      <c r="H11" s="28"/>
    </row>
    <row r="12" spans="1:8" ht="18.75" customHeight="1" x14ac:dyDescent="0.25">
      <c r="A12" s="7">
        <v>35</v>
      </c>
      <c r="B12" s="79">
        <v>1.00493E-3</v>
      </c>
      <c r="C12" s="80">
        <v>146.36000000000001</v>
      </c>
      <c r="D12" s="80">
        <v>148.87</v>
      </c>
      <c r="E12" s="81">
        <v>0.50426000000000004</v>
      </c>
      <c r="F12" s="81"/>
      <c r="G12" s="28"/>
      <c r="H12" s="28"/>
    </row>
    <row r="13" spans="1:8" ht="18.75" customHeight="1" x14ac:dyDescent="0.25">
      <c r="A13" s="7">
        <v>40</v>
      </c>
      <c r="B13" s="79">
        <v>1.0067800000000001E-3</v>
      </c>
      <c r="C13" s="80">
        <v>167.22</v>
      </c>
      <c r="D13" s="80">
        <v>169.74</v>
      </c>
      <c r="E13" s="81">
        <v>0.57142999999999999</v>
      </c>
      <c r="F13" s="81"/>
      <c r="G13" s="28"/>
      <c r="H13" s="28"/>
    </row>
    <row r="14" spans="1:8" ht="18.75" customHeight="1" x14ac:dyDescent="0.25">
      <c r="A14" s="7">
        <v>45</v>
      </c>
      <c r="B14" s="79">
        <v>1.0088199999999999E-3</v>
      </c>
      <c r="C14" s="80">
        <v>188.09</v>
      </c>
      <c r="D14" s="80">
        <v>190.61</v>
      </c>
      <c r="E14" s="81">
        <v>0.63754999999999995</v>
      </c>
      <c r="F14" s="81"/>
      <c r="G14" s="28"/>
      <c r="H14" s="28"/>
    </row>
    <row r="15" spans="1:8" ht="18.75" customHeight="1" x14ac:dyDescent="0.25">
      <c r="A15" s="7">
        <v>50</v>
      </c>
      <c r="B15" s="79">
        <v>1.0110399999999999E-3</v>
      </c>
      <c r="C15" s="80">
        <v>208.96</v>
      </c>
      <c r="D15" s="80">
        <v>211.49</v>
      </c>
      <c r="E15" s="81">
        <v>0.70265999999999995</v>
      </c>
      <c r="F15" s="81"/>
      <c r="G15" s="28"/>
      <c r="H15" s="28"/>
    </row>
    <row r="16" spans="1:8" ht="18.75" customHeight="1" x14ac:dyDescent="0.25">
      <c r="A16" s="7">
        <v>55</v>
      </c>
      <c r="B16" s="79">
        <v>1.01344E-3</v>
      </c>
      <c r="C16" s="80">
        <v>229.84</v>
      </c>
      <c r="D16" s="80">
        <v>232.37</v>
      </c>
      <c r="E16" s="81">
        <v>0.76678999999999997</v>
      </c>
      <c r="F16" s="81"/>
      <c r="G16" s="28"/>
      <c r="H16" s="28"/>
    </row>
    <row r="17" spans="1:8" ht="18.75" customHeight="1" x14ac:dyDescent="0.25">
      <c r="A17" s="7">
        <v>60</v>
      </c>
      <c r="B17" s="79">
        <v>1.0160099999999999E-3</v>
      </c>
      <c r="C17" s="80">
        <v>250.72</v>
      </c>
      <c r="D17" s="80">
        <v>253.26</v>
      </c>
      <c r="E17" s="81">
        <v>0.82998000000000005</v>
      </c>
      <c r="F17" s="81"/>
      <c r="G17" s="28"/>
      <c r="H17" s="28"/>
    </row>
    <row r="18" spans="1:8" ht="18.75" customHeight="1" x14ac:dyDescent="0.25">
      <c r="A18" s="7">
        <v>65</v>
      </c>
      <c r="B18" s="79">
        <v>1.01874E-3</v>
      </c>
      <c r="C18" s="80">
        <v>271.62</v>
      </c>
      <c r="D18" s="80">
        <v>274.17</v>
      </c>
      <c r="E18" s="81">
        <v>0.89226000000000005</v>
      </c>
      <c r="F18" s="81"/>
      <c r="G18" s="28"/>
      <c r="H18" s="28"/>
    </row>
    <row r="19" spans="1:8" ht="18.75" customHeight="1" x14ac:dyDescent="0.25">
      <c r="A19" s="7">
        <v>70</v>
      </c>
      <c r="B19" s="79">
        <v>1.0216400000000001E-3</v>
      </c>
      <c r="C19" s="80">
        <v>292.52999999999997</v>
      </c>
      <c r="D19" s="80">
        <v>295.08</v>
      </c>
      <c r="E19" s="81">
        <v>0.95365999999999995</v>
      </c>
      <c r="F19" s="81"/>
      <c r="G19" s="28"/>
      <c r="H19" s="28"/>
    </row>
    <row r="20" spans="1:8" ht="18.75" customHeight="1" x14ac:dyDescent="0.25">
      <c r="A20" s="7">
        <v>75</v>
      </c>
      <c r="B20" s="79">
        <v>1.02469E-3</v>
      </c>
      <c r="C20" s="80">
        <v>313.45999999999998</v>
      </c>
      <c r="D20" s="80">
        <v>316.02</v>
      </c>
      <c r="E20" s="82">
        <v>1.0142</v>
      </c>
      <c r="F20" s="82"/>
      <c r="G20" s="28"/>
      <c r="H20" s="28"/>
    </row>
    <row r="21" spans="1:8" ht="18.75" customHeight="1" x14ac:dyDescent="0.25">
      <c r="A21" s="7">
        <v>80</v>
      </c>
      <c r="B21" s="79">
        <v>1.0278900000000001E-3</v>
      </c>
      <c r="C21" s="80">
        <v>334.39</v>
      </c>
      <c r="D21" s="80">
        <v>336.96</v>
      </c>
      <c r="E21" s="82">
        <v>1.0740000000000001</v>
      </c>
      <c r="F21" s="82"/>
      <c r="G21" s="28"/>
      <c r="H21" s="28"/>
    </row>
    <row r="22" spans="1:8" ht="18.75" customHeight="1" x14ac:dyDescent="0.25">
      <c r="A22" s="7">
        <v>85</v>
      </c>
      <c r="B22" s="79">
        <v>1.03125E-3</v>
      </c>
      <c r="C22" s="80">
        <v>355.35</v>
      </c>
      <c r="D22" s="80">
        <v>357.93</v>
      </c>
      <c r="E22" s="82">
        <v>1.1329</v>
      </c>
      <c r="F22" s="82"/>
      <c r="G22" s="28"/>
      <c r="H22" s="28"/>
    </row>
    <row r="23" spans="1:8" ht="18.75" customHeight="1" x14ac:dyDescent="0.25">
      <c r="A23" s="7">
        <v>90</v>
      </c>
      <c r="B23" s="79">
        <v>1.03476E-3</v>
      </c>
      <c r="C23" s="80">
        <v>376.33</v>
      </c>
      <c r="D23" s="80">
        <v>378.92</v>
      </c>
      <c r="E23" s="82">
        <v>1.1911</v>
      </c>
      <c r="F23" s="82"/>
      <c r="G23" s="28"/>
      <c r="H23" s="28"/>
    </row>
    <row r="24" spans="1:8" ht="18.75" customHeight="1" x14ac:dyDescent="0.25">
      <c r="A24" s="7">
        <v>95</v>
      </c>
      <c r="B24" s="79">
        <v>1.0384299999999999E-3</v>
      </c>
      <c r="C24" s="80">
        <v>397.33</v>
      </c>
      <c r="D24" s="80">
        <v>399.93</v>
      </c>
      <c r="E24" s="82">
        <v>1.2485999999999999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1.0422400000000001E-3</v>
      </c>
      <c r="C25" s="80">
        <v>418.36</v>
      </c>
      <c r="D25" s="80">
        <v>420.97</v>
      </c>
      <c r="E25" s="82">
        <v>1.3052999999999999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1.0462099999999999E-3</v>
      </c>
      <c r="C26" s="80">
        <v>439.41</v>
      </c>
      <c r="D26" s="80">
        <v>442.03</v>
      </c>
      <c r="E26" s="82">
        <v>1.3613999999999999</v>
      </c>
      <c r="F26" s="82"/>
      <c r="G26" s="28"/>
      <c r="H26" s="28"/>
    </row>
    <row r="27" spans="1:8" ht="18.75" customHeight="1" x14ac:dyDescent="0.25">
      <c r="A27" s="7">
        <v>110</v>
      </c>
      <c r="B27" s="79">
        <v>1.0503299999999999E-3</v>
      </c>
      <c r="C27" s="80">
        <v>460.5</v>
      </c>
      <c r="D27" s="80">
        <v>463.13</v>
      </c>
      <c r="E27" s="82">
        <v>1.4168000000000001</v>
      </c>
      <c r="F27" s="82"/>
      <c r="G27" s="28"/>
      <c r="H27" s="28"/>
    </row>
    <row r="28" spans="1:8" ht="18.75" customHeight="1" x14ac:dyDescent="0.25">
      <c r="A28" s="7">
        <v>115</v>
      </c>
      <c r="B28" s="79">
        <v>1.0545999999999999E-3</v>
      </c>
      <c r="C28" s="80">
        <v>481.62</v>
      </c>
      <c r="D28" s="80">
        <v>484.26</v>
      </c>
      <c r="E28" s="82">
        <v>1.4716</v>
      </c>
      <c r="F28" s="82"/>
      <c r="G28" s="28"/>
      <c r="H28" s="28"/>
    </row>
    <row r="29" spans="1:8" ht="18.75" customHeight="1" x14ac:dyDescent="0.25">
      <c r="A29" s="7">
        <v>120</v>
      </c>
      <c r="B29" s="79">
        <v>1.05904E-3</v>
      </c>
      <c r="C29" s="80">
        <v>502.78</v>
      </c>
      <c r="D29" s="80">
        <v>505.43</v>
      </c>
      <c r="E29" s="82">
        <v>1.5258</v>
      </c>
      <c r="F29" s="82"/>
      <c r="G29" s="28"/>
      <c r="H29" s="28"/>
    </row>
    <row r="30" spans="1:8" ht="18.75" customHeight="1" x14ac:dyDescent="0.25">
      <c r="A30" s="7">
        <v>125</v>
      </c>
      <c r="B30" s="79">
        <v>1.0636300000000001E-3</v>
      </c>
      <c r="C30" s="80">
        <v>523.98</v>
      </c>
      <c r="D30" s="80">
        <v>526.64</v>
      </c>
      <c r="E30" s="82">
        <v>1.5793999999999999</v>
      </c>
      <c r="F30" s="82"/>
      <c r="G30" s="28"/>
      <c r="H30" s="28"/>
    </row>
    <row r="31" spans="1:8" ht="18.75" customHeight="1" x14ac:dyDescent="0.25">
      <c r="A31" s="7">
        <v>130</v>
      </c>
      <c r="B31" s="79">
        <v>1.06839E-3</v>
      </c>
      <c r="C31" s="80">
        <v>545.22</v>
      </c>
      <c r="D31" s="80">
        <v>547.89</v>
      </c>
      <c r="E31" s="82">
        <v>1.6325000000000001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1.0733100000000001E-3</v>
      </c>
      <c r="C32" s="80">
        <v>566.52</v>
      </c>
      <c r="D32" s="80">
        <v>569.20000000000005</v>
      </c>
      <c r="E32" s="82">
        <v>1.6850000000000001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1.0784099999999999E-3</v>
      </c>
      <c r="C33" s="80">
        <v>587.85</v>
      </c>
      <c r="D33" s="80">
        <v>590.54999999999995</v>
      </c>
      <c r="E33" s="82">
        <v>1.7370000000000001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1.0836800000000001E-3</v>
      </c>
      <c r="C34" s="80">
        <v>609.25</v>
      </c>
      <c r="D34" s="80">
        <v>611.96</v>
      </c>
      <c r="E34" s="82">
        <v>1.7885</v>
      </c>
      <c r="F34" s="82"/>
      <c r="G34" s="28"/>
      <c r="H34" s="28"/>
    </row>
    <row r="35" spans="1:8" ht="18.75" customHeight="1" x14ac:dyDescent="0.25">
      <c r="A35" s="7">
        <v>150</v>
      </c>
      <c r="B35" s="79">
        <v>1.0891399999999999E-3</v>
      </c>
      <c r="C35" s="80">
        <v>630.71</v>
      </c>
      <c r="D35" s="80">
        <v>633.42999999999995</v>
      </c>
      <c r="E35" s="82">
        <v>1.8394999999999999</v>
      </c>
      <c r="F35" s="82"/>
      <c r="G35" s="28"/>
      <c r="H35" s="28"/>
    </row>
    <row r="36" spans="1:8" ht="18.75" customHeight="1" x14ac:dyDescent="0.25">
      <c r="A36" s="7">
        <v>155</v>
      </c>
      <c r="B36" s="79">
        <v>1.09479E-3</v>
      </c>
      <c r="C36" s="80">
        <v>652.23</v>
      </c>
      <c r="D36" s="80">
        <v>654.97</v>
      </c>
      <c r="E36" s="82">
        <v>1.8900999999999999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1.10063E-3</v>
      </c>
      <c r="C37" s="80">
        <v>673.82</v>
      </c>
      <c r="D37" s="80">
        <v>676.57</v>
      </c>
      <c r="E37" s="82">
        <v>1.9402999999999999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1.1066800000000001E-3</v>
      </c>
      <c r="C38" s="80">
        <v>695.48</v>
      </c>
      <c r="D38" s="80">
        <v>698.25</v>
      </c>
      <c r="E38" s="82">
        <v>1.9901</v>
      </c>
      <c r="F38" s="82"/>
      <c r="G38" s="28"/>
      <c r="H38" s="28"/>
    </row>
    <row r="39" spans="1:8" ht="18.75" customHeight="1" x14ac:dyDescent="0.25">
      <c r="A39" s="7">
        <v>170</v>
      </c>
      <c r="B39" s="79">
        <v>1.11293E-3</v>
      </c>
      <c r="C39" s="80">
        <v>717.24</v>
      </c>
      <c r="D39" s="80">
        <v>720.02</v>
      </c>
      <c r="E39" s="82">
        <v>2.0394999999999999</v>
      </c>
      <c r="F39" s="82"/>
      <c r="G39" s="28"/>
      <c r="H39" s="28"/>
    </row>
    <row r="40" spans="1:8" ht="18.75" customHeight="1" x14ac:dyDescent="0.25">
      <c r="A40" s="7">
        <v>175</v>
      </c>
      <c r="B40" s="79">
        <v>1.1194200000000001E-3</v>
      </c>
      <c r="C40" s="80">
        <v>739.07</v>
      </c>
      <c r="D40" s="80">
        <v>741.87</v>
      </c>
      <c r="E40" s="82">
        <v>2.0884999999999998</v>
      </c>
      <c r="F40" s="82"/>
      <c r="G40" s="28"/>
      <c r="H40" s="28"/>
    </row>
    <row r="41" spans="1:8" ht="18.75" customHeight="1" x14ac:dyDescent="0.25">
      <c r="A41" s="7">
        <v>180</v>
      </c>
      <c r="B41" s="79">
        <v>1.1261299999999999E-3</v>
      </c>
      <c r="C41" s="80">
        <v>760.99</v>
      </c>
      <c r="D41" s="80">
        <v>763.81</v>
      </c>
      <c r="E41" s="82">
        <v>2.1372</v>
      </c>
      <c r="F41" s="82"/>
      <c r="G41" s="28"/>
      <c r="H41" s="28"/>
    </row>
    <row r="42" spans="1:8" ht="18.75" customHeight="1" x14ac:dyDescent="0.25">
      <c r="A42" s="7">
        <v>185</v>
      </c>
      <c r="B42" s="79">
        <v>1.13309E-3</v>
      </c>
      <c r="C42" s="80">
        <v>783.02</v>
      </c>
      <c r="D42" s="80">
        <v>785.85</v>
      </c>
      <c r="E42" s="82">
        <v>2.1856</v>
      </c>
      <c r="F42" s="82"/>
      <c r="G42" s="28"/>
      <c r="H42" s="28"/>
    </row>
    <row r="43" spans="1:8" ht="18.75" customHeight="1" x14ac:dyDescent="0.25">
      <c r="A43" s="7">
        <v>190</v>
      </c>
      <c r="B43" s="79">
        <v>1.1402999999999999E-3</v>
      </c>
      <c r="C43" s="80">
        <v>805.15</v>
      </c>
      <c r="D43" s="80">
        <v>808</v>
      </c>
      <c r="E43" s="82">
        <v>2.2336999999999998</v>
      </c>
      <c r="F43" s="82"/>
      <c r="G43" s="28"/>
      <c r="H43" s="28"/>
    </row>
    <row r="44" spans="1:8" ht="18.75" customHeight="1" x14ac:dyDescent="0.25">
      <c r="A44" s="7">
        <v>195</v>
      </c>
      <c r="B44" s="79">
        <v>1.1477900000000001E-3</v>
      </c>
      <c r="C44" s="80">
        <v>827.4</v>
      </c>
      <c r="D44" s="80">
        <v>830.27</v>
      </c>
      <c r="E44" s="82">
        <v>2.2814999999999999</v>
      </c>
      <c r="F44" s="82"/>
      <c r="G44" s="28"/>
      <c r="H44" s="28"/>
    </row>
    <row r="45" spans="1:8" ht="18.75" customHeight="1" x14ac:dyDescent="0.25">
      <c r="A45" s="7">
        <v>200</v>
      </c>
      <c r="B45" s="79">
        <v>1.1555599999999999E-3</v>
      </c>
      <c r="C45" s="80">
        <v>849.76</v>
      </c>
      <c r="D45" s="80">
        <v>852.65</v>
      </c>
      <c r="E45" s="82">
        <v>2.3290000000000002</v>
      </c>
      <c r="F45" s="82"/>
      <c r="G45" s="28"/>
      <c r="H45" s="28"/>
    </row>
    <row r="46" spans="1:8" ht="18.75" customHeight="1" x14ac:dyDescent="0.25">
      <c r="A46" s="7">
        <v>210</v>
      </c>
      <c r="B46" s="79">
        <v>1.17205E-3</v>
      </c>
      <c r="C46" s="80">
        <v>894.9</v>
      </c>
      <c r="D46" s="80">
        <v>897.83</v>
      </c>
      <c r="E46" s="82">
        <v>2.4235000000000002</v>
      </c>
      <c r="F46" s="82"/>
      <c r="G46" s="28"/>
      <c r="H46" s="28"/>
    </row>
    <row r="47" spans="1:8" ht="18.75" customHeight="1" x14ac:dyDescent="0.25">
      <c r="A47" s="7">
        <v>220</v>
      </c>
      <c r="B47" s="79">
        <v>1.18994E-3</v>
      </c>
      <c r="C47" s="80">
        <v>940.66</v>
      </c>
      <c r="D47" s="80">
        <v>943.63</v>
      </c>
      <c r="E47" s="82">
        <v>2.5173000000000001</v>
      </c>
      <c r="F47" s="82"/>
      <c r="G47" s="28"/>
      <c r="H47" s="28"/>
    </row>
    <row r="48" spans="1:8" ht="18.75" customHeight="1" x14ac:dyDescent="0.25">
      <c r="A48" s="7">
        <v>230</v>
      </c>
      <c r="B48" s="85">
        <v>8.1701999999999997E-2</v>
      </c>
      <c r="C48" s="83">
        <v>2617.5</v>
      </c>
      <c r="D48" s="83">
        <v>2821.8</v>
      </c>
      <c r="E48" s="82">
        <v>6.2954999999999997</v>
      </c>
      <c r="F48" s="82"/>
      <c r="G48" s="28"/>
      <c r="H48" s="28"/>
    </row>
    <row r="49" spans="1:8" ht="18.75" customHeight="1" x14ac:dyDescent="0.25">
      <c r="A49" s="7">
        <v>240</v>
      </c>
      <c r="B49" s="85">
        <v>8.4445000000000006E-2</v>
      </c>
      <c r="C49" s="83">
        <v>2641.2</v>
      </c>
      <c r="D49" s="83">
        <v>2852.3</v>
      </c>
      <c r="E49" s="82">
        <v>6.3555000000000001</v>
      </c>
      <c r="F49" s="82"/>
      <c r="G49" s="28"/>
      <c r="H49" s="28"/>
    </row>
    <row r="50" spans="1:8" ht="18.75" customHeight="1" x14ac:dyDescent="0.25">
      <c r="A50" s="7">
        <v>250</v>
      </c>
      <c r="B50" s="85">
        <v>8.7053000000000005E-2</v>
      </c>
      <c r="C50" s="83">
        <v>2663.3</v>
      </c>
      <c r="D50" s="83">
        <v>2880.9</v>
      </c>
      <c r="E50" s="82">
        <v>6.4107000000000003</v>
      </c>
      <c r="F50" s="82"/>
      <c r="G50" s="28"/>
      <c r="H50" s="28"/>
    </row>
    <row r="51" spans="1:8" ht="18.75" customHeight="1" x14ac:dyDescent="0.25">
      <c r="A51" s="7">
        <v>260</v>
      </c>
      <c r="B51" s="85">
        <v>8.9562000000000003E-2</v>
      </c>
      <c r="C51" s="83">
        <v>2684.3</v>
      </c>
      <c r="D51" s="83">
        <v>2908.2</v>
      </c>
      <c r="E51" s="82">
        <v>6.4625000000000004</v>
      </c>
      <c r="F51" s="82"/>
      <c r="G51" s="28"/>
      <c r="H51" s="28"/>
    </row>
    <row r="52" spans="1:8" ht="18.75" customHeight="1" x14ac:dyDescent="0.25">
      <c r="A52" s="7">
        <v>270</v>
      </c>
      <c r="B52" s="85">
        <v>9.1992000000000004E-2</v>
      </c>
      <c r="C52" s="83">
        <v>2704.6</v>
      </c>
      <c r="D52" s="83">
        <v>2934.6</v>
      </c>
      <c r="E52" s="82">
        <v>6.5114000000000001</v>
      </c>
      <c r="F52" s="82"/>
      <c r="G52" s="28"/>
      <c r="H52" s="28"/>
    </row>
    <row r="53" spans="1:8" ht="18.75" customHeight="1" x14ac:dyDescent="0.25">
      <c r="A53" s="7">
        <v>280</v>
      </c>
      <c r="B53" s="85">
        <v>9.4357999999999997E-2</v>
      </c>
      <c r="C53" s="83">
        <v>2724.2</v>
      </c>
      <c r="D53" s="83">
        <v>2960.1</v>
      </c>
      <c r="E53" s="82">
        <v>6.5580999999999996</v>
      </c>
      <c r="F53" s="82"/>
      <c r="G53" s="28"/>
      <c r="H53" s="28"/>
    </row>
    <row r="54" spans="1:8" ht="18.75" customHeight="1" x14ac:dyDescent="0.25">
      <c r="A54" s="7">
        <v>290</v>
      </c>
      <c r="B54" s="85">
        <v>9.6670000000000006E-2</v>
      </c>
      <c r="C54" s="83">
        <v>2743.4</v>
      </c>
      <c r="D54" s="83">
        <v>2985.1</v>
      </c>
      <c r="E54" s="82">
        <v>6.6028000000000002</v>
      </c>
      <c r="F54" s="82"/>
      <c r="G54" s="28"/>
      <c r="H54" s="28"/>
    </row>
    <row r="55" spans="1:8" ht="18.75" customHeight="1" x14ac:dyDescent="0.25">
      <c r="A55" s="7">
        <v>300</v>
      </c>
      <c r="B55" s="85">
        <v>9.8936999999999997E-2</v>
      </c>
      <c r="C55" s="83">
        <v>2762.3</v>
      </c>
      <c r="D55" s="83">
        <v>3009.6</v>
      </c>
      <c r="E55" s="82">
        <v>6.6459000000000001</v>
      </c>
      <c r="F55" s="82"/>
      <c r="G55" s="28"/>
      <c r="H55" s="28"/>
    </row>
    <row r="56" spans="1:8" ht="18.75" customHeight="1" x14ac:dyDescent="0.25">
      <c r="A56" s="7">
        <v>310</v>
      </c>
      <c r="B56" s="81">
        <v>0.10117</v>
      </c>
      <c r="C56" s="83">
        <v>2780.7</v>
      </c>
      <c r="D56" s="83">
        <v>3033.6</v>
      </c>
      <c r="E56" s="82">
        <v>6.6875</v>
      </c>
      <c r="F56" s="82"/>
      <c r="G56" s="28"/>
      <c r="H56" s="28"/>
    </row>
    <row r="57" spans="1:8" ht="18.75" customHeight="1" x14ac:dyDescent="0.25">
      <c r="A57" s="7">
        <v>320</v>
      </c>
      <c r="B57" s="81">
        <v>0.10335999999999999</v>
      </c>
      <c r="C57" s="83">
        <v>2799</v>
      </c>
      <c r="D57" s="83">
        <v>3057.4</v>
      </c>
      <c r="E57" s="82">
        <v>6.7278000000000002</v>
      </c>
      <c r="F57" s="82"/>
      <c r="G57" s="28"/>
      <c r="H57" s="28"/>
    </row>
    <row r="58" spans="1:8" ht="18.75" customHeight="1" x14ac:dyDescent="0.25">
      <c r="A58" s="7">
        <v>330</v>
      </c>
      <c r="B58" s="81">
        <v>0.10553</v>
      </c>
      <c r="C58" s="83">
        <v>2817</v>
      </c>
      <c r="D58" s="83">
        <v>3080.8</v>
      </c>
      <c r="E58" s="82">
        <v>6.7670000000000003</v>
      </c>
      <c r="F58" s="82"/>
      <c r="G58" s="28"/>
      <c r="H58" s="28"/>
    </row>
    <row r="59" spans="1:8" ht="18.75" customHeight="1" x14ac:dyDescent="0.25">
      <c r="A59" s="7">
        <v>340</v>
      </c>
      <c r="B59" s="81">
        <v>0.10767</v>
      </c>
      <c r="C59" s="83">
        <v>2834.8</v>
      </c>
      <c r="D59" s="83">
        <v>3104</v>
      </c>
      <c r="E59" s="82">
        <v>6.8052000000000001</v>
      </c>
      <c r="F59" s="82"/>
      <c r="G59" s="28"/>
      <c r="H59" s="28"/>
    </row>
    <row r="60" spans="1:8" ht="18.75" customHeight="1" x14ac:dyDescent="0.25">
      <c r="A60" s="7">
        <v>350</v>
      </c>
      <c r="B60" s="81">
        <v>0.10979</v>
      </c>
      <c r="C60" s="83">
        <v>2852.5</v>
      </c>
      <c r="D60" s="83">
        <v>3127</v>
      </c>
      <c r="E60" s="82">
        <v>6.8423999999999996</v>
      </c>
      <c r="F60" s="82"/>
      <c r="G60" s="28"/>
      <c r="H60" s="28"/>
    </row>
    <row r="61" spans="1:8" ht="18.75" customHeight="1" x14ac:dyDescent="0.25">
      <c r="A61" s="7">
        <v>360</v>
      </c>
      <c r="B61" s="81">
        <v>0.11187999999999999</v>
      </c>
      <c r="C61" s="83">
        <v>2870.1</v>
      </c>
      <c r="D61" s="83">
        <v>3149.8</v>
      </c>
      <c r="E61" s="82">
        <v>6.8788</v>
      </c>
      <c r="F61" s="82"/>
      <c r="G61" s="28"/>
      <c r="H61" s="28"/>
    </row>
    <row r="62" spans="1:8" ht="18.75" customHeight="1" x14ac:dyDescent="0.25">
      <c r="A62" s="7">
        <v>370</v>
      </c>
      <c r="B62" s="81">
        <v>0.11397</v>
      </c>
      <c r="C62" s="83">
        <v>2887.6</v>
      </c>
      <c r="D62" s="83">
        <v>3172.5</v>
      </c>
      <c r="E62" s="82">
        <v>6.9142999999999999</v>
      </c>
      <c r="F62" s="82"/>
      <c r="G62" s="28"/>
      <c r="H62" s="28"/>
    </row>
    <row r="63" spans="1:8" ht="18.75" customHeight="1" x14ac:dyDescent="0.25">
      <c r="A63" s="7">
        <v>380</v>
      </c>
      <c r="B63" s="81">
        <v>0.11602999999999999</v>
      </c>
      <c r="C63" s="83">
        <v>2905</v>
      </c>
      <c r="D63" s="83">
        <v>3195.1</v>
      </c>
      <c r="E63" s="82">
        <v>6.9492000000000003</v>
      </c>
      <c r="F63" s="82"/>
      <c r="G63" s="28"/>
      <c r="H63" s="28"/>
    </row>
    <row r="64" spans="1:8" ht="18.75" customHeight="1" x14ac:dyDescent="0.25">
      <c r="A64" s="7">
        <v>390</v>
      </c>
      <c r="B64" s="81">
        <v>0.11808</v>
      </c>
      <c r="C64" s="83">
        <v>2922.5</v>
      </c>
      <c r="D64" s="83">
        <v>3217.7</v>
      </c>
      <c r="E64" s="82">
        <v>6.9833999999999996</v>
      </c>
      <c r="F64" s="82"/>
      <c r="G64" s="28"/>
      <c r="H64" s="28"/>
    </row>
    <row r="65" spans="1:8" ht="18.75" customHeight="1" x14ac:dyDescent="0.25">
      <c r="A65" s="7">
        <v>400</v>
      </c>
      <c r="B65" s="81">
        <v>0.12012</v>
      </c>
      <c r="C65" s="83">
        <v>2939.8</v>
      </c>
      <c r="D65" s="83">
        <v>3240.1</v>
      </c>
      <c r="E65" s="82">
        <v>7.0170000000000003</v>
      </c>
      <c r="F65" s="82"/>
      <c r="G65" s="28"/>
      <c r="H65" s="28"/>
    </row>
    <row r="66" spans="1:8" ht="18.75" customHeight="1" x14ac:dyDescent="0.25">
      <c r="A66" s="7">
        <v>410</v>
      </c>
      <c r="B66" s="81">
        <v>0.12214999999999999</v>
      </c>
      <c r="C66" s="83">
        <v>2957.1</v>
      </c>
      <c r="D66" s="83">
        <v>3262.5</v>
      </c>
      <c r="E66" s="82">
        <v>7.05</v>
      </c>
      <c r="F66" s="82"/>
      <c r="G66" s="28"/>
      <c r="H66" s="28"/>
    </row>
    <row r="67" spans="1:8" ht="18.75" customHeight="1" x14ac:dyDescent="0.25">
      <c r="A67" s="7">
        <v>420</v>
      </c>
      <c r="B67" s="81">
        <v>0.12416000000000001</v>
      </c>
      <c r="C67" s="83">
        <v>2974.4</v>
      </c>
      <c r="D67" s="83">
        <v>3284.8</v>
      </c>
      <c r="E67" s="82">
        <v>7.0823999999999998</v>
      </c>
      <c r="F67" s="82"/>
      <c r="G67" s="28"/>
      <c r="H67" s="28"/>
    </row>
    <row r="68" spans="1:8" ht="18.75" customHeight="1" x14ac:dyDescent="0.25">
      <c r="A68" s="7">
        <v>430</v>
      </c>
      <c r="B68" s="81">
        <v>0.12617</v>
      </c>
      <c r="C68" s="83">
        <v>2991.7</v>
      </c>
      <c r="D68" s="83">
        <v>3307.1</v>
      </c>
      <c r="E68" s="82">
        <v>7.1143000000000001</v>
      </c>
      <c r="F68" s="82"/>
      <c r="G68" s="28"/>
      <c r="H68" s="28"/>
    </row>
    <row r="69" spans="1:8" ht="18.75" customHeight="1" x14ac:dyDescent="0.25">
      <c r="A69" s="7">
        <v>440</v>
      </c>
      <c r="B69" s="81">
        <v>0.12816</v>
      </c>
      <c r="C69" s="83">
        <v>3008.9</v>
      </c>
      <c r="D69" s="83">
        <v>3329.3</v>
      </c>
      <c r="E69" s="82">
        <v>7.1458000000000004</v>
      </c>
      <c r="F69" s="82"/>
      <c r="G69" s="28"/>
      <c r="H69" s="28"/>
    </row>
    <row r="70" spans="1:8" ht="18.75" customHeight="1" x14ac:dyDescent="0.25">
      <c r="A70" s="7">
        <v>450</v>
      </c>
      <c r="B70" s="81">
        <v>0.13014999999999999</v>
      </c>
      <c r="C70" s="83">
        <v>3026.2</v>
      </c>
      <c r="D70" s="83">
        <v>3351.6</v>
      </c>
      <c r="E70" s="82">
        <v>7.1767000000000003</v>
      </c>
      <c r="F70" s="82"/>
      <c r="G70" s="28"/>
      <c r="H70" s="28"/>
    </row>
    <row r="71" spans="1:8" ht="18.75" customHeight="1" x14ac:dyDescent="0.25">
      <c r="A71" s="7">
        <v>460</v>
      </c>
      <c r="B71" s="81">
        <v>0.13213</v>
      </c>
      <c r="C71" s="83">
        <v>3043.5</v>
      </c>
      <c r="D71" s="83">
        <v>3373.8</v>
      </c>
      <c r="E71" s="82">
        <v>7.2073</v>
      </c>
      <c r="F71" s="82"/>
      <c r="G71" s="28"/>
      <c r="H71" s="28"/>
    </row>
    <row r="72" spans="1:8" ht="18.75" customHeight="1" x14ac:dyDescent="0.25">
      <c r="A72" s="7">
        <v>470</v>
      </c>
      <c r="B72" s="81">
        <v>0.13411000000000001</v>
      </c>
      <c r="C72" s="83">
        <v>3060.7</v>
      </c>
      <c r="D72" s="83">
        <v>3396</v>
      </c>
      <c r="E72" s="82">
        <v>7.2374000000000001</v>
      </c>
      <c r="F72" s="82"/>
      <c r="G72" s="28"/>
      <c r="H72" s="28"/>
    </row>
    <row r="73" spans="1:8" ht="18.75" customHeight="1" x14ac:dyDescent="0.25">
      <c r="A73" s="7">
        <v>480</v>
      </c>
      <c r="B73" s="81">
        <v>0.13607</v>
      </c>
      <c r="C73" s="83">
        <v>3078.1</v>
      </c>
      <c r="D73" s="83">
        <v>3418.3</v>
      </c>
      <c r="E73" s="82">
        <v>7.2671000000000001</v>
      </c>
      <c r="F73" s="82"/>
      <c r="G73" s="28"/>
      <c r="H73" s="28"/>
    </row>
    <row r="74" spans="1:8" ht="18.75" customHeight="1" x14ac:dyDescent="0.25">
      <c r="A74" s="7">
        <v>490</v>
      </c>
      <c r="B74" s="81">
        <v>0.13804</v>
      </c>
      <c r="C74" s="83">
        <v>3095.4</v>
      </c>
      <c r="D74" s="83">
        <v>3440.5</v>
      </c>
      <c r="E74" s="82">
        <v>7.2964000000000002</v>
      </c>
      <c r="F74" s="82"/>
      <c r="G74" s="28"/>
      <c r="H74" s="28"/>
    </row>
    <row r="75" spans="1:8" ht="18.75" customHeight="1" x14ac:dyDescent="0.25">
      <c r="A75" s="7">
        <v>500</v>
      </c>
      <c r="B75" s="81">
        <v>0.13999</v>
      </c>
      <c r="C75" s="83">
        <v>3112.7</v>
      </c>
      <c r="D75" s="83">
        <v>3462.7</v>
      </c>
      <c r="E75" s="82">
        <v>7.3254000000000001</v>
      </c>
      <c r="F75" s="82"/>
      <c r="G75" s="28"/>
      <c r="H75" s="28"/>
    </row>
    <row r="76" spans="1:8" ht="18.75" customHeight="1" x14ac:dyDescent="0.25">
      <c r="A76" s="7">
        <v>520</v>
      </c>
      <c r="B76" s="81">
        <v>0.14388999999999999</v>
      </c>
      <c r="C76" s="83">
        <v>3147.6</v>
      </c>
      <c r="D76" s="83">
        <v>3507.3</v>
      </c>
      <c r="E76" s="82">
        <v>7.3822999999999999</v>
      </c>
      <c r="F76" s="82"/>
      <c r="G76" s="28"/>
      <c r="H76" s="28"/>
    </row>
    <row r="77" spans="1:8" ht="18.75" customHeight="1" x14ac:dyDescent="0.25">
      <c r="A77" s="7">
        <v>540</v>
      </c>
      <c r="B77" s="81">
        <v>0.14777000000000001</v>
      </c>
      <c r="C77" s="83">
        <v>3182.6</v>
      </c>
      <c r="D77" s="83">
        <v>3552</v>
      </c>
      <c r="E77" s="82">
        <v>7.4379</v>
      </c>
      <c r="F77" s="82"/>
      <c r="G77" s="28"/>
      <c r="H77" s="28"/>
    </row>
    <row r="78" spans="1:8" ht="18.75" customHeight="1" x14ac:dyDescent="0.25">
      <c r="A78" s="7">
        <v>560</v>
      </c>
      <c r="B78" s="81">
        <v>0.15162999999999999</v>
      </c>
      <c r="C78" s="83">
        <v>3217.7</v>
      </c>
      <c r="D78" s="83">
        <v>3596.8</v>
      </c>
      <c r="E78" s="82">
        <v>7.4923000000000002</v>
      </c>
      <c r="F78" s="82"/>
      <c r="G78" s="28"/>
      <c r="H78" s="28"/>
    </row>
    <row r="79" spans="1:8" ht="18.75" customHeight="1" x14ac:dyDescent="0.25">
      <c r="A79" s="7">
        <v>580</v>
      </c>
      <c r="B79" s="81">
        <v>0.15548000000000001</v>
      </c>
      <c r="C79" s="83">
        <v>3253</v>
      </c>
      <c r="D79" s="83">
        <v>3641.7</v>
      </c>
      <c r="E79" s="82">
        <v>7.5456000000000003</v>
      </c>
      <c r="F79" s="82"/>
      <c r="G79" s="28"/>
      <c r="H79" s="28"/>
    </row>
    <row r="80" spans="1:8" ht="18.75" customHeight="1" x14ac:dyDescent="0.25">
      <c r="A80" s="7">
        <v>600</v>
      </c>
      <c r="B80" s="81">
        <v>0.15931000000000001</v>
      </c>
      <c r="C80" s="83">
        <v>3288.5</v>
      </c>
      <c r="D80" s="83">
        <v>3686.8</v>
      </c>
      <c r="E80" s="82">
        <v>7.5979000000000001</v>
      </c>
      <c r="F80" s="82"/>
      <c r="G80" s="28"/>
      <c r="H80" s="28"/>
    </row>
    <row r="81" spans="1:8" ht="18.75" customHeight="1" x14ac:dyDescent="0.25">
      <c r="A81" s="7">
        <v>620</v>
      </c>
      <c r="B81" s="81">
        <v>0.16314000000000001</v>
      </c>
      <c r="C81" s="83">
        <v>3324.3</v>
      </c>
      <c r="D81" s="83">
        <v>3732.1</v>
      </c>
      <c r="E81" s="82">
        <v>7.6490999999999998</v>
      </c>
      <c r="F81" s="82"/>
      <c r="G81" s="28"/>
      <c r="H81" s="28"/>
    </row>
    <row r="82" spans="1:8" ht="18.75" customHeight="1" x14ac:dyDescent="0.25">
      <c r="A82" s="7">
        <v>640</v>
      </c>
      <c r="B82" s="81">
        <v>0.16694999999999999</v>
      </c>
      <c r="C82" s="83">
        <v>3360.1</v>
      </c>
      <c r="D82" s="83">
        <v>3777.5</v>
      </c>
      <c r="E82" s="82">
        <v>7.6994999999999996</v>
      </c>
      <c r="F82" s="82"/>
      <c r="G82" s="28"/>
      <c r="H82" s="28"/>
    </row>
    <row r="83" spans="1:8" ht="18.75" customHeight="1" x14ac:dyDescent="0.25">
      <c r="A83" s="7">
        <v>660</v>
      </c>
      <c r="B83" s="81">
        <v>0.17076</v>
      </c>
      <c r="C83" s="83">
        <v>3396.3</v>
      </c>
      <c r="D83" s="83">
        <v>3823.2</v>
      </c>
      <c r="E83" s="82">
        <v>7.7489999999999997</v>
      </c>
      <c r="F83" s="82"/>
      <c r="G83" s="28"/>
      <c r="H83" s="28"/>
    </row>
    <row r="84" spans="1:8" ht="18.75" customHeight="1" x14ac:dyDescent="0.25">
      <c r="A84" s="7">
        <v>680</v>
      </c>
      <c r="B84" s="81">
        <v>0.17455999999999999</v>
      </c>
      <c r="C84" s="83">
        <v>3432.7</v>
      </c>
      <c r="D84" s="83">
        <v>3869.1</v>
      </c>
      <c r="E84" s="82">
        <v>7.7976000000000001</v>
      </c>
      <c r="F84" s="82"/>
      <c r="G84" s="28"/>
      <c r="H84" s="28"/>
    </row>
    <row r="85" spans="1:8" ht="18.75" customHeight="1" x14ac:dyDescent="0.25">
      <c r="A85" s="7">
        <v>700</v>
      </c>
      <c r="B85" s="81">
        <v>0.17835000000000001</v>
      </c>
      <c r="C85" s="83">
        <v>3469.3</v>
      </c>
      <c r="D85" s="83">
        <v>3915.2</v>
      </c>
      <c r="E85" s="82">
        <v>7.8455000000000004</v>
      </c>
      <c r="F85" s="82"/>
      <c r="G85" s="28"/>
      <c r="H85" s="28"/>
    </row>
    <row r="86" spans="1:8" ht="18.75" customHeight="1" x14ac:dyDescent="0.25">
      <c r="A86" s="7">
        <v>720</v>
      </c>
      <c r="B86" s="81">
        <v>0.18212999999999999</v>
      </c>
      <c r="C86" s="83">
        <v>3506.2</v>
      </c>
      <c r="D86" s="83">
        <v>3961.5</v>
      </c>
      <c r="E86" s="82">
        <v>7.8925999999999998</v>
      </c>
      <c r="F86" s="82"/>
      <c r="G86" s="28"/>
      <c r="H86" s="28"/>
    </row>
    <row r="87" spans="1:8" ht="18.75" customHeight="1" x14ac:dyDescent="0.25">
      <c r="A87" s="7">
        <v>740</v>
      </c>
      <c r="B87" s="81">
        <v>0.18590999999999999</v>
      </c>
      <c r="C87" s="83">
        <v>3543.3</v>
      </c>
      <c r="D87" s="83">
        <v>4008.1</v>
      </c>
      <c r="E87" s="82">
        <v>7.9390000000000001</v>
      </c>
      <c r="F87" s="82"/>
      <c r="G87" s="28"/>
      <c r="H87" s="28"/>
    </row>
    <row r="88" spans="1:8" ht="18.75" customHeight="1" x14ac:dyDescent="0.25">
      <c r="A88" s="7">
        <v>760</v>
      </c>
      <c r="B88" s="81">
        <v>0.18967999999999999</v>
      </c>
      <c r="C88" s="83">
        <v>3580.7</v>
      </c>
      <c r="D88" s="83">
        <v>4054.9</v>
      </c>
      <c r="E88" s="82">
        <v>7.9847999999999999</v>
      </c>
      <c r="F88" s="82"/>
      <c r="G88" s="28"/>
      <c r="H88" s="28"/>
    </row>
    <row r="89" spans="1:8" ht="18.75" customHeight="1" x14ac:dyDescent="0.25">
      <c r="A89" s="7">
        <v>780</v>
      </c>
      <c r="B89" s="81">
        <v>0.19345000000000001</v>
      </c>
      <c r="C89" s="83">
        <v>3618.3</v>
      </c>
      <c r="D89" s="83">
        <v>4101.8999999999996</v>
      </c>
      <c r="E89" s="82">
        <v>8.0298999999999996</v>
      </c>
      <c r="F89" s="82"/>
      <c r="G89" s="28"/>
      <c r="H89" s="28"/>
    </row>
    <row r="90" spans="1:8" ht="18.75" customHeight="1" x14ac:dyDescent="0.25">
      <c r="A90" s="7">
        <v>800</v>
      </c>
      <c r="B90" s="81">
        <v>0.19721</v>
      </c>
      <c r="C90" s="83">
        <v>3656.2</v>
      </c>
      <c r="D90" s="83">
        <v>4149.2</v>
      </c>
      <c r="E90" s="82">
        <v>8.0742999999999991</v>
      </c>
      <c r="F90" s="82"/>
      <c r="G90" s="28"/>
      <c r="H90" s="28"/>
    </row>
    <row r="91" spans="1:8" ht="18.75" customHeight="1" x14ac:dyDescent="0.25">
      <c r="A91" s="7">
        <v>820</v>
      </c>
      <c r="B91" s="81">
        <v>0.20097000000000001</v>
      </c>
      <c r="C91" s="83">
        <v>3694.3</v>
      </c>
      <c r="D91" s="83">
        <v>4196.7</v>
      </c>
      <c r="E91" s="82">
        <v>8.1181999999999999</v>
      </c>
      <c r="F91" s="82"/>
      <c r="G91" s="28"/>
      <c r="H91" s="28"/>
    </row>
    <row r="92" spans="1:8" ht="18.75" customHeight="1" x14ac:dyDescent="0.25">
      <c r="A92" s="7">
        <v>840</v>
      </c>
      <c r="B92" s="81">
        <v>0.20473</v>
      </c>
      <c r="C92" s="83">
        <v>3732.7</v>
      </c>
      <c r="D92" s="83">
        <v>4244.5</v>
      </c>
      <c r="E92" s="82">
        <v>8.1615000000000002</v>
      </c>
      <c r="F92" s="82"/>
      <c r="G92" s="28"/>
      <c r="H92" s="28"/>
    </row>
    <row r="93" spans="1:8" ht="18.75" customHeight="1" x14ac:dyDescent="0.25">
      <c r="A93" s="7">
        <v>860</v>
      </c>
      <c r="B93" s="81">
        <v>0.20848</v>
      </c>
      <c r="C93" s="83">
        <v>3771.3</v>
      </c>
      <c r="D93" s="83">
        <v>4292.5</v>
      </c>
      <c r="E93" s="82">
        <v>8.2042999999999999</v>
      </c>
      <c r="F93" s="82"/>
      <c r="G93" s="28"/>
      <c r="H93" s="28"/>
    </row>
    <row r="94" spans="1:8" ht="18.75" customHeight="1" x14ac:dyDescent="0.25">
      <c r="A94" s="7">
        <v>880</v>
      </c>
      <c r="B94" s="81">
        <v>0.21223</v>
      </c>
      <c r="C94" s="83">
        <v>3810.2</v>
      </c>
      <c r="D94" s="83">
        <v>4340.8</v>
      </c>
      <c r="E94" s="82">
        <v>8.2464999999999993</v>
      </c>
      <c r="F94" s="82"/>
      <c r="G94" s="28"/>
      <c r="H94" s="28"/>
    </row>
    <row r="95" spans="1:8" ht="18.75" customHeight="1" x14ac:dyDescent="0.25">
      <c r="A95" s="7">
        <v>900</v>
      </c>
      <c r="B95" s="81">
        <v>0.21597</v>
      </c>
      <c r="C95" s="83">
        <v>3849.4</v>
      </c>
      <c r="D95" s="83">
        <v>4389.3</v>
      </c>
      <c r="E95" s="82">
        <v>8.2881999999999998</v>
      </c>
      <c r="F95" s="82"/>
      <c r="G95" s="28"/>
      <c r="H95" s="28"/>
    </row>
    <row r="96" spans="1:8" ht="18.75" customHeight="1" x14ac:dyDescent="0.25">
      <c r="A96" s="7">
        <v>920</v>
      </c>
      <c r="B96" s="81">
        <v>0.21972</v>
      </c>
      <c r="C96" s="83">
        <v>3888.8</v>
      </c>
      <c r="D96" s="83">
        <v>4438.1000000000004</v>
      </c>
      <c r="E96" s="82">
        <v>8.3293999999999997</v>
      </c>
      <c r="F96" s="82"/>
      <c r="G96" s="28"/>
      <c r="H96" s="28"/>
    </row>
    <row r="97" spans="1:8" ht="18.75" customHeight="1" x14ac:dyDescent="0.25">
      <c r="A97" s="7">
        <v>940</v>
      </c>
      <c r="B97" s="81">
        <v>0.22345999999999999</v>
      </c>
      <c r="C97" s="83">
        <v>3928.5</v>
      </c>
      <c r="D97" s="83">
        <v>4487.1000000000004</v>
      </c>
      <c r="E97" s="82">
        <v>8.3702000000000005</v>
      </c>
      <c r="F97" s="82"/>
      <c r="G97" s="28"/>
      <c r="H97" s="28"/>
    </row>
    <row r="98" spans="1:8" ht="18.75" customHeight="1" x14ac:dyDescent="0.25">
      <c r="A98" s="7">
        <v>960</v>
      </c>
      <c r="B98" s="81">
        <v>0.22719</v>
      </c>
      <c r="C98" s="83">
        <v>3968.3</v>
      </c>
      <c r="D98" s="83">
        <v>4536.3</v>
      </c>
      <c r="E98" s="82">
        <v>8.4103999999999992</v>
      </c>
      <c r="F98" s="82"/>
      <c r="G98" s="28"/>
      <c r="H98" s="28"/>
    </row>
    <row r="99" spans="1:8" ht="18.75" customHeight="1" x14ac:dyDescent="0.25">
      <c r="A99" s="7">
        <v>980</v>
      </c>
      <c r="B99" s="81">
        <v>0.23093</v>
      </c>
      <c r="C99" s="83">
        <v>4008.5</v>
      </c>
      <c r="D99" s="83">
        <v>4585.8</v>
      </c>
      <c r="E99" s="82">
        <v>8.4503000000000004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0.23466000000000001</v>
      </c>
      <c r="C100" s="83">
        <v>4049</v>
      </c>
      <c r="D100" s="83">
        <v>4635.6000000000004</v>
      </c>
      <c r="E100" s="82">
        <v>8.4895999999999994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H100"/>
  <sheetViews>
    <sheetView topLeftCell="A31" workbookViewId="0">
      <selection activeCell="A49" sqref="A49:XFD49"/>
    </sheetView>
  </sheetViews>
  <sheetFormatPr defaultRowHeight="13.2" x14ac:dyDescent="0.25"/>
  <cols>
    <col min="1" max="1" width="9.77734375" customWidth="1"/>
    <col min="2" max="2" width="10.109375" customWidth="1"/>
    <col min="3" max="3" width="7.109375" customWidth="1"/>
    <col min="4" max="4" width="6.5546875" customWidth="1"/>
    <col min="5" max="5" width="7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77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3000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9.9868999999999999E-4</v>
      </c>
      <c r="C5" s="80">
        <v>0.01</v>
      </c>
      <c r="D5" s="80">
        <v>3.01</v>
      </c>
      <c r="E5" s="81">
        <v>3.0000000000000001E-5</v>
      </c>
      <c r="F5" s="81"/>
      <c r="G5" s="28"/>
      <c r="H5" s="28"/>
    </row>
    <row r="6" spans="1:8" ht="18.75" customHeight="1" x14ac:dyDescent="0.25">
      <c r="A6" s="7">
        <v>5</v>
      </c>
      <c r="B6" s="79">
        <v>9.9861000000000004E-4</v>
      </c>
      <c r="C6" s="80">
        <v>21</v>
      </c>
      <c r="D6" s="80">
        <v>24</v>
      </c>
      <c r="E6" s="81">
        <v>7.6189999999999994E-2</v>
      </c>
      <c r="F6" s="81"/>
      <c r="G6" s="28"/>
      <c r="H6" s="28"/>
    </row>
    <row r="7" spans="1:8" ht="18.75" customHeight="1" x14ac:dyDescent="0.25">
      <c r="A7" s="7">
        <v>10</v>
      </c>
      <c r="B7" s="79">
        <v>9.9891999999999993E-4</v>
      </c>
      <c r="C7" s="80">
        <v>41.94</v>
      </c>
      <c r="D7" s="80">
        <v>44.94</v>
      </c>
      <c r="E7" s="81">
        <v>0.15081</v>
      </c>
      <c r="F7" s="81"/>
      <c r="G7" s="28"/>
      <c r="H7" s="28"/>
    </row>
    <row r="8" spans="1:8" ht="18.75" customHeight="1" x14ac:dyDescent="0.25">
      <c r="A8" s="7">
        <v>15</v>
      </c>
      <c r="B8" s="79">
        <v>9.9955000000000009E-4</v>
      </c>
      <c r="C8" s="80">
        <v>62.85</v>
      </c>
      <c r="D8" s="80">
        <v>65.849999999999994</v>
      </c>
      <c r="E8" s="81">
        <v>0.224</v>
      </c>
      <c r="F8" s="81"/>
      <c r="G8" s="28"/>
      <c r="H8" s="28"/>
    </row>
    <row r="9" spans="1:8" ht="18.75" customHeight="1" x14ac:dyDescent="0.25">
      <c r="A9" s="7">
        <v>20</v>
      </c>
      <c r="B9" s="79">
        <v>1.00047E-3</v>
      </c>
      <c r="C9" s="80">
        <v>83.73</v>
      </c>
      <c r="D9" s="80">
        <v>86.73</v>
      </c>
      <c r="E9" s="81">
        <v>0.29586000000000001</v>
      </c>
      <c r="F9" s="81"/>
      <c r="G9" s="28"/>
      <c r="H9" s="28"/>
    </row>
    <row r="10" spans="1:8" ht="18.75" customHeight="1" x14ac:dyDescent="0.25">
      <c r="A10" s="7">
        <v>25</v>
      </c>
      <c r="B10" s="79">
        <v>1.00165E-3</v>
      </c>
      <c r="C10" s="80">
        <v>104.6</v>
      </c>
      <c r="D10" s="80">
        <v>107.6</v>
      </c>
      <c r="E10" s="81">
        <v>0.36645</v>
      </c>
      <c r="F10" s="81"/>
      <c r="G10" s="28"/>
      <c r="H10" s="28"/>
    </row>
    <row r="11" spans="1:8" ht="18.75" customHeight="1" x14ac:dyDescent="0.25">
      <c r="A11" s="7">
        <v>30</v>
      </c>
      <c r="B11" s="79">
        <v>1.00307E-3</v>
      </c>
      <c r="C11" s="80">
        <v>125.45</v>
      </c>
      <c r="D11" s="80">
        <v>128.46</v>
      </c>
      <c r="E11" s="81">
        <v>0.43584000000000001</v>
      </c>
      <c r="F11" s="81"/>
      <c r="G11" s="28"/>
      <c r="H11" s="28"/>
    </row>
    <row r="12" spans="1:8" ht="18.75" customHeight="1" x14ac:dyDescent="0.25">
      <c r="A12" s="7">
        <v>35</v>
      </c>
      <c r="B12" s="79">
        <v>1.00471E-3</v>
      </c>
      <c r="C12" s="80">
        <v>146.31</v>
      </c>
      <c r="D12" s="80">
        <v>149.32</v>
      </c>
      <c r="E12" s="81">
        <v>0.50409000000000004</v>
      </c>
      <c r="F12" s="81"/>
      <c r="G12" s="28"/>
      <c r="H12" s="28"/>
    </row>
    <row r="13" spans="1:8" ht="18.75" customHeight="1" x14ac:dyDescent="0.25">
      <c r="A13" s="7">
        <v>40</v>
      </c>
      <c r="B13" s="79">
        <v>1.0065600000000001E-3</v>
      </c>
      <c r="C13" s="80">
        <v>167.16</v>
      </c>
      <c r="D13" s="80">
        <v>170.18</v>
      </c>
      <c r="E13" s="81">
        <v>0.57123999999999997</v>
      </c>
      <c r="F13" s="81"/>
      <c r="G13" s="28"/>
      <c r="H13" s="28"/>
    </row>
    <row r="14" spans="1:8" ht="18.75" customHeight="1" x14ac:dyDescent="0.25">
      <c r="A14" s="7">
        <v>45</v>
      </c>
      <c r="B14" s="79">
        <v>1.0085999999999999E-3</v>
      </c>
      <c r="C14" s="80">
        <v>188.02</v>
      </c>
      <c r="D14" s="80">
        <v>191.05</v>
      </c>
      <c r="E14" s="81">
        <v>0.63734000000000002</v>
      </c>
      <c r="F14" s="81"/>
      <c r="G14" s="28"/>
      <c r="H14" s="28"/>
    </row>
    <row r="15" spans="1:8" ht="18.75" customHeight="1" x14ac:dyDescent="0.25">
      <c r="A15" s="7">
        <v>50</v>
      </c>
      <c r="B15" s="79">
        <v>1.0108199999999999E-3</v>
      </c>
      <c r="C15" s="80">
        <v>208.89</v>
      </c>
      <c r="D15" s="80">
        <v>211.92</v>
      </c>
      <c r="E15" s="81">
        <v>0.70243</v>
      </c>
      <c r="F15" s="81"/>
      <c r="G15" s="28"/>
      <c r="H15" s="28"/>
    </row>
    <row r="16" spans="1:8" ht="18.75" customHeight="1" x14ac:dyDescent="0.25">
      <c r="A16" s="7">
        <v>55</v>
      </c>
      <c r="B16" s="79">
        <v>1.01322E-3</v>
      </c>
      <c r="C16" s="80">
        <v>229.75</v>
      </c>
      <c r="D16" s="80">
        <v>232.79</v>
      </c>
      <c r="E16" s="81">
        <v>0.76654</v>
      </c>
      <c r="F16" s="81"/>
      <c r="G16" s="28"/>
      <c r="H16" s="28"/>
    </row>
    <row r="17" spans="1:8" ht="18.75" customHeight="1" x14ac:dyDescent="0.25">
      <c r="A17" s="7">
        <v>60</v>
      </c>
      <c r="B17" s="79">
        <v>1.0157899999999999E-3</v>
      </c>
      <c r="C17" s="80">
        <v>250.63</v>
      </c>
      <c r="D17" s="80">
        <v>253.68</v>
      </c>
      <c r="E17" s="81">
        <v>0.82970999999999995</v>
      </c>
      <c r="F17" s="81"/>
      <c r="G17" s="28"/>
      <c r="H17" s="28"/>
    </row>
    <row r="18" spans="1:8" ht="18.75" customHeight="1" x14ac:dyDescent="0.25">
      <c r="A18" s="7">
        <v>65</v>
      </c>
      <c r="B18" s="79">
        <v>1.01852E-3</v>
      </c>
      <c r="C18" s="80">
        <v>271.52</v>
      </c>
      <c r="D18" s="80">
        <v>274.58</v>
      </c>
      <c r="E18" s="81">
        <v>0.89198</v>
      </c>
      <c r="F18" s="81"/>
      <c r="G18" s="28"/>
      <c r="H18" s="28"/>
    </row>
    <row r="19" spans="1:8" ht="18.75" customHeight="1" x14ac:dyDescent="0.25">
      <c r="A19" s="7">
        <v>70</v>
      </c>
      <c r="B19" s="79">
        <v>1.0214099999999999E-3</v>
      </c>
      <c r="C19" s="80">
        <v>292.43</v>
      </c>
      <c r="D19" s="80">
        <v>295.49</v>
      </c>
      <c r="E19" s="81">
        <v>0.95335999999999999</v>
      </c>
      <c r="F19" s="81"/>
      <c r="G19" s="28"/>
      <c r="H19" s="28"/>
    </row>
    <row r="20" spans="1:8" ht="18.75" customHeight="1" x14ac:dyDescent="0.25">
      <c r="A20" s="7">
        <v>75</v>
      </c>
      <c r="B20" s="79">
        <v>1.02446E-3</v>
      </c>
      <c r="C20" s="80">
        <v>313.35000000000002</v>
      </c>
      <c r="D20" s="80">
        <v>316.42</v>
      </c>
      <c r="E20" s="82">
        <v>1.0139</v>
      </c>
      <c r="F20" s="82"/>
      <c r="G20" s="28"/>
      <c r="H20" s="28"/>
    </row>
    <row r="21" spans="1:8" ht="18.75" customHeight="1" x14ac:dyDescent="0.25">
      <c r="A21" s="7">
        <v>80</v>
      </c>
      <c r="B21" s="79">
        <v>1.0276599999999999E-3</v>
      </c>
      <c r="C21" s="80">
        <v>334.28</v>
      </c>
      <c r="D21" s="80">
        <v>337.36</v>
      </c>
      <c r="E21" s="82">
        <v>1.0736000000000001</v>
      </c>
      <c r="F21" s="82"/>
      <c r="G21" s="28"/>
      <c r="H21" s="28"/>
    </row>
    <row r="22" spans="1:8" ht="18.75" customHeight="1" x14ac:dyDescent="0.25">
      <c r="A22" s="7">
        <v>85</v>
      </c>
      <c r="B22" s="79">
        <v>1.03101E-3</v>
      </c>
      <c r="C22" s="80">
        <v>355.23</v>
      </c>
      <c r="D22" s="80">
        <v>358.32</v>
      </c>
      <c r="E22" s="82">
        <v>1.1326000000000001</v>
      </c>
      <c r="F22" s="82"/>
      <c r="G22" s="28"/>
      <c r="H22" s="28"/>
    </row>
    <row r="23" spans="1:8" ht="18.75" customHeight="1" x14ac:dyDescent="0.25">
      <c r="A23" s="7">
        <v>90</v>
      </c>
      <c r="B23" s="79">
        <v>1.0345199999999999E-3</v>
      </c>
      <c r="C23" s="80">
        <v>376.21</v>
      </c>
      <c r="D23" s="80">
        <v>379.31</v>
      </c>
      <c r="E23" s="82">
        <v>1.1908000000000001</v>
      </c>
      <c r="F23" s="82"/>
      <c r="G23" s="28"/>
      <c r="H23" s="28"/>
    </row>
    <row r="24" spans="1:8" ht="18.75" customHeight="1" x14ac:dyDescent="0.25">
      <c r="A24" s="7">
        <v>95</v>
      </c>
      <c r="B24" s="79">
        <v>1.0381800000000001E-3</v>
      </c>
      <c r="C24" s="80">
        <v>397.2</v>
      </c>
      <c r="D24" s="80">
        <v>400.31</v>
      </c>
      <c r="E24" s="82">
        <v>1.2482</v>
      </c>
      <c r="F24" s="82"/>
      <c r="G24" s="28"/>
      <c r="H24" s="28"/>
    </row>
    <row r="25" spans="1:8" ht="18.75" customHeight="1" x14ac:dyDescent="0.25">
      <c r="A25" s="7">
        <v>100</v>
      </c>
      <c r="B25" s="79">
        <v>1.04199E-3</v>
      </c>
      <c r="C25" s="80">
        <v>418.21</v>
      </c>
      <c r="D25" s="80">
        <v>421.34</v>
      </c>
      <c r="E25" s="82">
        <v>1.3049999999999999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1.0459499999999999E-3</v>
      </c>
      <c r="C26" s="80">
        <v>439.26</v>
      </c>
      <c r="D26" s="80">
        <v>442.4</v>
      </c>
      <c r="E26" s="82">
        <v>1.361</v>
      </c>
      <c r="F26" s="82"/>
      <c r="G26" s="28"/>
      <c r="H26" s="28"/>
    </row>
    <row r="27" spans="1:8" ht="18.75" customHeight="1" x14ac:dyDescent="0.25">
      <c r="A27" s="7">
        <v>110</v>
      </c>
      <c r="B27" s="79">
        <v>1.05006E-3</v>
      </c>
      <c r="C27" s="80">
        <v>460.35</v>
      </c>
      <c r="D27" s="80">
        <v>463.5</v>
      </c>
      <c r="E27" s="82">
        <v>1.4164000000000001</v>
      </c>
      <c r="F27" s="82"/>
      <c r="G27" s="28"/>
      <c r="H27" s="28"/>
    </row>
    <row r="28" spans="1:8" ht="18.75" customHeight="1" x14ac:dyDescent="0.25">
      <c r="A28" s="7">
        <v>115</v>
      </c>
      <c r="B28" s="79">
        <v>1.05433E-3</v>
      </c>
      <c r="C28" s="80">
        <v>481.46</v>
      </c>
      <c r="D28" s="80">
        <v>484.62</v>
      </c>
      <c r="E28" s="82">
        <v>1.4712000000000001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1.05876E-3</v>
      </c>
      <c r="C29" s="80">
        <v>502.6</v>
      </c>
      <c r="D29" s="80">
        <v>505.78</v>
      </c>
      <c r="E29" s="82">
        <v>1.5254000000000001</v>
      </c>
      <c r="F29" s="82"/>
      <c r="G29" s="28"/>
      <c r="H29" s="28"/>
    </row>
    <row r="30" spans="1:8" ht="18.75" customHeight="1" x14ac:dyDescent="0.25">
      <c r="A30" s="7">
        <v>125</v>
      </c>
      <c r="B30" s="79">
        <v>1.0633400000000001E-3</v>
      </c>
      <c r="C30" s="80">
        <v>523.79999999999995</v>
      </c>
      <c r="D30" s="80">
        <v>526.99</v>
      </c>
      <c r="E30" s="82">
        <v>1.579</v>
      </c>
      <c r="F30" s="82"/>
      <c r="G30" s="28"/>
      <c r="H30" s="28"/>
    </row>
    <row r="31" spans="1:8" ht="18.75" customHeight="1" x14ac:dyDescent="0.25">
      <c r="A31" s="7">
        <v>130</v>
      </c>
      <c r="B31" s="79">
        <v>1.0680900000000001E-3</v>
      </c>
      <c r="C31" s="80">
        <v>545.03</v>
      </c>
      <c r="D31" s="80">
        <v>548.23</v>
      </c>
      <c r="E31" s="82">
        <v>1.6319999999999999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1.0730099999999999E-3</v>
      </c>
      <c r="C32" s="80">
        <v>566.30999999999995</v>
      </c>
      <c r="D32" s="80">
        <v>569.53</v>
      </c>
      <c r="E32" s="82">
        <v>1.6845000000000001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1.0781E-3</v>
      </c>
      <c r="C33" s="80">
        <v>587.64</v>
      </c>
      <c r="D33" s="80">
        <v>590.87</v>
      </c>
      <c r="E33" s="82">
        <v>1.7364999999999999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1.08336E-3</v>
      </c>
      <c r="C34" s="80">
        <v>609.03</v>
      </c>
      <c r="D34" s="80">
        <v>612.28</v>
      </c>
      <c r="E34" s="82">
        <v>1.788</v>
      </c>
      <c r="F34" s="82"/>
      <c r="G34" s="28"/>
      <c r="H34" s="28"/>
    </row>
    <row r="35" spans="1:8" ht="18.75" customHeight="1" x14ac:dyDescent="0.25">
      <c r="A35" s="7">
        <v>150</v>
      </c>
      <c r="B35" s="79">
        <v>1.08881E-3</v>
      </c>
      <c r="C35" s="80">
        <v>630.47</v>
      </c>
      <c r="D35" s="80">
        <v>633.74</v>
      </c>
      <c r="E35" s="82">
        <v>1.839</v>
      </c>
      <c r="F35" s="82"/>
      <c r="G35" s="28"/>
      <c r="H35" s="28"/>
    </row>
    <row r="36" spans="1:8" ht="18.75" customHeight="1" x14ac:dyDescent="0.25">
      <c r="A36" s="7">
        <v>155</v>
      </c>
      <c r="B36" s="79">
        <v>1.0944399999999999E-3</v>
      </c>
      <c r="C36" s="80">
        <v>651.99</v>
      </c>
      <c r="D36" s="80">
        <v>655.27</v>
      </c>
      <c r="E36" s="82">
        <v>1.8895999999999999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1.10027E-3</v>
      </c>
      <c r="C37" s="80">
        <v>673.57</v>
      </c>
      <c r="D37" s="80">
        <v>676.87</v>
      </c>
      <c r="E37" s="82">
        <v>1.9397</v>
      </c>
      <c r="F37" s="82"/>
      <c r="G37" s="28"/>
      <c r="H37" s="28"/>
    </row>
    <row r="38" spans="1:8" ht="18.75" customHeight="1" x14ac:dyDescent="0.25">
      <c r="A38" s="7">
        <v>165</v>
      </c>
      <c r="B38" s="79">
        <v>1.1062999999999999E-3</v>
      </c>
      <c r="C38" s="80">
        <v>695.22</v>
      </c>
      <c r="D38" s="80">
        <v>698.54</v>
      </c>
      <c r="E38" s="82">
        <v>1.9895</v>
      </c>
      <c r="F38" s="82"/>
      <c r="G38" s="28"/>
      <c r="H38" s="28"/>
    </row>
    <row r="39" spans="1:8" ht="18.75" customHeight="1" x14ac:dyDescent="0.25">
      <c r="A39" s="7">
        <v>170</v>
      </c>
      <c r="B39" s="79">
        <v>1.1125499999999999E-3</v>
      </c>
      <c r="C39" s="80">
        <v>716.95</v>
      </c>
      <c r="D39" s="80">
        <v>720.29</v>
      </c>
      <c r="E39" s="82">
        <v>2.0388000000000002</v>
      </c>
      <c r="F39" s="82"/>
      <c r="G39" s="28"/>
      <c r="H39" s="28"/>
    </row>
    <row r="40" spans="1:8" ht="18.75" customHeight="1" x14ac:dyDescent="0.25">
      <c r="A40" s="7">
        <v>175</v>
      </c>
      <c r="B40" s="79">
        <v>1.1190099999999999E-3</v>
      </c>
      <c r="C40" s="80">
        <v>738.77</v>
      </c>
      <c r="D40" s="80">
        <v>742.13</v>
      </c>
      <c r="E40" s="82">
        <v>2.0878000000000001</v>
      </c>
      <c r="F40" s="82"/>
      <c r="G40" s="28"/>
      <c r="H40" s="28"/>
    </row>
    <row r="41" spans="1:8" ht="18.75" customHeight="1" x14ac:dyDescent="0.25">
      <c r="A41" s="7">
        <v>180</v>
      </c>
      <c r="B41" s="79">
        <v>1.12571E-3</v>
      </c>
      <c r="C41" s="80">
        <v>760.68</v>
      </c>
      <c r="D41" s="80">
        <v>764.06</v>
      </c>
      <c r="E41" s="82">
        <v>2.1364999999999998</v>
      </c>
      <c r="F41" s="82"/>
      <c r="G41" s="28"/>
      <c r="H41" s="28"/>
    </row>
    <row r="42" spans="1:8" ht="18.75" customHeight="1" x14ac:dyDescent="0.25">
      <c r="A42" s="7">
        <v>185</v>
      </c>
      <c r="B42" s="79">
        <v>1.13265E-3</v>
      </c>
      <c r="C42" s="80">
        <v>782.69</v>
      </c>
      <c r="D42" s="80">
        <v>786.09</v>
      </c>
      <c r="E42" s="82">
        <v>2.1848999999999998</v>
      </c>
      <c r="F42" s="82"/>
      <c r="G42" s="28"/>
      <c r="H42" s="28"/>
    </row>
    <row r="43" spans="1:8" ht="18.75" customHeight="1" x14ac:dyDescent="0.25">
      <c r="A43" s="7">
        <v>190</v>
      </c>
      <c r="B43" s="79">
        <v>1.13984E-3</v>
      </c>
      <c r="C43" s="80">
        <v>804.81</v>
      </c>
      <c r="D43" s="80">
        <v>808.23</v>
      </c>
      <c r="E43" s="82">
        <v>2.2328999999999999</v>
      </c>
      <c r="F43" s="82"/>
      <c r="G43" s="28"/>
      <c r="H43" s="28"/>
    </row>
    <row r="44" spans="1:8" ht="18.75" customHeight="1" x14ac:dyDescent="0.25">
      <c r="A44" s="7">
        <v>195</v>
      </c>
      <c r="B44" s="79">
        <v>1.1473099999999999E-3</v>
      </c>
      <c r="C44" s="80">
        <v>827.04</v>
      </c>
      <c r="D44" s="80">
        <v>830.48</v>
      </c>
      <c r="E44" s="82">
        <v>2.2806999999999999</v>
      </c>
      <c r="F44" s="82"/>
      <c r="G44" s="28"/>
      <c r="H44" s="28"/>
    </row>
    <row r="45" spans="1:8" ht="18.75" customHeight="1" x14ac:dyDescent="0.25">
      <c r="A45" s="7">
        <v>200</v>
      </c>
      <c r="B45" s="79">
        <v>1.1550600000000001E-3</v>
      </c>
      <c r="C45" s="80">
        <v>849.39</v>
      </c>
      <c r="D45" s="80">
        <v>852.86</v>
      </c>
      <c r="E45" s="82">
        <v>2.3281999999999998</v>
      </c>
      <c r="F45" s="82"/>
      <c r="G45" s="28"/>
      <c r="H45" s="28"/>
    </row>
    <row r="46" spans="1:8" ht="18.75" customHeight="1" x14ac:dyDescent="0.25">
      <c r="A46" s="7">
        <v>210</v>
      </c>
      <c r="B46" s="79">
        <v>1.1714900000000001E-3</v>
      </c>
      <c r="C46" s="80">
        <v>894.5</v>
      </c>
      <c r="D46" s="80">
        <v>898.01</v>
      </c>
      <c r="E46" s="82">
        <v>2.4226999999999999</v>
      </c>
      <c r="F46" s="82"/>
      <c r="G46" s="28"/>
      <c r="H46" s="28"/>
    </row>
    <row r="47" spans="1:8" ht="18.75" customHeight="1" x14ac:dyDescent="0.25">
      <c r="A47" s="7">
        <v>220</v>
      </c>
      <c r="B47" s="79">
        <v>1.1893100000000001E-3</v>
      </c>
      <c r="C47" s="80">
        <v>940.19</v>
      </c>
      <c r="D47" s="80">
        <v>943.76</v>
      </c>
      <c r="E47" s="82">
        <v>2.5164</v>
      </c>
      <c r="F47" s="82"/>
      <c r="G47" s="28"/>
      <c r="H47" s="28"/>
    </row>
    <row r="48" spans="1:8" ht="18.75" customHeight="1" x14ac:dyDescent="0.25">
      <c r="A48" s="7">
        <v>230</v>
      </c>
      <c r="B48" s="79">
        <v>1.2087300000000001E-3</v>
      </c>
      <c r="C48" s="80">
        <v>986.6</v>
      </c>
      <c r="D48" s="80">
        <v>990.23</v>
      </c>
      <c r="E48" s="82">
        <v>2.6097000000000001</v>
      </c>
      <c r="F48" s="82"/>
      <c r="G48" s="28"/>
      <c r="H48" s="28"/>
    </row>
    <row r="49" spans="1:8" ht="18.75" customHeight="1" x14ac:dyDescent="0.25">
      <c r="A49" s="7">
        <v>240</v>
      </c>
      <c r="B49" s="85">
        <v>6.8229999999999999E-2</v>
      </c>
      <c r="C49" s="83">
        <v>2619.8000000000002</v>
      </c>
      <c r="D49" s="83">
        <v>2824.5</v>
      </c>
      <c r="E49" s="82">
        <v>6.2274000000000003</v>
      </c>
      <c r="F49" s="82"/>
      <c r="G49" s="28"/>
      <c r="H49" s="28"/>
    </row>
    <row r="50" spans="1:8" ht="18.75" customHeight="1" x14ac:dyDescent="0.25">
      <c r="A50" s="7">
        <v>250</v>
      </c>
      <c r="B50" s="85">
        <v>7.0626999999999995E-2</v>
      </c>
      <c r="C50" s="83">
        <v>2644.6</v>
      </c>
      <c r="D50" s="83">
        <v>2856.5</v>
      </c>
      <c r="E50" s="82">
        <v>6.2892999999999999</v>
      </c>
      <c r="F50" s="82"/>
      <c r="G50" s="28"/>
      <c r="H50" s="28"/>
    </row>
    <row r="51" spans="1:8" ht="18.75" customHeight="1" x14ac:dyDescent="0.25">
      <c r="A51" s="7">
        <v>260</v>
      </c>
      <c r="B51" s="85">
        <v>7.2895000000000001E-2</v>
      </c>
      <c r="C51" s="83">
        <v>2667.7</v>
      </c>
      <c r="D51" s="83">
        <v>2886.4</v>
      </c>
      <c r="E51" s="82">
        <v>6.3459000000000003</v>
      </c>
      <c r="F51" s="82"/>
      <c r="G51" s="28"/>
      <c r="H51" s="28"/>
    </row>
    <row r="52" spans="1:8" ht="18.75" customHeight="1" x14ac:dyDescent="0.25">
      <c r="A52" s="7">
        <v>270</v>
      </c>
      <c r="B52" s="85">
        <v>7.5065999999999994E-2</v>
      </c>
      <c r="C52" s="83">
        <v>2689.7</v>
      </c>
      <c r="D52" s="83">
        <v>2914.9</v>
      </c>
      <c r="E52" s="82">
        <v>6.3986999999999998</v>
      </c>
      <c r="F52" s="82"/>
      <c r="G52" s="28"/>
      <c r="H52" s="28"/>
    </row>
    <row r="53" spans="1:8" ht="18.75" customHeight="1" x14ac:dyDescent="0.25">
      <c r="A53" s="7">
        <v>280</v>
      </c>
      <c r="B53" s="85">
        <v>7.7161999999999994E-2</v>
      </c>
      <c r="C53" s="83">
        <v>2710.7</v>
      </c>
      <c r="D53" s="83">
        <v>2942.2</v>
      </c>
      <c r="E53" s="82">
        <v>6.4485999999999999</v>
      </c>
      <c r="F53" s="82"/>
      <c r="G53" s="28"/>
      <c r="H53" s="28"/>
    </row>
    <row r="54" spans="1:8" ht="18.75" customHeight="1" x14ac:dyDescent="0.25">
      <c r="A54" s="7">
        <v>290</v>
      </c>
      <c r="B54" s="85">
        <v>7.9196000000000003E-2</v>
      </c>
      <c r="C54" s="83">
        <v>2731</v>
      </c>
      <c r="D54" s="83">
        <v>2968.6</v>
      </c>
      <c r="E54" s="82">
        <v>6.4958999999999998</v>
      </c>
      <c r="F54" s="82"/>
      <c r="G54" s="28"/>
      <c r="H54" s="28"/>
    </row>
    <row r="55" spans="1:8" ht="18.75" customHeight="1" x14ac:dyDescent="0.25">
      <c r="A55" s="7">
        <v>300</v>
      </c>
      <c r="B55" s="85">
        <v>8.1179000000000001E-2</v>
      </c>
      <c r="C55" s="83">
        <v>2750.8</v>
      </c>
      <c r="D55" s="83">
        <v>2994.3</v>
      </c>
      <c r="E55" s="82">
        <v>6.5411999999999999</v>
      </c>
      <c r="F55" s="82"/>
      <c r="G55" s="28"/>
      <c r="H55" s="28"/>
    </row>
    <row r="56" spans="1:8" ht="18.75" customHeight="1" x14ac:dyDescent="0.25">
      <c r="A56" s="7">
        <v>310</v>
      </c>
      <c r="B56" s="85">
        <v>8.3118999999999998E-2</v>
      </c>
      <c r="C56" s="83">
        <v>2770.1</v>
      </c>
      <c r="D56" s="83">
        <v>3019.5</v>
      </c>
      <c r="E56" s="82">
        <v>6.5846999999999998</v>
      </c>
      <c r="F56" s="82"/>
      <c r="G56" s="28"/>
      <c r="H56" s="28"/>
    </row>
    <row r="57" spans="1:8" ht="18.75" customHeight="1" x14ac:dyDescent="0.25">
      <c r="A57" s="7">
        <v>320</v>
      </c>
      <c r="B57" s="85">
        <v>8.5022E-2</v>
      </c>
      <c r="C57" s="83">
        <v>2789.1</v>
      </c>
      <c r="D57" s="83">
        <v>3044.2</v>
      </c>
      <c r="E57" s="82">
        <v>6.6265999999999998</v>
      </c>
      <c r="F57" s="82"/>
      <c r="G57" s="28"/>
      <c r="H57" s="28"/>
    </row>
    <row r="58" spans="1:8" ht="18.75" customHeight="1" x14ac:dyDescent="0.25">
      <c r="A58" s="7">
        <v>330</v>
      </c>
      <c r="B58" s="85">
        <v>8.6892999999999998E-2</v>
      </c>
      <c r="C58" s="83">
        <v>2807.7</v>
      </c>
      <c r="D58" s="83">
        <v>3068.4</v>
      </c>
      <c r="E58" s="82">
        <v>6.6672000000000002</v>
      </c>
      <c r="F58" s="82"/>
      <c r="G58" s="28"/>
      <c r="H58" s="28"/>
    </row>
    <row r="59" spans="1:8" ht="18.75" customHeight="1" x14ac:dyDescent="0.25">
      <c r="A59" s="7">
        <v>340</v>
      </c>
      <c r="B59" s="85">
        <v>8.8736999999999996E-2</v>
      </c>
      <c r="C59" s="83">
        <v>2826.2</v>
      </c>
      <c r="D59" s="83">
        <v>3092.4</v>
      </c>
      <c r="E59" s="82">
        <v>6.7065999999999999</v>
      </c>
      <c r="F59" s="82"/>
      <c r="G59" s="28"/>
      <c r="H59" s="28"/>
    </row>
    <row r="60" spans="1:8" ht="18.75" customHeight="1" x14ac:dyDescent="0.25">
      <c r="A60" s="7">
        <v>350</v>
      </c>
      <c r="B60" s="85">
        <v>9.0555999999999998E-2</v>
      </c>
      <c r="C60" s="83">
        <v>2844.4</v>
      </c>
      <c r="D60" s="83">
        <v>3116.1</v>
      </c>
      <c r="E60" s="82">
        <v>6.7449000000000003</v>
      </c>
      <c r="F60" s="82"/>
      <c r="G60" s="28"/>
      <c r="H60" s="28"/>
    </row>
    <row r="61" spans="1:8" ht="18.75" customHeight="1" x14ac:dyDescent="0.25">
      <c r="A61" s="7">
        <v>360</v>
      </c>
      <c r="B61" s="85">
        <v>9.2355000000000007E-2</v>
      </c>
      <c r="C61" s="83">
        <v>2862.4</v>
      </c>
      <c r="D61" s="83">
        <v>3139.5</v>
      </c>
      <c r="E61" s="82">
        <v>6.7823000000000002</v>
      </c>
      <c r="F61" s="82"/>
      <c r="G61" s="28"/>
      <c r="H61" s="28"/>
    </row>
    <row r="62" spans="1:8" ht="18.75" customHeight="1" x14ac:dyDescent="0.25">
      <c r="A62" s="7">
        <v>370</v>
      </c>
      <c r="B62" s="85">
        <v>9.4133999999999995E-2</v>
      </c>
      <c r="C62" s="83">
        <v>2880.4</v>
      </c>
      <c r="D62" s="83">
        <v>3162.8</v>
      </c>
      <c r="E62" s="82">
        <v>6.8186999999999998</v>
      </c>
      <c r="F62" s="82"/>
      <c r="G62" s="28"/>
      <c r="H62" s="28"/>
    </row>
    <row r="63" spans="1:8" ht="18.75" customHeight="1" x14ac:dyDescent="0.25">
      <c r="A63" s="7">
        <v>380</v>
      </c>
      <c r="B63" s="85">
        <v>9.5896999999999996E-2</v>
      </c>
      <c r="C63" s="83">
        <v>2898.2</v>
      </c>
      <c r="D63" s="83">
        <v>3185.9</v>
      </c>
      <c r="E63" s="82">
        <v>6.8544</v>
      </c>
      <c r="F63" s="82"/>
      <c r="G63" s="28"/>
      <c r="H63" s="28"/>
    </row>
    <row r="64" spans="1:8" ht="18.75" customHeight="1" x14ac:dyDescent="0.25">
      <c r="A64" s="7">
        <v>390</v>
      </c>
      <c r="B64" s="85">
        <v>9.7644999999999996E-2</v>
      </c>
      <c r="C64" s="83">
        <v>2915.9</v>
      </c>
      <c r="D64" s="83">
        <v>3208.8</v>
      </c>
      <c r="E64" s="82">
        <v>6.8891999999999998</v>
      </c>
      <c r="F64" s="82"/>
      <c r="G64" s="28"/>
      <c r="H64" s="28"/>
    </row>
    <row r="65" spans="1:8" ht="18.75" customHeight="1" x14ac:dyDescent="0.25">
      <c r="A65" s="7">
        <v>400</v>
      </c>
      <c r="B65" s="85">
        <v>9.9378999999999995E-2</v>
      </c>
      <c r="C65" s="83">
        <v>2933.6</v>
      </c>
      <c r="D65" s="83">
        <v>3231.7</v>
      </c>
      <c r="E65" s="82">
        <v>6.9234</v>
      </c>
      <c r="F65" s="82"/>
      <c r="G65" s="28"/>
      <c r="H65" s="28"/>
    </row>
    <row r="66" spans="1:8" ht="18.75" customHeight="1" x14ac:dyDescent="0.25">
      <c r="A66" s="7">
        <v>410</v>
      </c>
      <c r="B66" s="81">
        <v>0.1011</v>
      </c>
      <c r="C66" s="83">
        <v>2951.1</v>
      </c>
      <c r="D66" s="83">
        <v>3254.4</v>
      </c>
      <c r="E66" s="82">
        <v>6.9569999999999999</v>
      </c>
      <c r="F66" s="82"/>
      <c r="G66" s="28"/>
      <c r="H66" s="28"/>
    </row>
    <row r="67" spans="1:8" ht="18.75" customHeight="1" x14ac:dyDescent="0.25">
      <c r="A67" s="7">
        <v>420</v>
      </c>
      <c r="B67" s="81">
        <v>0.10281</v>
      </c>
      <c r="C67" s="83">
        <v>2968.7</v>
      </c>
      <c r="D67" s="83">
        <v>3277.1</v>
      </c>
      <c r="E67" s="82">
        <v>6.99</v>
      </c>
      <c r="F67" s="82"/>
      <c r="G67" s="28"/>
      <c r="H67" s="28"/>
    </row>
    <row r="68" spans="1:8" ht="18.75" customHeight="1" x14ac:dyDescent="0.25">
      <c r="A68" s="7">
        <v>430</v>
      </c>
      <c r="B68" s="81">
        <v>0.10451000000000001</v>
      </c>
      <c r="C68" s="83">
        <v>2986.2</v>
      </c>
      <c r="D68" s="83">
        <v>3299.7</v>
      </c>
      <c r="E68" s="82">
        <v>7.0224000000000002</v>
      </c>
      <c r="F68" s="82"/>
      <c r="G68" s="28"/>
      <c r="H68" s="28"/>
    </row>
    <row r="69" spans="1:8" ht="18.75" customHeight="1" x14ac:dyDescent="0.25">
      <c r="A69" s="7">
        <v>440</v>
      </c>
      <c r="B69" s="81">
        <v>0.1062</v>
      </c>
      <c r="C69" s="83">
        <v>3003.7</v>
      </c>
      <c r="D69" s="83">
        <v>3322.3</v>
      </c>
      <c r="E69" s="82">
        <v>7.0541999999999998</v>
      </c>
      <c r="F69" s="82"/>
      <c r="G69" s="28"/>
      <c r="H69" s="28"/>
    </row>
    <row r="70" spans="1:8" ht="18.75" customHeight="1" x14ac:dyDescent="0.25">
      <c r="A70" s="7">
        <v>450</v>
      </c>
      <c r="B70" s="81">
        <v>0.10789</v>
      </c>
      <c r="C70" s="83">
        <v>3021.1</v>
      </c>
      <c r="D70" s="83">
        <v>3344.8</v>
      </c>
      <c r="E70" s="82">
        <v>7.0856000000000003</v>
      </c>
      <c r="F70" s="82"/>
      <c r="G70" s="28"/>
      <c r="H70" s="28"/>
    </row>
    <row r="71" spans="1:8" ht="18.75" customHeight="1" x14ac:dyDescent="0.25">
      <c r="A71" s="7">
        <v>460</v>
      </c>
      <c r="B71" s="81">
        <v>0.10956</v>
      </c>
      <c r="C71" s="83">
        <v>3038.6</v>
      </c>
      <c r="D71" s="83">
        <v>3367.3</v>
      </c>
      <c r="E71" s="82">
        <v>7.1165000000000003</v>
      </c>
      <c r="F71" s="82"/>
      <c r="G71" s="28"/>
      <c r="H71" s="28"/>
    </row>
    <row r="72" spans="1:8" ht="18.75" customHeight="1" x14ac:dyDescent="0.25">
      <c r="A72" s="7">
        <v>470</v>
      </c>
      <c r="B72" s="81">
        <v>0.11123</v>
      </c>
      <c r="C72" s="83">
        <v>3056.1</v>
      </c>
      <c r="D72" s="83">
        <v>3389.8</v>
      </c>
      <c r="E72" s="82">
        <v>7.1470000000000002</v>
      </c>
      <c r="F72" s="82"/>
      <c r="G72" s="28"/>
      <c r="H72" s="28"/>
    </row>
    <row r="73" spans="1:8" ht="18.75" customHeight="1" x14ac:dyDescent="0.25">
      <c r="A73" s="7">
        <v>480</v>
      </c>
      <c r="B73" s="81">
        <v>0.11289</v>
      </c>
      <c r="C73" s="83">
        <v>3073.6</v>
      </c>
      <c r="D73" s="83">
        <v>3412.3</v>
      </c>
      <c r="E73" s="82">
        <v>7.1769999999999996</v>
      </c>
      <c r="F73" s="82"/>
      <c r="G73" s="28"/>
      <c r="H73" s="28"/>
    </row>
    <row r="74" spans="1:8" ht="18.75" customHeight="1" x14ac:dyDescent="0.25">
      <c r="A74" s="7">
        <v>490</v>
      </c>
      <c r="B74" s="81">
        <v>0.11455</v>
      </c>
      <c r="C74" s="83">
        <v>3091.1</v>
      </c>
      <c r="D74" s="83">
        <v>3434.8</v>
      </c>
      <c r="E74" s="82">
        <v>7.2065999999999999</v>
      </c>
      <c r="F74" s="82"/>
      <c r="G74" s="28"/>
      <c r="H74" s="28"/>
    </row>
    <row r="75" spans="1:8" ht="18.75" customHeight="1" x14ac:dyDescent="0.25">
      <c r="A75" s="7">
        <v>500</v>
      </c>
      <c r="B75" s="81">
        <v>0.1162</v>
      </c>
      <c r="C75" s="83">
        <v>3108.6</v>
      </c>
      <c r="D75" s="83">
        <v>3457.2</v>
      </c>
      <c r="E75" s="82">
        <v>7.2359</v>
      </c>
      <c r="F75" s="82"/>
      <c r="G75" s="28"/>
      <c r="H75" s="28"/>
    </row>
    <row r="76" spans="1:8" ht="18.75" customHeight="1" x14ac:dyDescent="0.25">
      <c r="A76" s="7">
        <v>520</v>
      </c>
      <c r="B76" s="81">
        <v>0.11948</v>
      </c>
      <c r="C76" s="83">
        <v>3143.8</v>
      </c>
      <c r="D76" s="83">
        <v>3502.2</v>
      </c>
      <c r="E76" s="82">
        <v>7.2933000000000003</v>
      </c>
      <c r="F76" s="82"/>
      <c r="G76" s="28"/>
      <c r="H76" s="28"/>
    </row>
    <row r="77" spans="1:8" ht="18.75" customHeight="1" x14ac:dyDescent="0.25">
      <c r="A77" s="7">
        <v>540</v>
      </c>
      <c r="B77" s="81">
        <v>0.12274</v>
      </c>
      <c r="C77" s="83">
        <v>3179</v>
      </c>
      <c r="D77" s="83">
        <v>3547.2</v>
      </c>
      <c r="E77" s="82">
        <v>7.3493000000000004</v>
      </c>
      <c r="F77" s="82"/>
      <c r="G77" s="28"/>
      <c r="H77" s="28"/>
    </row>
    <row r="78" spans="1:8" ht="18.75" customHeight="1" x14ac:dyDescent="0.25">
      <c r="A78" s="7">
        <v>560</v>
      </c>
      <c r="B78" s="81">
        <v>0.12598999999999999</v>
      </c>
      <c r="C78" s="83">
        <v>3214.3</v>
      </c>
      <c r="D78" s="83">
        <v>3592.3</v>
      </c>
      <c r="E78" s="82">
        <v>7.4040999999999997</v>
      </c>
      <c r="F78" s="82"/>
      <c r="G78" s="28"/>
      <c r="H78" s="28"/>
    </row>
    <row r="79" spans="1:8" ht="18.75" customHeight="1" x14ac:dyDescent="0.25">
      <c r="A79" s="7">
        <v>580</v>
      </c>
      <c r="B79" s="81">
        <v>0.12922</v>
      </c>
      <c r="C79" s="83">
        <v>3249.8</v>
      </c>
      <c r="D79" s="83">
        <v>3637.5</v>
      </c>
      <c r="E79" s="82">
        <v>7.4577</v>
      </c>
      <c r="F79" s="82"/>
      <c r="G79" s="28"/>
      <c r="H79" s="28"/>
    </row>
    <row r="80" spans="1:8" ht="18.75" customHeight="1" x14ac:dyDescent="0.25">
      <c r="A80" s="7">
        <v>600</v>
      </c>
      <c r="B80" s="81">
        <v>0.13245000000000001</v>
      </c>
      <c r="C80" s="83">
        <v>3285.4</v>
      </c>
      <c r="D80" s="83">
        <v>3682.8</v>
      </c>
      <c r="E80" s="82">
        <v>7.5103</v>
      </c>
      <c r="F80" s="82"/>
      <c r="G80" s="28"/>
      <c r="H80" s="28"/>
    </row>
    <row r="81" spans="1:8" ht="18.75" customHeight="1" x14ac:dyDescent="0.25">
      <c r="A81" s="7">
        <v>620</v>
      </c>
      <c r="B81" s="81">
        <v>0.13566</v>
      </c>
      <c r="C81" s="83">
        <v>3321.3</v>
      </c>
      <c r="D81" s="83">
        <v>3728.3</v>
      </c>
      <c r="E81" s="82">
        <v>7.5617999999999999</v>
      </c>
      <c r="F81" s="82"/>
      <c r="G81" s="28"/>
      <c r="H81" s="28"/>
    </row>
    <row r="82" spans="1:8" ht="18.75" customHeight="1" x14ac:dyDescent="0.25">
      <c r="A82" s="7">
        <v>640</v>
      </c>
      <c r="B82" s="81">
        <v>0.13886000000000001</v>
      </c>
      <c r="C82" s="83">
        <v>3357.4</v>
      </c>
      <c r="D82" s="83">
        <v>3774</v>
      </c>
      <c r="E82" s="82">
        <v>7.6124000000000001</v>
      </c>
      <c r="F82" s="82"/>
      <c r="G82" s="28"/>
      <c r="H82" s="28"/>
    </row>
    <row r="83" spans="1:8" ht="18.75" customHeight="1" x14ac:dyDescent="0.25">
      <c r="A83" s="7">
        <v>660</v>
      </c>
      <c r="B83" s="81">
        <v>0.14205000000000001</v>
      </c>
      <c r="C83" s="83">
        <v>3393.8</v>
      </c>
      <c r="D83" s="83">
        <v>3819.9</v>
      </c>
      <c r="E83" s="82">
        <v>7.6620999999999997</v>
      </c>
      <c r="F83" s="82"/>
      <c r="G83" s="28"/>
      <c r="H83" s="28"/>
    </row>
    <row r="84" spans="1:8" ht="18.75" customHeight="1" x14ac:dyDescent="0.25">
      <c r="A84" s="7">
        <v>680</v>
      </c>
      <c r="B84" s="81">
        <v>0.14523</v>
      </c>
      <c r="C84" s="83">
        <v>3430.3</v>
      </c>
      <c r="D84" s="83">
        <v>3866</v>
      </c>
      <c r="E84" s="82">
        <v>7.7108999999999996</v>
      </c>
      <c r="F84" s="82"/>
      <c r="G84" s="28"/>
      <c r="H84" s="28"/>
    </row>
    <row r="85" spans="1:8" ht="18.75" customHeight="1" x14ac:dyDescent="0.25">
      <c r="A85" s="7">
        <v>700</v>
      </c>
      <c r="B85" s="81">
        <v>0.14840999999999999</v>
      </c>
      <c r="C85" s="83">
        <v>3467</v>
      </c>
      <c r="D85" s="83">
        <v>3912.2</v>
      </c>
      <c r="E85" s="82">
        <v>7.7590000000000003</v>
      </c>
      <c r="F85" s="82"/>
      <c r="G85" s="28"/>
      <c r="H85" s="28"/>
    </row>
    <row r="86" spans="1:8" ht="18.75" customHeight="1" x14ac:dyDescent="0.25">
      <c r="A86" s="7">
        <v>720</v>
      </c>
      <c r="B86" s="81">
        <v>0.15157000000000001</v>
      </c>
      <c r="C86" s="83">
        <v>3504</v>
      </c>
      <c r="D86" s="83">
        <v>3958.7</v>
      </c>
      <c r="E86" s="82">
        <v>7.8061999999999996</v>
      </c>
      <c r="F86" s="82"/>
      <c r="G86" s="28"/>
      <c r="H86" s="28"/>
    </row>
    <row r="87" spans="1:8" ht="18.75" customHeight="1" x14ac:dyDescent="0.25">
      <c r="A87" s="7">
        <v>740</v>
      </c>
      <c r="B87" s="81">
        <v>0.15473999999999999</v>
      </c>
      <c r="C87" s="83">
        <v>3541.2</v>
      </c>
      <c r="D87" s="83">
        <v>4005.4</v>
      </c>
      <c r="E87" s="82">
        <v>7.8528000000000002</v>
      </c>
      <c r="F87" s="82"/>
      <c r="G87" s="28"/>
      <c r="H87" s="28"/>
    </row>
    <row r="88" spans="1:8" ht="18.75" customHeight="1" x14ac:dyDescent="0.25">
      <c r="A88" s="7">
        <v>760</v>
      </c>
      <c r="B88" s="81">
        <v>0.15790000000000001</v>
      </c>
      <c r="C88" s="83">
        <v>3578.7</v>
      </c>
      <c r="D88" s="83">
        <v>4052.4</v>
      </c>
      <c r="E88" s="82">
        <v>7.8986999999999998</v>
      </c>
      <c r="F88" s="82"/>
      <c r="G88" s="28"/>
      <c r="H88" s="28"/>
    </row>
    <row r="89" spans="1:8" ht="18.75" customHeight="1" x14ac:dyDescent="0.25">
      <c r="A89" s="7">
        <v>780</v>
      </c>
      <c r="B89" s="81">
        <v>0.16105</v>
      </c>
      <c r="C89" s="83">
        <v>3616.4</v>
      </c>
      <c r="D89" s="83">
        <v>4099.5</v>
      </c>
      <c r="E89" s="82">
        <v>7.9439000000000002</v>
      </c>
      <c r="F89" s="82"/>
      <c r="G89" s="28"/>
      <c r="H89" s="28"/>
    </row>
    <row r="90" spans="1:8" ht="18.75" customHeight="1" x14ac:dyDescent="0.25">
      <c r="A90" s="7">
        <v>800</v>
      </c>
      <c r="B90" s="81">
        <v>0.16420000000000001</v>
      </c>
      <c r="C90" s="83">
        <v>3654.3</v>
      </c>
      <c r="D90" s="83">
        <v>4146.8999999999996</v>
      </c>
      <c r="E90" s="82">
        <v>7.9885000000000002</v>
      </c>
      <c r="F90" s="82"/>
      <c r="G90" s="28"/>
      <c r="H90" s="28"/>
    </row>
    <row r="91" spans="1:8" ht="18.75" customHeight="1" x14ac:dyDescent="0.25">
      <c r="A91" s="7">
        <v>820</v>
      </c>
      <c r="B91" s="81">
        <v>0.16733999999999999</v>
      </c>
      <c r="C91" s="83">
        <v>3692.6</v>
      </c>
      <c r="D91" s="83">
        <v>4194.6000000000004</v>
      </c>
      <c r="E91" s="82">
        <v>8.0325000000000006</v>
      </c>
      <c r="F91" s="82"/>
      <c r="G91" s="28"/>
      <c r="H91" s="28"/>
    </row>
    <row r="92" spans="1:8" ht="18.75" customHeight="1" x14ac:dyDescent="0.25">
      <c r="A92" s="7">
        <v>840</v>
      </c>
      <c r="B92" s="81">
        <v>0.17047999999999999</v>
      </c>
      <c r="C92" s="83">
        <v>3731</v>
      </c>
      <c r="D92" s="83">
        <v>4242.3999999999996</v>
      </c>
      <c r="E92" s="82">
        <v>8.0759000000000007</v>
      </c>
      <c r="F92" s="82"/>
      <c r="G92" s="28"/>
      <c r="H92" s="28"/>
    </row>
    <row r="93" spans="1:8" ht="18.75" customHeight="1" x14ac:dyDescent="0.25">
      <c r="A93" s="7">
        <v>860</v>
      </c>
      <c r="B93" s="81">
        <v>0.17362</v>
      </c>
      <c r="C93" s="83">
        <v>3769.6</v>
      </c>
      <c r="D93" s="83">
        <v>4290.5</v>
      </c>
      <c r="E93" s="82">
        <v>8.1187000000000005</v>
      </c>
      <c r="F93" s="82"/>
      <c r="G93" s="28"/>
      <c r="H93" s="28"/>
    </row>
    <row r="94" spans="1:8" ht="18.75" customHeight="1" x14ac:dyDescent="0.25">
      <c r="A94" s="7">
        <v>880</v>
      </c>
      <c r="B94" s="81">
        <v>0.17674999999999999</v>
      </c>
      <c r="C94" s="83">
        <v>3808.6</v>
      </c>
      <c r="D94" s="83">
        <v>4338.8999999999996</v>
      </c>
      <c r="E94" s="82">
        <v>8.1609999999999996</v>
      </c>
      <c r="F94" s="82"/>
      <c r="G94" s="28"/>
      <c r="H94" s="28"/>
    </row>
    <row r="95" spans="1:8" ht="18.75" customHeight="1" x14ac:dyDescent="0.25">
      <c r="A95" s="7">
        <v>900</v>
      </c>
      <c r="B95" s="81">
        <v>0.17988000000000001</v>
      </c>
      <c r="C95" s="83">
        <v>3847.9</v>
      </c>
      <c r="D95" s="83">
        <v>4387.5</v>
      </c>
      <c r="E95" s="82">
        <v>8.2027999999999999</v>
      </c>
      <c r="F95" s="82"/>
      <c r="G95" s="28"/>
      <c r="H95" s="28"/>
    </row>
    <row r="96" spans="1:8" ht="18.75" customHeight="1" x14ac:dyDescent="0.25">
      <c r="A96" s="7">
        <v>920</v>
      </c>
      <c r="B96" s="81">
        <v>0.18301000000000001</v>
      </c>
      <c r="C96" s="83">
        <v>3887.3</v>
      </c>
      <c r="D96" s="83">
        <v>4436.3</v>
      </c>
      <c r="E96" s="82">
        <v>8.2440999999999995</v>
      </c>
      <c r="F96" s="82"/>
      <c r="G96" s="28"/>
      <c r="H96" s="28"/>
    </row>
    <row r="97" spans="1:8" ht="18.75" customHeight="1" x14ac:dyDescent="0.25">
      <c r="A97" s="7">
        <v>940</v>
      </c>
      <c r="B97" s="81">
        <v>0.18612999999999999</v>
      </c>
      <c r="C97" s="83">
        <v>3927</v>
      </c>
      <c r="D97" s="83">
        <v>4485.3999999999996</v>
      </c>
      <c r="E97" s="82">
        <v>8.2849000000000004</v>
      </c>
      <c r="F97" s="82"/>
      <c r="G97" s="28"/>
      <c r="H97" s="28"/>
    </row>
    <row r="98" spans="1:8" ht="18.75" customHeight="1" x14ac:dyDescent="0.25">
      <c r="A98" s="7">
        <v>960</v>
      </c>
      <c r="B98" s="81">
        <v>0.18925</v>
      </c>
      <c r="C98" s="83">
        <v>3967</v>
      </c>
      <c r="D98" s="83">
        <v>4534.8</v>
      </c>
      <c r="E98" s="82">
        <v>8.3252000000000006</v>
      </c>
      <c r="F98" s="82"/>
      <c r="G98" s="28"/>
      <c r="H98" s="28"/>
    </row>
    <row r="99" spans="1:8" ht="18.75" customHeight="1" x14ac:dyDescent="0.25">
      <c r="A99" s="7">
        <v>980</v>
      </c>
      <c r="B99" s="81">
        <v>0.19237000000000001</v>
      </c>
      <c r="C99" s="83">
        <v>4007.2</v>
      </c>
      <c r="D99" s="83">
        <v>4584.3</v>
      </c>
      <c r="E99" s="82">
        <v>8.3651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0.19549</v>
      </c>
      <c r="C100" s="83">
        <v>4047.6</v>
      </c>
      <c r="D100" s="83">
        <v>4634.1000000000004</v>
      </c>
      <c r="E100" s="82">
        <v>8.4045000000000005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H100"/>
  <sheetViews>
    <sheetView topLeftCell="A33" workbookViewId="0">
      <selection activeCell="A50" sqref="A50:XFD50"/>
    </sheetView>
  </sheetViews>
  <sheetFormatPr defaultRowHeight="13.2" x14ac:dyDescent="0.25"/>
  <cols>
    <col min="1" max="1" width="9.44140625" customWidth="1"/>
    <col min="2" max="2" width="12.109375" customWidth="1"/>
    <col min="3" max="3" width="7.21875" customWidth="1"/>
    <col min="4" max="4" width="6.109375" customWidth="1"/>
    <col min="5" max="5" width="8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78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3500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9.9843999999999996E-4</v>
      </c>
      <c r="C5" s="80">
        <v>0.02</v>
      </c>
      <c r="D5" s="80">
        <v>3.51</v>
      </c>
      <c r="E5" s="81">
        <v>6.0000000000000002E-5</v>
      </c>
      <c r="F5" s="81"/>
      <c r="G5" s="28"/>
      <c r="H5" s="28"/>
    </row>
    <row r="6" spans="1:8" ht="18.75" customHeight="1" x14ac:dyDescent="0.25">
      <c r="A6" s="7">
        <v>5</v>
      </c>
      <c r="B6" s="79">
        <v>9.9836999999999994E-4</v>
      </c>
      <c r="C6" s="80">
        <v>21.01</v>
      </c>
      <c r="D6" s="80">
        <v>24.5</v>
      </c>
      <c r="E6" s="81">
        <v>7.6179999999999998E-2</v>
      </c>
      <c r="F6" s="81"/>
      <c r="G6" s="28"/>
      <c r="H6" s="28"/>
    </row>
    <row r="7" spans="1:8" ht="18.75" customHeight="1" x14ac:dyDescent="0.25">
      <c r="A7" s="7">
        <v>10</v>
      </c>
      <c r="B7" s="79">
        <v>9.9868000000000005E-4</v>
      </c>
      <c r="C7" s="80">
        <v>41.93</v>
      </c>
      <c r="D7" s="80">
        <v>45.43</v>
      </c>
      <c r="E7" s="81">
        <v>0.15076000000000001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9.9931999999999994E-4</v>
      </c>
      <c r="C8" s="80">
        <v>62.82</v>
      </c>
      <c r="D8" s="80">
        <v>66.319999999999993</v>
      </c>
      <c r="E8" s="81">
        <v>0.22392000000000001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1.0002399999999999E-3</v>
      </c>
      <c r="C9" s="80">
        <v>83.7</v>
      </c>
      <c r="D9" s="80">
        <v>87.2</v>
      </c>
      <c r="E9" s="81">
        <v>0.29575000000000001</v>
      </c>
      <c r="F9" s="81"/>
      <c r="G9" s="28"/>
      <c r="H9" s="28"/>
    </row>
    <row r="10" spans="1:8" ht="18.75" customHeight="1" x14ac:dyDescent="0.25">
      <c r="A10" s="7">
        <v>25</v>
      </c>
      <c r="B10" s="79">
        <v>1.00143E-3</v>
      </c>
      <c r="C10" s="80">
        <v>104.55</v>
      </c>
      <c r="D10" s="80">
        <v>108.06</v>
      </c>
      <c r="E10" s="81">
        <v>0.36631999999999998</v>
      </c>
      <c r="F10" s="81"/>
      <c r="G10" s="28"/>
      <c r="H10" s="28"/>
    </row>
    <row r="11" spans="1:8" ht="18.75" customHeight="1" x14ac:dyDescent="0.25">
      <c r="A11" s="7">
        <v>30</v>
      </c>
      <c r="B11" s="79">
        <v>1.00285E-3</v>
      </c>
      <c r="C11" s="80">
        <v>125.41</v>
      </c>
      <c r="D11" s="80">
        <v>128.91999999999999</v>
      </c>
      <c r="E11" s="81">
        <v>0.43569000000000002</v>
      </c>
      <c r="F11" s="81"/>
      <c r="G11" s="28"/>
      <c r="H11" s="28"/>
    </row>
    <row r="12" spans="1:8" ht="18.75" customHeight="1" x14ac:dyDescent="0.25">
      <c r="A12" s="7">
        <v>35</v>
      </c>
      <c r="B12" s="79">
        <v>1.00449E-3</v>
      </c>
      <c r="C12" s="80">
        <v>146.25</v>
      </c>
      <c r="D12" s="80">
        <v>149.77000000000001</v>
      </c>
      <c r="E12" s="81">
        <v>0.50390999999999997</v>
      </c>
      <c r="F12" s="81"/>
      <c r="G12" s="28"/>
      <c r="H12" s="28"/>
    </row>
    <row r="13" spans="1:8" ht="18.75" customHeight="1" x14ac:dyDescent="0.25">
      <c r="A13" s="7">
        <v>40</v>
      </c>
      <c r="B13" s="79">
        <v>1.0063400000000001E-3</v>
      </c>
      <c r="C13" s="80">
        <v>167.11</v>
      </c>
      <c r="D13" s="80">
        <v>170.63</v>
      </c>
      <c r="E13" s="81">
        <v>0.57103999999999999</v>
      </c>
      <c r="F13" s="81"/>
      <c r="G13" s="28"/>
      <c r="H13" s="28"/>
    </row>
    <row r="14" spans="1:8" ht="18.75" customHeight="1" x14ac:dyDescent="0.25">
      <c r="A14" s="7">
        <v>45</v>
      </c>
      <c r="B14" s="79">
        <v>1.0083799999999999E-3</v>
      </c>
      <c r="C14" s="80">
        <v>187.95</v>
      </c>
      <c r="D14" s="80">
        <v>191.48</v>
      </c>
      <c r="E14" s="81">
        <v>0.63712999999999997</v>
      </c>
      <c r="F14" s="81"/>
      <c r="G14" s="28"/>
      <c r="H14" s="28"/>
    </row>
    <row r="15" spans="1:8" ht="18.75" customHeight="1" x14ac:dyDescent="0.25">
      <c r="A15" s="7">
        <v>50</v>
      </c>
      <c r="B15" s="79">
        <v>1.0106E-3</v>
      </c>
      <c r="C15" s="80">
        <v>208.81</v>
      </c>
      <c r="D15" s="80">
        <v>212.35</v>
      </c>
      <c r="E15" s="81">
        <v>0.70218999999999998</v>
      </c>
      <c r="F15" s="81"/>
      <c r="G15" s="28"/>
      <c r="H15" s="28"/>
    </row>
    <row r="16" spans="1:8" ht="18.75" customHeight="1" x14ac:dyDescent="0.25">
      <c r="A16" s="7">
        <v>55</v>
      </c>
      <c r="B16" s="79">
        <v>1.013E-3</v>
      </c>
      <c r="C16" s="80">
        <v>229.67</v>
      </c>
      <c r="D16" s="80">
        <v>233.22</v>
      </c>
      <c r="E16" s="81">
        <v>0.76629000000000003</v>
      </c>
      <c r="F16" s="81"/>
      <c r="G16" s="28"/>
      <c r="H16" s="28"/>
    </row>
    <row r="17" spans="1:8" ht="18.75" customHeight="1" x14ac:dyDescent="0.25">
      <c r="A17" s="7">
        <v>60</v>
      </c>
      <c r="B17" s="79">
        <v>1.01556E-3</v>
      </c>
      <c r="C17" s="80">
        <v>250.55</v>
      </c>
      <c r="D17" s="80">
        <v>254.1</v>
      </c>
      <c r="E17" s="81">
        <v>0.82945000000000002</v>
      </c>
      <c r="F17" s="81"/>
      <c r="G17" s="28"/>
      <c r="H17" s="28"/>
    </row>
    <row r="18" spans="1:8" ht="18.75" customHeight="1" x14ac:dyDescent="0.25">
      <c r="A18" s="7">
        <v>65</v>
      </c>
      <c r="B18" s="79">
        <v>1.01829E-3</v>
      </c>
      <c r="C18" s="80">
        <v>271.44</v>
      </c>
      <c r="D18" s="80">
        <v>275</v>
      </c>
      <c r="E18" s="81">
        <v>0.89168999999999998</v>
      </c>
      <c r="F18" s="81"/>
      <c r="G18" s="28"/>
      <c r="H18" s="28"/>
    </row>
    <row r="19" spans="1:8" ht="18.75" customHeight="1" x14ac:dyDescent="0.25">
      <c r="A19" s="7">
        <v>70</v>
      </c>
      <c r="B19" s="79">
        <v>1.02118E-3</v>
      </c>
      <c r="C19" s="80">
        <v>292.33</v>
      </c>
      <c r="D19" s="80">
        <v>295.89999999999998</v>
      </c>
      <c r="E19" s="81">
        <v>0.95306999999999997</v>
      </c>
      <c r="F19" s="81"/>
      <c r="G19" s="28"/>
      <c r="H19" s="28"/>
    </row>
    <row r="20" spans="1:8" ht="18.75" customHeight="1" x14ac:dyDescent="0.25">
      <c r="A20" s="7">
        <v>75</v>
      </c>
      <c r="B20" s="79">
        <v>1.0242300000000001E-3</v>
      </c>
      <c r="C20" s="80">
        <v>313.24</v>
      </c>
      <c r="D20" s="80">
        <v>316.82</v>
      </c>
      <c r="E20" s="82">
        <v>1.0136000000000001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1.02742E-3</v>
      </c>
      <c r="C21" s="80">
        <v>334.16</v>
      </c>
      <c r="D21" s="80">
        <v>337.76</v>
      </c>
      <c r="E21" s="82">
        <v>1.0732999999999999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1.03078E-3</v>
      </c>
      <c r="C22" s="80">
        <v>355.11</v>
      </c>
      <c r="D22" s="80">
        <v>358.72</v>
      </c>
      <c r="E22" s="82">
        <v>1.1322000000000001</v>
      </c>
      <c r="F22" s="82"/>
      <c r="G22" s="28"/>
      <c r="H22" s="28"/>
    </row>
    <row r="23" spans="1:8" ht="18.75" customHeight="1" x14ac:dyDescent="0.25">
      <c r="A23" s="7">
        <v>90</v>
      </c>
      <c r="B23" s="79">
        <v>1.0342800000000001E-3</v>
      </c>
      <c r="C23" s="80">
        <v>376.07</v>
      </c>
      <c r="D23" s="80">
        <v>379.69</v>
      </c>
      <c r="E23" s="82">
        <v>1.1903999999999999</v>
      </c>
      <c r="F23" s="82"/>
      <c r="G23" s="28"/>
      <c r="H23" s="28"/>
    </row>
    <row r="24" spans="1:8" ht="18.75" customHeight="1" x14ac:dyDescent="0.25">
      <c r="A24" s="7">
        <v>95</v>
      </c>
      <c r="B24" s="79">
        <v>1.0379300000000001E-3</v>
      </c>
      <c r="C24" s="80">
        <v>397.06</v>
      </c>
      <c r="D24" s="80">
        <v>400.69</v>
      </c>
      <c r="E24" s="82">
        <v>1.2478</v>
      </c>
      <c r="F24" s="82"/>
      <c r="G24" s="28"/>
      <c r="H24" s="28"/>
    </row>
    <row r="25" spans="1:8" ht="18.75" customHeight="1" x14ac:dyDescent="0.25">
      <c r="A25" s="7">
        <v>100</v>
      </c>
      <c r="B25" s="79">
        <v>1.04173E-3</v>
      </c>
      <c r="C25" s="80">
        <v>418.07</v>
      </c>
      <c r="D25" s="80">
        <v>421.72</v>
      </c>
      <c r="E25" s="82">
        <v>1.3046</v>
      </c>
      <c r="F25" s="82"/>
      <c r="G25" s="28"/>
      <c r="H25" s="28"/>
    </row>
    <row r="26" spans="1:8" ht="18.75" customHeight="1" x14ac:dyDescent="0.25">
      <c r="A26" s="7">
        <v>105</v>
      </c>
      <c r="B26" s="79">
        <v>1.0456899999999999E-3</v>
      </c>
      <c r="C26" s="80">
        <v>439.11</v>
      </c>
      <c r="D26" s="80">
        <v>442.77</v>
      </c>
      <c r="E26" s="82">
        <v>1.3606</v>
      </c>
      <c r="F26" s="82"/>
      <c r="G26" s="28"/>
      <c r="H26" s="28"/>
    </row>
    <row r="27" spans="1:8" ht="18.75" customHeight="1" x14ac:dyDescent="0.25">
      <c r="A27" s="7">
        <v>110</v>
      </c>
      <c r="B27" s="79">
        <v>1.0498E-3</v>
      </c>
      <c r="C27" s="80">
        <v>460.19</v>
      </c>
      <c r="D27" s="80">
        <v>463.86</v>
      </c>
      <c r="E27" s="82">
        <v>1.4159999999999999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1.0540599999999999E-3</v>
      </c>
      <c r="C28" s="80">
        <v>481.29</v>
      </c>
      <c r="D28" s="80">
        <v>484.98</v>
      </c>
      <c r="E28" s="82">
        <v>1.4708000000000001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1.0584800000000001E-3</v>
      </c>
      <c r="C29" s="80">
        <v>502.44</v>
      </c>
      <c r="D29" s="80">
        <v>506.14</v>
      </c>
      <c r="E29" s="82">
        <v>1.5248999999999999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1.06306E-3</v>
      </c>
      <c r="C30" s="80">
        <v>523.61</v>
      </c>
      <c r="D30" s="80">
        <v>527.33000000000004</v>
      </c>
      <c r="E30" s="82">
        <v>1.5785</v>
      </c>
      <c r="F30" s="82"/>
      <c r="G30" s="28"/>
      <c r="H30" s="28"/>
    </row>
    <row r="31" spans="1:8" ht="18.75" customHeight="1" x14ac:dyDescent="0.25">
      <c r="A31" s="7">
        <v>130</v>
      </c>
      <c r="B31" s="79">
        <v>1.0678E-3</v>
      </c>
      <c r="C31" s="80">
        <v>544.83000000000004</v>
      </c>
      <c r="D31" s="80">
        <v>548.57000000000005</v>
      </c>
      <c r="E31" s="82">
        <v>1.6315</v>
      </c>
      <c r="F31" s="82"/>
      <c r="G31" s="28"/>
      <c r="H31" s="28"/>
    </row>
    <row r="32" spans="1:8" ht="18.75" customHeight="1" x14ac:dyDescent="0.25">
      <c r="A32" s="7">
        <v>135</v>
      </c>
      <c r="B32" s="79">
        <v>1.0727099999999999E-3</v>
      </c>
      <c r="C32" s="80">
        <v>566.11</v>
      </c>
      <c r="D32" s="80">
        <v>569.86</v>
      </c>
      <c r="E32" s="82">
        <v>1.6839999999999999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1.07778E-3</v>
      </c>
      <c r="C33" s="80">
        <v>587.42999999999995</v>
      </c>
      <c r="D33" s="80">
        <v>591.20000000000005</v>
      </c>
      <c r="E33" s="82">
        <v>1.736</v>
      </c>
      <c r="F33" s="82"/>
      <c r="G33" s="28"/>
      <c r="H33" s="28"/>
    </row>
    <row r="34" spans="1:8" ht="18.75" customHeight="1" x14ac:dyDescent="0.25">
      <c r="A34" s="7">
        <v>145</v>
      </c>
      <c r="B34" s="79">
        <v>1.08304E-3</v>
      </c>
      <c r="C34" s="80">
        <v>608.80999999999995</v>
      </c>
      <c r="D34" s="80">
        <v>612.6</v>
      </c>
      <c r="E34" s="82">
        <v>1.7874000000000001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1.08847E-3</v>
      </c>
      <c r="C35" s="80">
        <v>630.24</v>
      </c>
      <c r="D35" s="80">
        <v>634.04999999999995</v>
      </c>
      <c r="E35" s="82">
        <v>1.8384</v>
      </c>
      <c r="F35" s="82"/>
      <c r="G35" s="28"/>
      <c r="H35" s="28"/>
    </row>
    <row r="36" spans="1:8" ht="18.75" customHeight="1" x14ac:dyDescent="0.25">
      <c r="A36" s="7">
        <v>155</v>
      </c>
      <c r="B36" s="79">
        <v>1.0941E-3</v>
      </c>
      <c r="C36" s="80">
        <v>651.74</v>
      </c>
      <c r="D36" s="80">
        <v>655.57</v>
      </c>
      <c r="E36" s="82">
        <v>1.889</v>
      </c>
      <c r="F36" s="82"/>
      <c r="G36" s="28"/>
      <c r="H36" s="28"/>
    </row>
    <row r="37" spans="1:8" ht="18.75" customHeight="1" x14ac:dyDescent="0.25">
      <c r="A37" s="7">
        <v>160</v>
      </c>
      <c r="B37" s="79">
        <v>1.09991E-3</v>
      </c>
      <c r="C37" s="80">
        <v>673.31</v>
      </c>
      <c r="D37" s="80">
        <v>677.16</v>
      </c>
      <c r="E37" s="82">
        <v>1.9391</v>
      </c>
      <c r="F37" s="82"/>
      <c r="G37" s="28"/>
      <c r="H37" s="28"/>
    </row>
    <row r="38" spans="1:8" ht="18.75" customHeight="1" x14ac:dyDescent="0.25">
      <c r="A38" s="7">
        <v>165</v>
      </c>
      <c r="B38" s="79">
        <v>1.10593E-3</v>
      </c>
      <c r="C38" s="80">
        <v>694.95</v>
      </c>
      <c r="D38" s="80">
        <v>698.82</v>
      </c>
      <c r="E38" s="82">
        <v>1.9888999999999999</v>
      </c>
      <c r="F38" s="82"/>
      <c r="G38" s="28"/>
      <c r="H38" s="28"/>
    </row>
    <row r="39" spans="1:8" ht="18.75" customHeight="1" x14ac:dyDescent="0.25">
      <c r="A39" s="7">
        <v>170</v>
      </c>
      <c r="B39" s="79">
        <v>1.1121600000000001E-3</v>
      </c>
      <c r="C39" s="80">
        <v>716.68</v>
      </c>
      <c r="D39" s="80">
        <v>720.57</v>
      </c>
      <c r="E39" s="82">
        <v>2.0381999999999998</v>
      </c>
      <c r="F39" s="82"/>
      <c r="G39" s="28"/>
      <c r="H39" s="28"/>
    </row>
    <row r="40" spans="1:8" ht="18.75" customHeight="1" x14ac:dyDescent="0.25">
      <c r="A40" s="7">
        <v>175</v>
      </c>
      <c r="B40" s="79">
        <v>1.1186099999999999E-3</v>
      </c>
      <c r="C40" s="80">
        <v>738.48</v>
      </c>
      <c r="D40" s="80">
        <v>742.4</v>
      </c>
      <c r="E40" s="82">
        <v>2.0872000000000002</v>
      </c>
      <c r="F40" s="82"/>
      <c r="G40" s="28"/>
      <c r="H40" s="28"/>
    </row>
    <row r="41" spans="1:8" ht="18.75" customHeight="1" x14ac:dyDescent="0.25">
      <c r="A41" s="7">
        <v>180</v>
      </c>
      <c r="B41" s="79">
        <v>1.1252899999999999E-3</v>
      </c>
      <c r="C41" s="80">
        <v>760.38</v>
      </c>
      <c r="D41" s="80">
        <v>764.32</v>
      </c>
      <c r="E41" s="82">
        <v>2.1358000000000001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1.13221E-3</v>
      </c>
      <c r="C42" s="80">
        <v>782.38</v>
      </c>
      <c r="D42" s="80">
        <v>786.34</v>
      </c>
      <c r="E42" s="82">
        <v>2.1842000000000001</v>
      </c>
      <c r="F42" s="82"/>
      <c r="G42" s="28"/>
      <c r="H42" s="28"/>
    </row>
    <row r="43" spans="1:8" ht="18.75" customHeight="1" x14ac:dyDescent="0.25">
      <c r="A43" s="7">
        <v>190</v>
      </c>
      <c r="B43" s="79">
        <v>1.13938E-3</v>
      </c>
      <c r="C43" s="80">
        <v>804.47</v>
      </c>
      <c r="D43" s="80">
        <v>808.46</v>
      </c>
      <c r="E43" s="82">
        <v>2.2322000000000002</v>
      </c>
      <c r="F43" s="82"/>
      <c r="G43" s="28"/>
      <c r="H43" s="28"/>
    </row>
    <row r="44" spans="1:8" ht="18.75" customHeight="1" x14ac:dyDescent="0.25">
      <c r="A44" s="7">
        <v>195</v>
      </c>
      <c r="B44" s="79">
        <v>1.1468299999999999E-3</v>
      </c>
      <c r="C44" s="80">
        <v>826.69</v>
      </c>
      <c r="D44" s="80">
        <v>830.7</v>
      </c>
      <c r="E44" s="82">
        <v>2.2799</v>
      </c>
      <c r="F44" s="82"/>
      <c r="G44" s="28"/>
      <c r="H44" s="28"/>
    </row>
    <row r="45" spans="1:8" ht="18.75" customHeight="1" x14ac:dyDescent="0.25">
      <c r="A45" s="7">
        <v>200</v>
      </c>
      <c r="B45" s="79">
        <v>1.15456E-3</v>
      </c>
      <c r="C45" s="80">
        <v>849.02</v>
      </c>
      <c r="D45" s="80">
        <v>853.06</v>
      </c>
      <c r="E45" s="82">
        <v>2.3275000000000001</v>
      </c>
      <c r="F45" s="82"/>
      <c r="G45" s="28"/>
      <c r="H45" s="28"/>
    </row>
    <row r="46" spans="1:8" ht="18.75" customHeight="1" x14ac:dyDescent="0.25">
      <c r="A46" s="7">
        <v>210</v>
      </c>
      <c r="B46" s="79">
        <v>1.1709400000000001E-3</v>
      </c>
      <c r="C46" s="80">
        <v>894.08</v>
      </c>
      <c r="D46" s="80">
        <v>898.18</v>
      </c>
      <c r="E46" s="82">
        <v>2.4218000000000002</v>
      </c>
      <c r="F46" s="82"/>
      <c r="G46" s="28"/>
      <c r="H46" s="28"/>
    </row>
    <row r="47" spans="1:8" ht="18.75" customHeight="1" x14ac:dyDescent="0.25">
      <c r="A47" s="7">
        <v>220</v>
      </c>
      <c r="B47" s="79">
        <v>1.1886900000000001E-3</v>
      </c>
      <c r="C47" s="80">
        <v>939.74</v>
      </c>
      <c r="D47" s="80">
        <v>943.9</v>
      </c>
      <c r="E47" s="82">
        <v>2.5154999999999998</v>
      </c>
      <c r="F47" s="82"/>
      <c r="G47" s="28"/>
      <c r="H47" s="28"/>
    </row>
    <row r="48" spans="1:8" ht="18.75" customHeight="1" x14ac:dyDescent="0.25">
      <c r="A48" s="7">
        <v>230</v>
      </c>
      <c r="B48" s="79">
        <v>1.2080299999999999E-3</v>
      </c>
      <c r="C48" s="80">
        <v>986.09</v>
      </c>
      <c r="D48" s="80">
        <v>990.32</v>
      </c>
      <c r="E48" s="82">
        <v>2.6086999999999998</v>
      </c>
      <c r="F48" s="82"/>
      <c r="G48" s="28"/>
      <c r="H48" s="28"/>
    </row>
    <row r="49" spans="1:8" ht="18.75" customHeight="1" x14ac:dyDescent="0.25">
      <c r="A49" s="7">
        <v>240</v>
      </c>
      <c r="B49" s="79">
        <v>1.2292099999999999E-3</v>
      </c>
      <c r="C49" s="83">
        <v>1033.3</v>
      </c>
      <c r="D49" s="83">
        <v>1037.5999999999999</v>
      </c>
      <c r="E49" s="82">
        <v>2.7016</v>
      </c>
      <c r="F49" s="82"/>
      <c r="G49" s="28"/>
      <c r="H49" s="28"/>
    </row>
    <row r="50" spans="1:8" ht="18.75" customHeight="1" x14ac:dyDescent="0.25">
      <c r="A50" s="7">
        <v>250</v>
      </c>
      <c r="B50" s="85">
        <v>5.8756999999999997E-2</v>
      </c>
      <c r="C50" s="83">
        <v>2624.1</v>
      </c>
      <c r="D50" s="83">
        <v>2829.7</v>
      </c>
      <c r="E50" s="82">
        <v>6.1764000000000001</v>
      </c>
      <c r="F50" s="82"/>
      <c r="G50" s="28"/>
      <c r="H50" s="28"/>
    </row>
    <row r="51" spans="1:8" ht="18.75" customHeight="1" x14ac:dyDescent="0.25">
      <c r="A51" s="7">
        <v>260</v>
      </c>
      <c r="B51" s="85">
        <v>6.0887999999999998E-2</v>
      </c>
      <c r="C51" s="83">
        <v>2649.8</v>
      </c>
      <c r="D51" s="83">
        <v>2862.9</v>
      </c>
      <c r="E51" s="82">
        <v>6.2393000000000001</v>
      </c>
      <c r="F51" s="82"/>
      <c r="G51" s="28"/>
      <c r="H51" s="28"/>
    </row>
    <row r="52" spans="1:8" ht="18.75" customHeight="1" x14ac:dyDescent="0.25">
      <c r="A52" s="7">
        <v>270</v>
      </c>
      <c r="B52" s="85">
        <v>6.2897999999999996E-2</v>
      </c>
      <c r="C52" s="83">
        <v>2673.7</v>
      </c>
      <c r="D52" s="83">
        <v>2893.8</v>
      </c>
      <c r="E52" s="82">
        <v>6.2968000000000002</v>
      </c>
      <c r="F52" s="82"/>
      <c r="G52" s="28"/>
      <c r="H52" s="28"/>
    </row>
    <row r="53" spans="1:8" ht="18.75" customHeight="1" x14ac:dyDescent="0.25">
      <c r="A53" s="7">
        <v>280</v>
      </c>
      <c r="B53" s="85">
        <v>6.4817E-2</v>
      </c>
      <c r="C53" s="83">
        <v>2696.3</v>
      </c>
      <c r="D53" s="83">
        <v>2923.2</v>
      </c>
      <c r="E53" s="82">
        <v>6.3502999999999998</v>
      </c>
      <c r="F53" s="82"/>
      <c r="G53" s="28"/>
      <c r="H53" s="28"/>
    </row>
    <row r="54" spans="1:8" ht="18.75" customHeight="1" x14ac:dyDescent="0.25">
      <c r="A54" s="7">
        <v>290</v>
      </c>
      <c r="B54" s="85">
        <v>6.6664000000000001E-2</v>
      </c>
      <c r="C54" s="83">
        <v>2718</v>
      </c>
      <c r="D54" s="83">
        <v>2951.3</v>
      </c>
      <c r="E54" s="82">
        <v>6.4005999999999998</v>
      </c>
      <c r="F54" s="82"/>
      <c r="G54" s="28"/>
      <c r="H54" s="28"/>
    </row>
    <row r="55" spans="1:8" ht="18.75" customHeight="1" x14ac:dyDescent="0.25">
      <c r="A55" s="7">
        <v>300</v>
      </c>
      <c r="B55" s="85">
        <v>6.8453E-2</v>
      </c>
      <c r="C55" s="83">
        <v>2738.8</v>
      </c>
      <c r="D55" s="83">
        <v>2978.4</v>
      </c>
      <c r="E55" s="82">
        <v>6.4484000000000004</v>
      </c>
      <c r="F55" s="82"/>
      <c r="G55" s="28"/>
      <c r="H55" s="28"/>
    </row>
    <row r="56" spans="1:8" ht="18.75" customHeight="1" x14ac:dyDescent="0.25">
      <c r="A56" s="7">
        <v>310</v>
      </c>
      <c r="B56" s="85">
        <v>7.0194000000000006E-2</v>
      </c>
      <c r="C56" s="83">
        <v>2759.1</v>
      </c>
      <c r="D56" s="83">
        <v>3004.8</v>
      </c>
      <c r="E56" s="82">
        <v>6.4939999999999998</v>
      </c>
      <c r="F56" s="82"/>
      <c r="G56" s="28"/>
      <c r="H56" s="28"/>
    </row>
    <row r="57" spans="1:8" ht="18.75" customHeight="1" x14ac:dyDescent="0.25">
      <c r="A57" s="7">
        <v>320</v>
      </c>
      <c r="B57" s="85">
        <v>7.1894E-2</v>
      </c>
      <c r="C57" s="83">
        <v>2778.9</v>
      </c>
      <c r="D57" s="83">
        <v>3030.5</v>
      </c>
      <c r="E57" s="82">
        <v>6.5377000000000001</v>
      </c>
      <c r="F57" s="82"/>
      <c r="G57" s="28"/>
      <c r="H57" s="28"/>
    </row>
    <row r="58" spans="1:8" ht="18.75" customHeight="1" x14ac:dyDescent="0.25">
      <c r="A58" s="7">
        <v>330</v>
      </c>
      <c r="B58" s="85">
        <v>7.3558999999999999E-2</v>
      </c>
      <c r="C58" s="83">
        <v>2798.2</v>
      </c>
      <c r="D58" s="83">
        <v>3055.7</v>
      </c>
      <c r="E58" s="82">
        <v>6.5799000000000003</v>
      </c>
      <c r="F58" s="82"/>
      <c r="G58" s="28"/>
      <c r="H58" s="28"/>
    </row>
    <row r="59" spans="1:8" ht="18.75" customHeight="1" x14ac:dyDescent="0.25">
      <c r="A59" s="7">
        <v>340</v>
      </c>
      <c r="B59" s="85">
        <v>7.5193999999999997E-2</v>
      </c>
      <c r="C59" s="83">
        <v>2817.2</v>
      </c>
      <c r="D59" s="83">
        <v>3080.4</v>
      </c>
      <c r="E59" s="82">
        <v>6.6205999999999996</v>
      </c>
      <c r="F59" s="82"/>
      <c r="G59" s="28"/>
      <c r="H59" s="28"/>
    </row>
    <row r="60" spans="1:8" ht="18.75" customHeight="1" x14ac:dyDescent="0.25">
      <c r="A60" s="7">
        <v>350</v>
      </c>
      <c r="B60" s="85">
        <v>7.6803999999999997E-2</v>
      </c>
      <c r="C60" s="83">
        <v>2836</v>
      </c>
      <c r="D60" s="83">
        <v>3104.8</v>
      </c>
      <c r="E60" s="82">
        <v>6.6600999999999999</v>
      </c>
      <c r="F60" s="82"/>
      <c r="G60" s="28"/>
      <c r="H60" s="28"/>
    </row>
    <row r="61" spans="1:8" ht="18.75" customHeight="1" x14ac:dyDescent="0.25">
      <c r="A61" s="7">
        <v>360</v>
      </c>
      <c r="B61" s="85">
        <v>7.8390000000000001E-2</v>
      </c>
      <c r="C61" s="83">
        <v>2854.5</v>
      </c>
      <c r="D61" s="83">
        <v>3128.9</v>
      </c>
      <c r="E61" s="82">
        <v>6.6984000000000004</v>
      </c>
      <c r="F61" s="82"/>
      <c r="G61" s="28"/>
      <c r="H61" s="28"/>
    </row>
    <row r="62" spans="1:8" ht="18.75" customHeight="1" x14ac:dyDescent="0.25">
      <c r="A62" s="7">
        <v>370</v>
      </c>
      <c r="B62" s="85">
        <v>7.9955999999999999E-2</v>
      </c>
      <c r="C62" s="83">
        <v>2873</v>
      </c>
      <c r="D62" s="83">
        <v>3152.8</v>
      </c>
      <c r="E62" s="82">
        <v>6.7358000000000002</v>
      </c>
      <c r="F62" s="82"/>
      <c r="G62" s="28"/>
      <c r="H62" s="28"/>
    </row>
    <row r="63" spans="1:8" ht="18.75" customHeight="1" x14ac:dyDescent="0.25">
      <c r="A63" s="7">
        <v>380</v>
      </c>
      <c r="B63" s="85">
        <v>8.1504999999999994E-2</v>
      </c>
      <c r="C63" s="83">
        <v>2891.1</v>
      </c>
      <c r="D63" s="83">
        <v>3176.4</v>
      </c>
      <c r="E63" s="82">
        <v>6.7723000000000004</v>
      </c>
      <c r="F63" s="82"/>
      <c r="G63" s="28"/>
      <c r="H63" s="28"/>
    </row>
    <row r="64" spans="1:8" ht="18.75" customHeight="1" x14ac:dyDescent="0.25">
      <c r="A64" s="7">
        <v>390</v>
      </c>
      <c r="B64" s="85">
        <v>8.3038000000000001E-2</v>
      </c>
      <c r="C64" s="83">
        <v>2909.3</v>
      </c>
      <c r="D64" s="83">
        <v>3199.9</v>
      </c>
      <c r="E64" s="82">
        <v>6.8079000000000001</v>
      </c>
      <c r="F64" s="82"/>
      <c r="G64" s="28"/>
      <c r="H64" s="28"/>
    </row>
    <row r="65" spans="1:8" ht="18.75" customHeight="1" x14ac:dyDescent="0.25">
      <c r="A65" s="7">
        <v>400</v>
      </c>
      <c r="B65" s="85">
        <v>8.4556000000000006E-2</v>
      </c>
      <c r="C65" s="83">
        <v>2927.3</v>
      </c>
      <c r="D65" s="83">
        <v>3223.2</v>
      </c>
      <c r="E65" s="82">
        <v>6.8426999999999998</v>
      </c>
      <c r="F65" s="82"/>
      <c r="G65" s="28"/>
      <c r="H65" s="28"/>
    </row>
    <row r="66" spans="1:8" ht="18.75" customHeight="1" x14ac:dyDescent="0.25">
      <c r="A66" s="7">
        <v>410</v>
      </c>
      <c r="B66" s="85">
        <v>8.6062E-2</v>
      </c>
      <c r="C66" s="83">
        <v>2945.1</v>
      </c>
      <c r="D66" s="83">
        <v>3246.3</v>
      </c>
      <c r="E66" s="82">
        <v>6.8769</v>
      </c>
      <c r="F66" s="82"/>
      <c r="G66" s="28"/>
      <c r="H66" s="28"/>
    </row>
    <row r="67" spans="1:8" ht="18.75" customHeight="1" x14ac:dyDescent="0.25">
      <c r="A67" s="7">
        <v>420</v>
      </c>
      <c r="B67" s="85">
        <v>8.7555999999999995E-2</v>
      </c>
      <c r="C67" s="83">
        <v>2963</v>
      </c>
      <c r="D67" s="83">
        <v>3269.4</v>
      </c>
      <c r="E67" s="82">
        <v>6.9104000000000001</v>
      </c>
      <c r="F67" s="82"/>
      <c r="G67" s="28"/>
      <c r="H67" s="28"/>
    </row>
    <row r="68" spans="1:8" ht="18.75" customHeight="1" x14ac:dyDescent="0.25">
      <c r="A68" s="7">
        <v>430</v>
      </c>
      <c r="B68" s="85">
        <v>8.9038999999999993E-2</v>
      </c>
      <c r="C68" s="83">
        <v>2980.7</v>
      </c>
      <c r="D68" s="83">
        <v>3292.3</v>
      </c>
      <c r="E68" s="82">
        <v>6.9432999999999998</v>
      </c>
      <c r="F68" s="82"/>
      <c r="G68" s="28"/>
      <c r="H68" s="28"/>
    </row>
    <row r="69" spans="1:8" ht="18.75" customHeight="1" x14ac:dyDescent="0.25">
      <c r="A69" s="7">
        <v>440</v>
      </c>
      <c r="B69" s="85">
        <v>9.0512999999999996E-2</v>
      </c>
      <c r="C69" s="83">
        <v>2998.4</v>
      </c>
      <c r="D69" s="83">
        <v>3315.2</v>
      </c>
      <c r="E69" s="82">
        <v>6.9756</v>
      </c>
      <c r="F69" s="82"/>
      <c r="G69" s="28"/>
      <c r="H69" s="28"/>
    </row>
    <row r="70" spans="1:8" ht="18.75" customHeight="1" x14ac:dyDescent="0.25">
      <c r="A70" s="7">
        <v>450</v>
      </c>
      <c r="B70" s="85">
        <v>9.1978000000000004E-2</v>
      </c>
      <c r="C70" s="83">
        <v>3016.1</v>
      </c>
      <c r="D70" s="83">
        <v>3338</v>
      </c>
      <c r="E70" s="82">
        <v>7.0073999999999996</v>
      </c>
      <c r="F70" s="82"/>
      <c r="G70" s="28"/>
      <c r="H70" s="28"/>
    </row>
    <row r="71" spans="1:8" ht="18.75" customHeight="1" x14ac:dyDescent="0.25">
      <c r="A71" s="7">
        <v>460</v>
      </c>
      <c r="B71" s="85">
        <v>9.3435000000000004E-2</v>
      </c>
      <c r="C71" s="83">
        <v>3033.8</v>
      </c>
      <c r="D71" s="83">
        <v>3360.8</v>
      </c>
      <c r="E71" s="82">
        <v>7.0387000000000004</v>
      </c>
      <c r="F71" s="82"/>
      <c r="G71" s="28"/>
      <c r="H71" s="28"/>
    </row>
    <row r="72" spans="1:8" ht="18.75" customHeight="1" x14ac:dyDescent="0.25">
      <c r="A72" s="7">
        <v>470</v>
      </c>
      <c r="B72" s="85">
        <v>9.4884999999999997E-2</v>
      </c>
      <c r="C72" s="83">
        <v>3051.5</v>
      </c>
      <c r="D72" s="83">
        <v>3383.6</v>
      </c>
      <c r="E72" s="82">
        <v>7.0694999999999997</v>
      </c>
      <c r="F72" s="82"/>
      <c r="G72" s="28"/>
      <c r="H72" s="28"/>
    </row>
    <row r="73" spans="1:8" ht="18.75" customHeight="1" x14ac:dyDescent="0.25">
      <c r="A73" s="7">
        <v>480</v>
      </c>
      <c r="B73" s="85">
        <v>9.6327999999999997E-2</v>
      </c>
      <c r="C73" s="83">
        <v>3069.2</v>
      </c>
      <c r="D73" s="83">
        <v>3406.3</v>
      </c>
      <c r="E73" s="82">
        <v>7.0998000000000001</v>
      </c>
      <c r="F73" s="82"/>
      <c r="G73" s="28"/>
      <c r="H73" s="28"/>
    </row>
    <row r="74" spans="1:8" ht="18.75" customHeight="1" x14ac:dyDescent="0.25">
      <c r="A74" s="7">
        <v>490</v>
      </c>
      <c r="B74" s="85">
        <v>9.7764000000000004E-2</v>
      </c>
      <c r="C74" s="83">
        <v>3086.8</v>
      </c>
      <c r="D74" s="83">
        <v>3429</v>
      </c>
      <c r="E74" s="82">
        <v>7.1298000000000004</v>
      </c>
      <c r="F74" s="82"/>
      <c r="G74" s="28"/>
      <c r="H74" s="28"/>
    </row>
    <row r="75" spans="1:8" ht="18.75" customHeight="1" x14ac:dyDescent="0.25">
      <c r="A75" s="7">
        <v>500</v>
      </c>
      <c r="B75" s="85">
        <v>9.9195000000000005E-2</v>
      </c>
      <c r="C75" s="83">
        <v>3104.4</v>
      </c>
      <c r="D75" s="83">
        <v>3451.6</v>
      </c>
      <c r="E75" s="82">
        <v>7.1593</v>
      </c>
      <c r="F75" s="82"/>
      <c r="G75" s="28"/>
      <c r="H75" s="28"/>
    </row>
    <row r="76" spans="1:8" ht="18.75" customHeight="1" x14ac:dyDescent="0.25">
      <c r="A76" s="7">
        <v>520</v>
      </c>
      <c r="B76" s="81">
        <v>0.10204000000000001</v>
      </c>
      <c r="C76" s="83">
        <v>3139.9</v>
      </c>
      <c r="D76" s="83">
        <v>3497</v>
      </c>
      <c r="E76" s="82">
        <v>7.2172000000000001</v>
      </c>
      <c r="F76" s="82"/>
      <c r="G76" s="28"/>
      <c r="H76" s="28"/>
    </row>
    <row r="77" spans="1:8" ht="18.75" customHeight="1" x14ac:dyDescent="0.25">
      <c r="A77" s="7">
        <v>540</v>
      </c>
      <c r="B77" s="81">
        <v>0.10487</v>
      </c>
      <c r="C77" s="83">
        <v>3175.3</v>
      </c>
      <c r="D77" s="83">
        <v>3542.3</v>
      </c>
      <c r="E77" s="82">
        <v>7.2736999999999998</v>
      </c>
      <c r="F77" s="82"/>
      <c r="G77" s="28"/>
      <c r="H77" s="28"/>
    </row>
    <row r="78" spans="1:8" ht="18.75" customHeight="1" x14ac:dyDescent="0.25">
      <c r="A78" s="7">
        <v>560</v>
      </c>
      <c r="B78" s="81">
        <v>0.10768</v>
      </c>
      <c r="C78" s="83">
        <v>3210.8</v>
      </c>
      <c r="D78" s="83">
        <v>3587.7</v>
      </c>
      <c r="E78" s="82">
        <v>7.3288000000000002</v>
      </c>
      <c r="F78" s="82"/>
      <c r="G78" s="28"/>
      <c r="H78" s="28"/>
    </row>
    <row r="79" spans="1:8" ht="18.75" customHeight="1" x14ac:dyDescent="0.25">
      <c r="A79" s="7">
        <v>580</v>
      </c>
      <c r="B79" s="81">
        <v>0.11047</v>
      </c>
      <c r="C79" s="83">
        <v>3246.6</v>
      </c>
      <c r="D79" s="83">
        <v>3633.2</v>
      </c>
      <c r="E79" s="82">
        <v>7.3827999999999996</v>
      </c>
      <c r="F79" s="82"/>
      <c r="G79" s="28"/>
      <c r="H79" s="28"/>
    </row>
    <row r="80" spans="1:8" ht="18.75" customHeight="1" x14ac:dyDescent="0.25">
      <c r="A80" s="7">
        <v>600</v>
      </c>
      <c r="B80" s="81">
        <v>0.11325</v>
      </c>
      <c r="C80" s="83">
        <v>3282.5</v>
      </c>
      <c r="D80" s="83">
        <v>3678.9</v>
      </c>
      <c r="E80" s="82">
        <v>7.4356</v>
      </c>
      <c r="F80" s="82"/>
      <c r="G80" s="28"/>
      <c r="H80" s="28"/>
    </row>
    <row r="81" spans="1:8" ht="18.75" customHeight="1" x14ac:dyDescent="0.25">
      <c r="A81" s="7">
        <v>620</v>
      </c>
      <c r="B81" s="81">
        <v>0.11602</v>
      </c>
      <c r="C81" s="83">
        <v>3318.5</v>
      </c>
      <c r="D81" s="83">
        <v>3724.6</v>
      </c>
      <c r="E81" s="82">
        <v>7.4874000000000001</v>
      </c>
      <c r="F81" s="82"/>
      <c r="G81" s="28"/>
      <c r="H81" s="28"/>
    </row>
    <row r="82" spans="1:8" ht="18.75" customHeight="1" x14ac:dyDescent="0.25">
      <c r="A82" s="7">
        <v>640</v>
      </c>
      <c r="B82" s="81">
        <v>0.11879000000000001</v>
      </c>
      <c r="C82" s="83">
        <v>3354.7</v>
      </c>
      <c r="D82" s="83">
        <v>3770.5</v>
      </c>
      <c r="E82" s="82">
        <v>7.5382999999999996</v>
      </c>
      <c r="F82" s="82"/>
      <c r="G82" s="28"/>
      <c r="H82" s="28"/>
    </row>
    <row r="83" spans="1:8" ht="18.75" customHeight="1" x14ac:dyDescent="0.25">
      <c r="A83" s="7">
        <v>660</v>
      </c>
      <c r="B83" s="81">
        <v>0.12154</v>
      </c>
      <c r="C83" s="83">
        <v>3391.2</v>
      </c>
      <c r="D83" s="83">
        <v>3816.6</v>
      </c>
      <c r="E83" s="82">
        <v>7.5881999999999996</v>
      </c>
      <c r="F83" s="82"/>
      <c r="G83" s="28"/>
      <c r="H83" s="28"/>
    </row>
    <row r="84" spans="1:8" ht="18.75" customHeight="1" x14ac:dyDescent="0.25">
      <c r="A84" s="7">
        <v>680</v>
      </c>
      <c r="B84" s="81">
        <v>0.12428</v>
      </c>
      <c r="C84" s="83">
        <v>3427.8</v>
      </c>
      <c r="D84" s="83">
        <v>3862.8</v>
      </c>
      <c r="E84" s="82">
        <v>7.6372</v>
      </c>
      <c r="F84" s="82"/>
      <c r="G84" s="28"/>
      <c r="H84" s="28"/>
    </row>
    <row r="85" spans="1:8" ht="18.75" customHeight="1" x14ac:dyDescent="0.25">
      <c r="A85" s="7">
        <v>700</v>
      </c>
      <c r="B85" s="81">
        <v>0.12701999999999999</v>
      </c>
      <c r="C85" s="83">
        <v>3464.7</v>
      </c>
      <c r="D85" s="83">
        <v>3909.3</v>
      </c>
      <c r="E85" s="82">
        <v>7.6853999999999996</v>
      </c>
      <c r="F85" s="82"/>
      <c r="G85" s="28"/>
      <c r="H85" s="28"/>
    </row>
    <row r="86" spans="1:8" ht="18.75" customHeight="1" x14ac:dyDescent="0.25">
      <c r="A86" s="7">
        <v>720</v>
      </c>
      <c r="B86" s="81">
        <v>0.12975</v>
      </c>
      <c r="C86" s="83">
        <v>3501.8</v>
      </c>
      <c r="D86" s="83">
        <v>3955.9</v>
      </c>
      <c r="E86" s="82">
        <v>7.7328999999999999</v>
      </c>
      <c r="F86" s="82"/>
      <c r="G86" s="28"/>
      <c r="H86" s="28"/>
    </row>
    <row r="87" spans="1:8" ht="18.75" customHeight="1" x14ac:dyDescent="0.25">
      <c r="A87" s="7">
        <v>740</v>
      </c>
      <c r="B87" s="81">
        <v>0.13247</v>
      </c>
      <c r="C87" s="83">
        <v>3539.2</v>
      </c>
      <c r="D87" s="83">
        <v>4002.8</v>
      </c>
      <c r="E87" s="82">
        <v>7.7796000000000003</v>
      </c>
      <c r="F87" s="82"/>
      <c r="G87" s="28"/>
      <c r="H87" s="28"/>
    </row>
    <row r="88" spans="1:8" ht="18.75" customHeight="1" x14ac:dyDescent="0.25">
      <c r="A88" s="7">
        <v>760</v>
      </c>
      <c r="B88" s="81">
        <v>0.13519</v>
      </c>
      <c r="C88" s="83">
        <v>3576.6</v>
      </c>
      <c r="D88" s="83">
        <v>4049.8</v>
      </c>
      <c r="E88" s="82">
        <v>7.8255999999999997</v>
      </c>
      <c r="F88" s="82"/>
      <c r="G88" s="28"/>
      <c r="H88" s="28"/>
    </row>
    <row r="89" spans="1:8" ht="18.75" customHeight="1" x14ac:dyDescent="0.25">
      <c r="A89" s="7">
        <v>780</v>
      </c>
      <c r="B89" s="81">
        <v>0.13789999999999999</v>
      </c>
      <c r="C89" s="83">
        <v>3614.5</v>
      </c>
      <c r="D89" s="83">
        <v>4097.1000000000004</v>
      </c>
      <c r="E89" s="82">
        <v>7.8708999999999998</v>
      </c>
      <c r="F89" s="82"/>
      <c r="G89" s="28"/>
      <c r="H89" s="28"/>
    </row>
    <row r="90" spans="1:8" ht="18.75" customHeight="1" x14ac:dyDescent="0.25">
      <c r="A90" s="7">
        <v>800</v>
      </c>
      <c r="B90" s="81">
        <v>0.14061000000000001</v>
      </c>
      <c r="C90" s="83">
        <v>3652.5</v>
      </c>
      <c r="D90" s="83">
        <v>4144.6000000000004</v>
      </c>
      <c r="E90" s="82">
        <v>7.9156000000000004</v>
      </c>
      <c r="F90" s="82"/>
      <c r="G90" s="28"/>
      <c r="H90" s="28"/>
    </row>
    <row r="91" spans="1:8" ht="18.75" customHeight="1" x14ac:dyDescent="0.25">
      <c r="A91" s="7">
        <v>820</v>
      </c>
      <c r="B91" s="81">
        <v>0.14332</v>
      </c>
      <c r="C91" s="83">
        <v>3690.8</v>
      </c>
      <c r="D91" s="83">
        <v>4192.3999999999996</v>
      </c>
      <c r="E91" s="82">
        <v>7.9596999999999998</v>
      </c>
      <c r="F91" s="82"/>
      <c r="G91" s="28"/>
      <c r="H91" s="28"/>
    </row>
    <row r="92" spans="1:8" ht="18.75" customHeight="1" x14ac:dyDescent="0.25">
      <c r="A92" s="7">
        <v>840</v>
      </c>
      <c r="B92" s="81">
        <v>0.14602000000000001</v>
      </c>
      <c r="C92" s="83">
        <v>3729.2</v>
      </c>
      <c r="D92" s="83">
        <v>4240.3</v>
      </c>
      <c r="E92" s="82">
        <v>8.0031999999999996</v>
      </c>
      <c r="F92" s="82"/>
      <c r="G92" s="28"/>
      <c r="H92" s="28"/>
    </row>
    <row r="93" spans="1:8" ht="18.75" customHeight="1" x14ac:dyDescent="0.25">
      <c r="A93" s="7">
        <v>860</v>
      </c>
      <c r="B93" s="81">
        <v>0.14871000000000001</v>
      </c>
      <c r="C93" s="83">
        <v>3768.1</v>
      </c>
      <c r="D93" s="83">
        <v>4288.6000000000004</v>
      </c>
      <c r="E93" s="82">
        <v>8.0460999999999991</v>
      </c>
      <c r="F93" s="82"/>
      <c r="G93" s="28"/>
      <c r="H93" s="28"/>
    </row>
    <row r="94" spans="1:8" ht="18.75" customHeight="1" x14ac:dyDescent="0.25">
      <c r="A94" s="7">
        <v>880</v>
      </c>
      <c r="B94" s="81">
        <v>0.15140999999999999</v>
      </c>
      <c r="C94" s="83">
        <v>3807.1</v>
      </c>
      <c r="D94" s="83">
        <v>4337</v>
      </c>
      <c r="E94" s="82">
        <v>8.0884999999999998</v>
      </c>
      <c r="F94" s="82"/>
      <c r="G94" s="28"/>
      <c r="H94" s="28"/>
    </row>
    <row r="95" spans="1:8" ht="18.75" customHeight="1" x14ac:dyDescent="0.25">
      <c r="A95" s="7">
        <v>900</v>
      </c>
      <c r="B95" s="81">
        <v>0.15409999999999999</v>
      </c>
      <c r="C95" s="83">
        <v>3846.4</v>
      </c>
      <c r="D95" s="83">
        <v>4385.7</v>
      </c>
      <c r="E95" s="82">
        <v>8.1303000000000001</v>
      </c>
      <c r="F95" s="82"/>
      <c r="G95" s="28"/>
      <c r="H95" s="28"/>
    </row>
    <row r="96" spans="1:8" ht="18.75" customHeight="1" x14ac:dyDescent="0.25">
      <c r="A96" s="7">
        <v>920</v>
      </c>
      <c r="B96" s="81">
        <v>0.15678</v>
      </c>
      <c r="C96" s="83">
        <v>3885.9</v>
      </c>
      <c r="D96" s="83">
        <v>4434.6000000000004</v>
      </c>
      <c r="E96" s="82">
        <v>8.1716999999999995</v>
      </c>
      <c r="F96" s="82"/>
      <c r="G96" s="28"/>
      <c r="H96" s="28"/>
    </row>
    <row r="97" spans="1:8" ht="18.75" customHeight="1" x14ac:dyDescent="0.25">
      <c r="A97" s="7">
        <v>940</v>
      </c>
      <c r="B97" s="81">
        <v>0.15947</v>
      </c>
      <c r="C97" s="83">
        <v>3925.7</v>
      </c>
      <c r="D97" s="83">
        <v>4483.8</v>
      </c>
      <c r="E97" s="82">
        <v>8.2126000000000001</v>
      </c>
      <c r="F97" s="82"/>
      <c r="G97" s="28"/>
      <c r="H97" s="28"/>
    </row>
    <row r="98" spans="1:8" ht="18.75" customHeight="1" x14ac:dyDescent="0.25">
      <c r="A98" s="7">
        <v>960</v>
      </c>
      <c r="B98" s="81">
        <v>0.16214999999999999</v>
      </c>
      <c r="C98" s="83">
        <v>3965.7</v>
      </c>
      <c r="D98" s="83">
        <v>4533.2</v>
      </c>
      <c r="E98" s="82">
        <v>8.2529000000000003</v>
      </c>
      <c r="F98" s="82"/>
      <c r="G98" s="28"/>
      <c r="H98" s="28"/>
    </row>
    <row r="99" spans="1:8" ht="18.75" customHeight="1" x14ac:dyDescent="0.25">
      <c r="A99" s="7">
        <v>980</v>
      </c>
      <c r="B99" s="81">
        <v>0.16483</v>
      </c>
      <c r="C99" s="83">
        <v>4005.9</v>
      </c>
      <c r="D99" s="83">
        <v>4582.8</v>
      </c>
      <c r="E99" s="82">
        <v>8.2928999999999995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0.16750999999999999</v>
      </c>
      <c r="C100" s="83">
        <v>4046.4</v>
      </c>
      <c r="D100" s="83">
        <v>4632.7</v>
      </c>
      <c r="E100" s="82">
        <v>8.3323999999999998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H100"/>
  <sheetViews>
    <sheetView topLeftCell="A33" workbookViewId="0">
      <selection activeCell="A51" sqref="A51:XFD51"/>
    </sheetView>
  </sheetViews>
  <sheetFormatPr defaultRowHeight="13.2" x14ac:dyDescent="0.25"/>
  <cols>
    <col min="1" max="1" width="9.44140625" customWidth="1"/>
    <col min="2" max="2" width="10.33203125" customWidth="1"/>
    <col min="3" max="3" width="7.44140625" customWidth="1"/>
    <col min="4" max="4" width="6.21875" customWidth="1"/>
    <col min="5" max="5" width="7.332031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79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4000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9.9818999999999993E-4</v>
      </c>
      <c r="C5" s="80">
        <v>0.03</v>
      </c>
      <c r="D5" s="80">
        <v>4.0199999999999996</v>
      </c>
      <c r="E5" s="81">
        <v>9.0000000000000006E-5</v>
      </c>
      <c r="F5" s="81"/>
      <c r="G5" s="28"/>
      <c r="H5" s="28"/>
    </row>
    <row r="6" spans="1:8" ht="18.75" customHeight="1" x14ac:dyDescent="0.25">
      <c r="A6" s="7">
        <v>5</v>
      </c>
      <c r="B6" s="79">
        <v>9.9813000000000007E-4</v>
      </c>
      <c r="C6" s="80">
        <v>21</v>
      </c>
      <c r="D6" s="80">
        <v>24.99</v>
      </c>
      <c r="E6" s="81">
        <v>7.6170000000000002E-2</v>
      </c>
      <c r="F6" s="81"/>
      <c r="G6" s="28"/>
      <c r="H6" s="28"/>
    </row>
    <row r="7" spans="1:8" ht="18.75" customHeight="1" x14ac:dyDescent="0.25">
      <c r="A7" s="7">
        <v>10</v>
      </c>
      <c r="B7" s="79">
        <v>9.9843999999999996E-4</v>
      </c>
      <c r="C7" s="80">
        <v>41.92</v>
      </c>
      <c r="D7" s="80">
        <v>45.91</v>
      </c>
      <c r="E7" s="81">
        <v>0.15071999999999999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9.9909E-4</v>
      </c>
      <c r="C8" s="80">
        <v>62.8</v>
      </c>
      <c r="D8" s="80">
        <v>66.8</v>
      </c>
      <c r="E8" s="81">
        <v>0.22384999999999999</v>
      </c>
      <c r="F8" s="81"/>
      <c r="G8" s="28"/>
      <c r="H8" s="28"/>
    </row>
    <row r="9" spans="1:8" ht="18.75" customHeight="1" x14ac:dyDescent="0.25">
      <c r="A9" s="7">
        <v>20</v>
      </c>
      <c r="B9" s="79">
        <v>1.00001E-3</v>
      </c>
      <c r="C9" s="80">
        <v>83.67</v>
      </c>
      <c r="D9" s="80">
        <v>87.67</v>
      </c>
      <c r="E9" s="81">
        <v>0.29564000000000001</v>
      </c>
      <c r="F9" s="81"/>
      <c r="G9" s="28"/>
      <c r="H9" s="28"/>
    </row>
    <row r="10" spans="1:8" ht="18.75" customHeight="1" x14ac:dyDescent="0.25">
      <c r="A10" s="7">
        <v>25</v>
      </c>
      <c r="B10" s="79">
        <v>1.0012E-3</v>
      </c>
      <c r="C10" s="80">
        <v>104.52</v>
      </c>
      <c r="D10" s="80">
        <v>108.52</v>
      </c>
      <c r="E10" s="81">
        <v>0.36619000000000002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1.00263E-3</v>
      </c>
      <c r="C11" s="80">
        <v>125.36</v>
      </c>
      <c r="D11" s="80">
        <v>129.37</v>
      </c>
      <c r="E11" s="81">
        <v>0.43552999999999997</v>
      </c>
      <c r="F11" s="81"/>
      <c r="G11" s="28"/>
      <c r="H11" s="28"/>
    </row>
    <row r="12" spans="1:8" ht="18.75" customHeight="1" x14ac:dyDescent="0.25">
      <c r="A12" s="7">
        <v>35</v>
      </c>
      <c r="B12" s="79">
        <v>1.00427E-3</v>
      </c>
      <c r="C12" s="80">
        <v>146.19999999999999</v>
      </c>
      <c r="D12" s="80">
        <v>150.22</v>
      </c>
      <c r="E12" s="81">
        <v>0.50373999999999997</v>
      </c>
      <c r="F12" s="81"/>
      <c r="G12" s="28"/>
      <c r="H12" s="28"/>
    </row>
    <row r="13" spans="1:8" ht="18.75" customHeight="1" x14ac:dyDescent="0.25">
      <c r="A13" s="7">
        <v>40</v>
      </c>
      <c r="B13" s="79">
        <v>1.0061200000000001E-3</v>
      </c>
      <c r="C13" s="80">
        <v>167.05</v>
      </c>
      <c r="D13" s="80">
        <v>171.07</v>
      </c>
      <c r="E13" s="81">
        <v>0.57084999999999997</v>
      </c>
      <c r="F13" s="81"/>
      <c r="G13" s="28"/>
      <c r="H13" s="28"/>
    </row>
    <row r="14" spans="1:8" ht="18.75" customHeight="1" x14ac:dyDescent="0.25">
      <c r="A14" s="7">
        <v>45</v>
      </c>
      <c r="B14" s="79">
        <v>1.0081599999999999E-3</v>
      </c>
      <c r="C14" s="80">
        <v>187.89</v>
      </c>
      <c r="D14" s="80">
        <v>191.92</v>
      </c>
      <c r="E14" s="81">
        <v>0.63690999999999998</v>
      </c>
      <c r="F14" s="81"/>
      <c r="G14" s="28"/>
      <c r="H14" s="28"/>
    </row>
    <row r="15" spans="1:8" ht="18.75" customHeight="1" x14ac:dyDescent="0.25">
      <c r="A15" s="7">
        <v>50</v>
      </c>
      <c r="B15" s="79">
        <v>1.01038E-3</v>
      </c>
      <c r="C15" s="80">
        <v>208.74</v>
      </c>
      <c r="D15" s="80">
        <v>212.78</v>
      </c>
      <c r="E15" s="81">
        <v>0.70196000000000003</v>
      </c>
      <c r="F15" s="81"/>
      <c r="G15" s="28"/>
      <c r="H15" s="28"/>
    </row>
    <row r="16" spans="1:8" ht="18.75" customHeight="1" x14ac:dyDescent="0.25">
      <c r="A16" s="7">
        <v>55</v>
      </c>
      <c r="B16" s="79">
        <v>1.0127700000000001E-3</v>
      </c>
      <c r="C16" s="80">
        <v>229.59</v>
      </c>
      <c r="D16" s="80">
        <v>233.64</v>
      </c>
      <c r="E16" s="81">
        <v>0.76604000000000005</v>
      </c>
      <c r="F16" s="81"/>
      <c r="G16" s="28"/>
      <c r="H16" s="28"/>
    </row>
    <row r="17" spans="1:8" ht="18.75" customHeight="1" x14ac:dyDescent="0.25">
      <c r="A17" s="7">
        <v>60</v>
      </c>
      <c r="B17" s="79">
        <v>1.01534E-3</v>
      </c>
      <c r="C17" s="80">
        <v>250.46</v>
      </c>
      <c r="D17" s="80">
        <v>254.52</v>
      </c>
      <c r="E17" s="81">
        <v>0.82918000000000003</v>
      </c>
      <c r="F17" s="81"/>
      <c r="G17" s="28"/>
      <c r="H17" s="28"/>
    </row>
    <row r="18" spans="1:8" ht="18.75" customHeight="1" x14ac:dyDescent="0.25">
      <c r="A18" s="7">
        <v>65</v>
      </c>
      <c r="B18" s="79">
        <v>1.01807E-3</v>
      </c>
      <c r="C18" s="80">
        <v>271.33999999999997</v>
      </c>
      <c r="D18" s="80">
        <v>275.41000000000003</v>
      </c>
      <c r="E18" s="81">
        <v>0.89141000000000004</v>
      </c>
      <c r="F18" s="81"/>
      <c r="G18" s="28"/>
      <c r="H18" s="28"/>
    </row>
    <row r="19" spans="1:8" ht="18.75" customHeight="1" x14ac:dyDescent="0.25">
      <c r="A19" s="7">
        <v>70</v>
      </c>
      <c r="B19" s="79">
        <v>1.0209500000000001E-3</v>
      </c>
      <c r="C19" s="80">
        <v>292.23</v>
      </c>
      <c r="D19" s="80">
        <v>296.31</v>
      </c>
      <c r="E19" s="81">
        <v>0.95277000000000001</v>
      </c>
      <c r="F19" s="81"/>
      <c r="G19" s="28"/>
      <c r="H19" s="28"/>
    </row>
    <row r="20" spans="1:8" ht="18.75" customHeight="1" x14ac:dyDescent="0.25">
      <c r="A20" s="7">
        <v>75</v>
      </c>
      <c r="B20" s="79">
        <v>1.02399E-3</v>
      </c>
      <c r="C20" s="80">
        <v>313.13</v>
      </c>
      <c r="D20" s="80">
        <v>317.23</v>
      </c>
      <c r="E20" s="82">
        <v>1.0133000000000001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1.0271900000000001E-3</v>
      </c>
      <c r="C21" s="80">
        <v>334.05</v>
      </c>
      <c r="D21" s="80">
        <v>338.16</v>
      </c>
      <c r="E21" s="82">
        <v>1.073</v>
      </c>
      <c r="F21" s="82"/>
      <c r="G21" s="28"/>
      <c r="H21" s="28"/>
    </row>
    <row r="22" spans="1:8" ht="18.75" customHeight="1" x14ac:dyDescent="0.25">
      <c r="A22" s="7">
        <v>85</v>
      </c>
      <c r="B22" s="79">
        <v>1.0305399999999999E-3</v>
      </c>
      <c r="C22" s="80">
        <v>354.99</v>
      </c>
      <c r="D22" s="80">
        <v>359.11</v>
      </c>
      <c r="E22" s="82">
        <v>1.1318999999999999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1.03403E-3</v>
      </c>
      <c r="C23" s="80">
        <v>375.94</v>
      </c>
      <c r="D23" s="80">
        <v>380.08</v>
      </c>
      <c r="E23" s="82">
        <v>1.19</v>
      </c>
      <c r="F23" s="82"/>
      <c r="G23" s="28"/>
      <c r="H23" s="28"/>
    </row>
    <row r="24" spans="1:8" ht="18.75" customHeight="1" x14ac:dyDescent="0.25">
      <c r="A24" s="7">
        <v>95</v>
      </c>
      <c r="B24" s="79">
        <v>1.03768E-3</v>
      </c>
      <c r="C24" s="80">
        <v>396.93</v>
      </c>
      <c r="D24" s="80">
        <v>401.08</v>
      </c>
      <c r="E24" s="82">
        <v>1.2475000000000001</v>
      </c>
      <c r="F24" s="82"/>
      <c r="G24" s="28"/>
      <c r="H24" s="28"/>
    </row>
    <row r="25" spans="1:8" ht="18.75" customHeight="1" x14ac:dyDescent="0.25">
      <c r="A25" s="7">
        <v>100</v>
      </c>
      <c r="B25" s="79">
        <v>1.04148E-3</v>
      </c>
      <c r="C25" s="80">
        <v>417.93</v>
      </c>
      <c r="D25" s="80">
        <v>422.1</v>
      </c>
      <c r="E25" s="82">
        <v>1.3042</v>
      </c>
      <c r="F25" s="82"/>
      <c r="G25" s="28"/>
      <c r="H25" s="28"/>
    </row>
    <row r="26" spans="1:8" ht="18.75" customHeight="1" x14ac:dyDescent="0.25">
      <c r="A26" s="7">
        <v>105</v>
      </c>
      <c r="B26" s="79">
        <v>1.04543E-3</v>
      </c>
      <c r="C26" s="80">
        <v>438.97</v>
      </c>
      <c r="D26" s="80">
        <v>443.15</v>
      </c>
      <c r="E26" s="82">
        <v>1.3602000000000001</v>
      </c>
      <c r="F26" s="82"/>
      <c r="G26" s="28"/>
      <c r="H26" s="28"/>
    </row>
    <row r="27" spans="1:8" ht="18.75" customHeight="1" x14ac:dyDescent="0.25">
      <c r="A27" s="7">
        <v>110</v>
      </c>
      <c r="B27" s="79">
        <v>1.0495299999999999E-3</v>
      </c>
      <c r="C27" s="80">
        <v>460.02</v>
      </c>
      <c r="D27" s="80">
        <v>464.22</v>
      </c>
      <c r="E27" s="82">
        <v>1.4156</v>
      </c>
      <c r="F27" s="82"/>
      <c r="G27" s="28"/>
      <c r="H27" s="28"/>
    </row>
    <row r="28" spans="1:8" ht="18.75" customHeight="1" x14ac:dyDescent="0.25">
      <c r="A28" s="7">
        <v>115</v>
      </c>
      <c r="B28" s="79">
        <v>1.05379E-3</v>
      </c>
      <c r="C28" s="80">
        <v>481.12</v>
      </c>
      <c r="D28" s="80">
        <v>485.34</v>
      </c>
      <c r="E28" s="82">
        <v>1.4702999999999999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1.0582E-3</v>
      </c>
      <c r="C29" s="80">
        <v>502.26</v>
      </c>
      <c r="D29" s="80">
        <v>506.49</v>
      </c>
      <c r="E29" s="82">
        <v>1.5245</v>
      </c>
      <c r="F29" s="82"/>
      <c r="G29" s="28"/>
      <c r="H29" s="28"/>
    </row>
    <row r="30" spans="1:8" ht="18.75" customHeight="1" x14ac:dyDescent="0.25">
      <c r="A30" s="7">
        <v>125</v>
      </c>
      <c r="B30" s="79">
        <v>1.06277E-3</v>
      </c>
      <c r="C30" s="80">
        <v>523.42999999999995</v>
      </c>
      <c r="D30" s="80">
        <v>527.67999999999995</v>
      </c>
      <c r="E30" s="82">
        <v>1.5780000000000001</v>
      </c>
      <c r="F30" s="82"/>
      <c r="G30" s="28"/>
      <c r="H30" s="28"/>
    </row>
    <row r="31" spans="1:8" ht="18.75" customHeight="1" x14ac:dyDescent="0.25">
      <c r="A31" s="7">
        <v>130</v>
      </c>
      <c r="B31" s="79">
        <v>1.06751E-3</v>
      </c>
      <c r="C31" s="80">
        <v>544.64</v>
      </c>
      <c r="D31" s="80">
        <v>548.91</v>
      </c>
      <c r="E31" s="82">
        <v>1.631</v>
      </c>
      <c r="F31" s="82"/>
      <c r="G31" s="28"/>
      <c r="H31" s="28"/>
    </row>
    <row r="32" spans="1:8" ht="18.75" customHeight="1" x14ac:dyDescent="0.25">
      <c r="A32" s="7">
        <v>135</v>
      </c>
      <c r="B32" s="79">
        <v>1.0724E-3</v>
      </c>
      <c r="C32" s="80">
        <v>565.9</v>
      </c>
      <c r="D32" s="80">
        <v>570.19000000000005</v>
      </c>
      <c r="E32" s="82">
        <v>1.6835</v>
      </c>
      <c r="F32" s="82"/>
      <c r="G32" s="28"/>
      <c r="H32" s="28"/>
    </row>
    <row r="33" spans="1:8" ht="18.75" customHeight="1" x14ac:dyDescent="0.25">
      <c r="A33" s="7">
        <v>140</v>
      </c>
      <c r="B33" s="79">
        <v>1.0774700000000001E-3</v>
      </c>
      <c r="C33" s="80">
        <v>587.22</v>
      </c>
      <c r="D33" s="80">
        <v>591.53</v>
      </c>
      <c r="E33" s="82">
        <v>1.7354000000000001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1.0827199999999999E-3</v>
      </c>
      <c r="C34" s="80">
        <v>608.58000000000004</v>
      </c>
      <c r="D34" s="80">
        <v>612.91</v>
      </c>
      <c r="E34" s="82">
        <v>1.7868999999999999</v>
      </c>
      <c r="F34" s="82"/>
      <c r="G34" s="28"/>
      <c r="H34" s="28"/>
    </row>
    <row r="35" spans="1:8" ht="18.75" customHeight="1" x14ac:dyDescent="0.25">
      <c r="A35" s="7">
        <v>150</v>
      </c>
      <c r="B35" s="79">
        <v>1.08814E-3</v>
      </c>
      <c r="C35" s="80">
        <v>630.01</v>
      </c>
      <c r="D35" s="80">
        <v>634.36</v>
      </c>
      <c r="E35" s="82">
        <v>1.8379000000000001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1.0937500000000001E-3</v>
      </c>
      <c r="C36" s="80">
        <v>651.49</v>
      </c>
      <c r="D36" s="80">
        <v>655.87</v>
      </c>
      <c r="E36" s="82">
        <v>1.8884000000000001</v>
      </c>
      <c r="F36" s="82"/>
      <c r="G36" s="28"/>
      <c r="H36" s="28"/>
    </row>
    <row r="37" spans="1:8" ht="18.75" customHeight="1" x14ac:dyDescent="0.25">
      <c r="A37" s="7">
        <v>160</v>
      </c>
      <c r="B37" s="79">
        <v>1.0995600000000001E-3</v>
      </c>
      <c r="C37" s="80">
        <v>673.05</v>
      </c>
      <c r="D37" s="80">
        <v>677.45</v>
      </c>
      <c r="E37" s="82">
        <v>1.9384999999999999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1.10556E-3</v>
      </c>
      <c r="C38" s="80">
        <v>694.69</v>
      </c>
      <c r="D38" s="80">
        <v>699.11</v>
      </c>
      <c r="E38" s="82">
        <v>1.9882</v>
      </c>
      <c r="F38" s="82"/>
      <c r="G38" s="28"/>
      <c r="H38" s="28"/>
    </row>
    <row r="39" spans="1:8" ht="18.75" customHeight="1" x14ac:dyDescent="0.25">
      <c r="A39" s="7">
        <v>170</v>
      </c>
      <c r="B39" s="79">
        <v>1.1117799999999999E-3</v>
      </c>
      <c r="C39" s="80">
        <v>716.39</v>
      </c>
      <c r="D39" s="80">
        <v>720.84</v>
      </c>
      <c r="E39" s="82">
        <v>2.0375999999999999</v>
      </c>
      <c r="F39" s="82"/>
      <c r="G39" s="28"/>
      <c r="H39" s="28"/>
    </row>
    <row r="40" spans="1:8" ht="18.75" customHeight="1" x14ac:dyDescent="0.25">
      <c r="A40" s="7">
        <v>175</v>
      </c>
      <c r="B40" s="79">
        <v>1.1182099999999999E-3</v>
      </c>
      <c r="C40" s="80">
        <v>738.19</v>
      </c>
      <c r="D40" s="80">
        <v>742.66</v>
      </c>
      <c r="E40" s="82">
        <v>2.0865</v>
      </c>
      <c r="F40" s="82"/>
      <c r="G40" s="28"/>
      <c r="H40" s="28"/>
    </row>
    <row r="41" spans="1:8" ht="18.75" customHeight="1" x14ac:dyDescent="0.25">
      <c r="A41" s="7">
        <v>180</v>
      </c>
      <c r="B41" s="79">
        <v>1.12487E-3</v>
      </c>
      <c r="C41" s="80">
        <v>760.07</v>
      </c>
      <c r="D41" s="80">
        <v>764.57</v>
      </c>
      <c r="E41" s="82">
        <v>2.1352000000000002</v>
      </c>
      <c r="F41" s="82"/>
      <c r="G41" s="28"/>
      <c r="H41" s="28"/>
    </row>
    <row r="42" spans="1:8" ht="18.75" customHeight="1" x14ac:dyDescent="0.25">
      <c r="A42" s="7">
        <v>185</v>
      </c>
      <c r="B42" s="79">
        <v>1.13177E-3</v>
      </c>
      <c r="C42" s="80">
        <v>782.05</v>
      </c>
      <c r="D42" s="80">
        <v>786.58</v>
      </c>
      <c r="E42" s="82">
        <v>2.1835</v>
      </c>
      <c r="F42" s="82"/>
      <c r="G42" s="28"/>
      <c r="H42" s="28"/>
    </row>
    <row r="43" spans="1:8" ht="18.75" customHeight="1" x14ac:dyDescent="0.25">
      <c r="A43" s="7">
        <v>190</v>
      </c>
      <c r="B43" s="79">
        <v>1.13893E-3</v>
      </c>
      <c r="C43" s="80">
        <v>804.13</v>
      </c>
      <c r="D43" s="80">
        <v>808.69</v>
      </c>
      <c r="E43" s="82">
        <v>2.2315</v>
      </c>
      <c r="F43" s="82"/>
      <c r="G43" s="28"/>
      <c r="H43" s="28"/>
    </row>
    <row r="44" spans="1:8" ht="18.75" customHeight="1" x14ac:dyDescent="0.25">
      <c r="A44" s="7">
        <v>195</v>
      </c>
      <c r="B44" s="79">
        <v>1.14635E-3</v>
      </c>
      <c r="C44" s="80">
        <v>826.33</v>
      </c>
      <c r="D44" s="80">
        <v>830.92</v>
      </c>
      <c r="E44" s="82">
        <v>2.2791999999999999</v>
      </c>
      <c r="F44" s="82"/>
      <c r="G44" s="28"/>
      <c r="H44" s="28"/>
    </row>
    <row r="45" spans="1:8" ht="18.75" customHeight="1" x14ac:dyDescent="0.25">
      <c r="A45" s="7">
        <v>200</v>
      </c>
      <c r="B45" s="79">
        <v>1.15405E-3</v>
      </c>
      <c r="C45" s="80">
        <v>848.65</v>
      </c>
      <c r="D45" s="80">
        <v>853.27</v>
      </c>
      <c r="E45" s="82">
        <v>2.3267000000000002</v>
      </c>
      <c r="F45" s="82"/>
      <c r="G45" s="28"/>
      <c r="H45" s="28"/>
    </row>
    <row r="46" spans="1:8" ht="18.75" customHeight="1" x14ac:dyDescent="0.25">
      <c r="A46" s="7">
        <v>210</v>
      </c>
      <c r="B46" s="79">
        <v>1.1703799999999999E-3</v>
      </c>
      <c r="C46" s="80">
        <v>893.67</v>
      </c>
      <c r="D46" s="80">
        <v>898.35</v>
      </c>
      <c r="E46" s="82">
        <v>2.4209999999999998</v>
      </c>
      <c r="F46" s="82"/>
      <c r="G46" s="28"/>
      <c r="H46" s="28"/>
    </row>
    <row r="47" spans="1:8" ht="18.75" customHeight="1" x14ac:dyDescent="0.25">
      <c r="A47" s="7">
        <v>220</v>
      </c>
      <c r="B47" s="79">
        <v>1.1880700000000001E-3</v>
      </c>
      <c r="C47" s="80">
        <v>939.29</v>
      </c>
      <c r="D47" s="80">
        <v>944.04</v>
      </c>
      <c r="E47" s="82">
        <v>2.5146000000000002</v>
      </c>
      <c r="F47" s="82"/>
      <c r="G47" s="28"/>
      <c r="H47" s="28"/>
    </row>
    <row r="48" spans="1:8" ht="18.75" customHeight="1" x14ac:dyDescent="0.25">
      <c r="A48" s="7">
        <v>230</v>
      </c>
      <c r="B48" s="79">
        <v>1.2073299999999999E-3</v>
      </c>
      <c r="C48" s="80">
        <v>985.59</v>
      </c>
      <c r="D48" s="80">
        <v>990.42</v>
      </c>
      <c r="E48" s="82">
        <v>2.6076999999999999</v>
      </c>
      <c r="F48" s="82"/>
      <c r="G48" s="28"/>
      <c r="H48" s="28"/>
    </row>
    <row r="49" spans="1:8" ht="18.75" customHeight="1" x14ac:dyDescent="0.25">
      <c r="A49" s="7">
        <v>240</v>
      </c>
      <c r="B49" s="79">
        <v>1.22842E-3</v>
      </c>
      <c r="C49" s="83">
        <v>1032.7</v>
      </c>
      <c r="D49" s="83">
        <v>1037.5999999999999</v>
      </c>
      <c r="E49" s="82">
        <v>2.7004999999999999</v>
      </c>
      <c r="F49" s="82"/>
      <c r="G49" s="28"/>
      <c r="H49" s="28"/>
    </row>
    <row r="50" spans="1:8" ht="18.75" customHeight="1" x14ac:dyDescent="0.25">
      <c r="A50" s="7">
        <v>250</v>
      </c>
      <c r="B50" s="79">
        <v>1.25169E-3</v>
      </c>
      <c r="C50" s="83">
        <v>1080.8</v>
      </c>
      <c r="D50" s="83">
        <v>1085.8</v>
      </c>
      <c r="E50" s="82">
        <v>2.7934999999999999</v>
      </c>
      <c r="F50" s="82"/>
      <c r="G50" s="28"/>
      <c r="H50" s="28"/>
    </row>
    <row r="51" spans="1:8" ht="18.75" customHeight="1" x14ac:dyDescent="0.25">
      <c r="A51" s="7">
        <v>260</v>
      </c>
      <c r="B51" s="85">
        <v>5.1776999999999997E-2</v>
      </c>
      <c r="C51" s="83">
        <v>2630</v>
      </c>
      <c r="D51" s="83">
        <v>2837.1</v>
      </c>
      <c r="E51" s="82">
        <v>6.1383000000000001</v>
      </c>
      <c r="F51" s="82"/>
      <c r="G51" s="28"/>
      <c r="H51" s="28"/>
    </row>
    <row r="52" spans="1:8" ht="18.75" customHeight="1" x14ac:dyDescent="0.25">
      <c r="A52" s="7">
        <v>270</v>
      </c>
      <c r="B52" s="85">
        <v>5.3692999999999998E-2</v>
      </c>
      <c r="C52" s="83">
        <v>2656.4</v>
      </c>
      <c r="D52" s="83">
        <v>2871.2</v>
      </c>
      <c r="E52" s="82">
        <v>6.2016</v>
      </c>
      <c r="F52" s="82"/>
      <c r="G52" s="28"/>
      <c r="H52" s="28"/>
    </row>
    <row r="53" spans="1:8" ht="18.75" customHeight="1" x14ac:dyDescent="0.25">
      <c r="A53" s="7">
        <v>280</v>
      </c>
      <c r="B53" s="85">
        <v>5.5496999999999998E-2</v>
      </c>
      <c r="C53" s="83">
        <v>2680.9</v>
      </c>
      <c r="D53" s="83">
        <v>2902.9</v>
      </c>
      <c r="E53" s="82">
        <v>6.2595000000000001</v>
      </c>
      <c r="F53" s="82"/>
      <c r="G53" s="28"/>
      <c r="H53" s="28"/>
    </row>
    <row r="54" spans="1:8" ht="18.75" customHeight="1" x14ac:dyDescent="0.25">
      <c r="A54" s="7">
        <v>290</v>
      </c>
      <c r="B54" s="85">
        <v>5.7216999999999997E-2</v>
      </c>
      <c r="C54" s="83">
        <v>2704.1</v>
      </c>
      <c r="D54" s="83">
        <v>2933</v>
      </c>
      <c r="E54" s="82">
        <v>6.3132999999999999</v>
      </c>
      <c r="F54" s="82"/>
      <c r="G54" s="28"/>
      <c r="H54" s="28"/>
    </row>
    <row r="55" spans="1:8" ht="18.75" customHeight="1" x14ac:dyDescent="0.25">
      <c r="A55" s="7">
        <v>300</v>
      </c>
      <c r="B55" s="85">
        <v>5.8869999999999999E-2</v>
      </c>
      <c r="C55" s="83">
        <v>2726.2</v>
      </c>
      <c r="D55" s="83">
        <v>2961.7</v>
      </c>
      <c r="E55" s="82">
        <v>6.3639000000000001</v>
      </c>
      <c r="F55" s="82"/>
      <c r="G55" s="28"/>
      <c r="H55" s="28"/>
    </row>
    <row r="56" spans="1:8" ht="18.75" customHeight="1" x14ac:dyDescent="0.25">
      <c r="A56" s="7">
        <v>310</v>
      </c>
      <c r="B56" s="85">
        <v>6.0468000000000001E-2</v>
      </c>
      <c r="C56" s="83">
        <v>2747.5</v>
      </c>
      <c r="D56" s="83">
        <v>2989.4</v>
      </c>
      <c r="E56" s="82">
        <v>6.4118000000000004</v>
      </c>
      <c r="F56" s="82"/>
      <c r="G56" s="28"/>
      <c r="H56" s="28"/>
    </row>
    <row r="57" spans="1:8" ht="18.75" customHeight="1" x14ac:dyDescent="0.25">
      <c r="A57" s="7">
        <v>320</v>
      </c>
      <c r="B57" s="85">
        <v>6.2021E-2</v>
      </c>
      <c r="C57" s="83">
        <v>2768.2</v>
      </c>
      <c r="D57" s="83">
        <v>3016.3</v>
      </c>
      <c r="E57" s="82">
        <v>6.4576000000000002</v>
      </c>
      <c r="F57" s="82"/>
      <c r="G57" s="28"/>
      <c r="H57" s="28"/>
    </row>
    <row r="58" spans="1:8" ht="18.75" customHeight="1" x14ac:dyDescent="0.25">
      <c r="A58" s="7">
        <v>330</v>
      </c>
      <c r="B58" s="85">
        <v>6.3535999999999995E-2</v>
      </c>
      <c r="C58" s="83">
        <v>2788.4</v>
      </c>
      <c r="D58" s="83">
        <v>3042.5</v>
      </c>
      <c r="E58" s="82">
        <v>6.5014000000000003</v>
      </c>
      <c r="F58" s="82"/>
      <c r="G58" s="28"/>
      <c r="H58" s="28"/>
    </row>
    <row r="59" spans="1:8" ht="18.75" customHeight="1" x14ac:dyDescent="0.25">
      <c r="A59" s="7">
        <v>340</v>
      </c>
      <c r="B59" s="85">
        <v>6.5018999999999993E-2</v>
      </c>
      <c r="C59" s="83">
        <v>2808</v>
      </c>
      <c r="D59" s="83">
        <v>3068.1</v>
      </c>
      <c r="E59" s="82">
        <v>6.5434999999999999</v>
      </c>
      <c r="F59" s="82"/>
      <c r="G59" s="28"/>
      <c r="H59" s="28"/>
    </row>
    <row r="60" spans="1:8" ht="18.75" customHeight="1" x14ac:dyDescent="0.25">
      <c r="A60" s="7">
        <v>350</v>
      </c>
      <c r="B60" s="85">
        <v>6.6473000000000004E-2</v>
      </c>
      <c r="C60" s="83">
        <v>2827.4</v>
      </c>
      <c r="D60" s="83">
        <v>3093.3</v>
      </c>
      <c r="E60" s="82">
        <v>6.5842999999999998</v>
      </c>
      <c r="F60" s="82"/>
      <c r="G60" s="28"/>
      <c r="H60" s="28"/>
    </row>
    <row r="61" spans="1:8" ht="18.75" customHeight="1" x14ac:dyDescent="0.25">
      <c r="A61" s="7">
        <v>360</v>
      </c>
      <c r="B61" s="85">
        <v>6.7903000000000005E-2</v>
      </c>
      <c r="C61" s="83">
        <v>2846.5</v>
      </c>
      <c r="D61" s="83">
        <v>3118.1</v>
      </c>
      <c r="E61" s="82">
        <v>6.6238000000000001</v>
      </c>
      <c r="F61" s="82"/>
      <c r="G61" s="28"/>
      <c r="H61" s="28"/>
    </row>
    <row r="62" spans="1:8" ht="18.75" customHeight="1" x14ac:dyDescent="0.25">
      <c r="A62" s="7">
        <v>370</v>
      </c>
      <c r="B62" s="85">
        <v>6.9310999999999998E-2</v>
      </c>
      <c r="C62" s="83">
        <v>2865.4</v>
      </c>
      <c r="D62" s="83">
        <v>3142.6</v>
      </c>
      <c r="E62" s="82">
        <v>6.6620999999999997</v>
      </c>
      <c r="F62" s="82"/>
      <c r="G62" s="28"/>
      <c r="H62" s="28"/>
    </row>
    <row r="63" spans="1:8" ht="18.75" customHeight="1" x14ac:dyDescent="0.25">
      <c r="A63" s="7">
        <v>380</v>
      </c>
      <c r="B63" s="85">
        <v>7.0701E-2</v>
      </c>
      <c r="C63" s="83">
        <v>2884</v>
      </c>
      <c r="D63" s="83">
        <v>3166.8</v>
      </c>
      <c r="E63" s="82">
        <v>6.6993999999999998</v>
      </c>
      <c r="F63" s="82"/>
      <c r="G63" s="28"/>
      <c r="H63" s="28"/>
    </row>
    <row r="64" spans="1:8" ht="18.75" customHeight="1" x14ac:dyDescent="0.25">
      <c r="A64" s="7">
        <v>390</v>
      </c>
      <c r="B64" s="85">
        <v>7.2072999999999998E-2</v>
      </c>
      <c r="C64" s="83">
        <v>2902.4</v>
      </c>
      <c r="D64" s="83">
        <v>3190.7</v>
      </c>
      <c r="E64" s="82">
        <v>6.7358000000000002</v>
      </c>
      <c r="F64" s="82"/>
      <c r="G64" s="28"/>
      <c r="H64" s="28"/>
    </row>
    <row r="65" spans="1:8" ht="18.75" customHeight="1" x14ac:dyDescent="0.25">
      <c r="A65" s="7">
        <v>400</v>
      </c>
      <c r="B65" s="85">
        <v>7.3430999999999996E-2</v>
      </c>
      <c r="C65" s="83">
        <v>2920.8</v>
      </c>
      <c r="D65" s="83">
        <v>3214.5</v>
      </c>
      <c r="E65" s="82">
        <v>6.7713999999999999</v>
      </c>
      <c r="F65" s="82"/>
      <c r="G65" s="28"/>
      <c r="H65" s="28"/>
    </row>
    <row r="66" spans="1:8" ht="18.75" customHeight="1" x14ac:dyDescent="0.25">
      <c r="A66" s="7">
        <v>410</v>
      </c>
      <c r="B66" s="85">
        <v>7.4775999999999995E-2</v>
      </c>
      <c r="C66" s="83">
        <v>2939</v>
      </c>
      <c r="D66" s="83">
        <v>3238.1</v>
      </c>
      <c r="E66" s="82">
        <v>6.8060999999999998</v>
      </c>
      <c r="F66" s="82"/>
      <c r="G66" s="28"/>
      <c r="H66" s="28"/>
    </row>
    <row r="67" spans="1:8" ht="18.75" customHeight="1" x14ac:dyDescent="0.25">
      <c r="A67" s="7">
        <v>420</v>
      </c>
      <c r="B67" s="85">
        <v>7.6107999999999995E-2</v>
      </c>
      <c r="C67" s="83">
        <v>2957.1</v>
      </c>
      <c r="D67" s="83">
        <v>3261.5</v>
      </c>
      <c r="E67" s="82">
        <v>6.8402000000000003</v>
      </c>
      <c r="F67" s="82"/>
      <c r="G67" s="28"/>
      <c r="H67" s="28"/>
    </row>
    <row r="68" spans="1:8" ht="18.75" customHeight="1" x14ac:dyDescent="0.25">
      <c r="A68" s="7">
        <v>430</v>
      </c>
      <c r="B68" s="85">
        <v>7.7428999999999998E-2</v>
      </c>
      <c r="C68" s="83">
        <v>2975.1</v>
      </c>
      <c r="D68" s="83">
        <v>3284.8</v>
      </c>
      <c r="E68" s="82">
        <v>6.8735999999999997</v>
      </c>
      <c r="F68" s="82"/>
      <c r="G68" s="28"/>
      <c r="H68" s="28"/>
    </row>
    <row r="69" spans="1:8" ht="18.75" customHeight="1" x14ac:dyDescent="0.25">
      <c r="A69" s="7">
        <v>440</v>
      </c>
      <c r="B69" s="85">
        <v>7.8741000000000005E-2</v>
      </c>
      <c r="C69" s="83">
        <v>2993</v>
      </c>
      <c r="D69" s="83">
        <v>3308</v>
      </c>
      <c r="E69" s="82">
        <v>6.9063999999999997</v>
      </c>
      <c r="F69" s="82"/>
      <c r="G69" s="28"/>
      <c r="H69" s="28"/>
    </row>
    <row r="70" spans="1:8" ht="18.75" customHeight="1" x14ac:dyDescent="0.25">
      <c r="A70" s="7">
        <v>450</v>
      </c>
      <c r="B70" s="85">
        <v>8.0043000000000003E-2</v>
      </c>
      <c r="C70" s="83">
        <v>3011</v>
      </c>
      <c r="D70" s="83">
        <v>3331.2</v>
      </c>
      <c r="E70" s="82">
        <v>6.9386000000000001</v>
      </c>
      <c r="F70" s="82"/>
      <c r="G70" s="28"/>
      <c r="H70" s="28"/>
    </row>
    <row r="71" spans="1:8" ht="18.75" customHeight="1" x14ac:dyDescent="0.25">
      <c r="A71" s="7">
        <v>460</v>
      </c>
      <c r="B71" s="85">
        <v>8.1337000000000007E-2</v>
      </c>
      <c r="C71" s="83">
        <v>3028.9</v>
      </c>
      <c r="D71" s="83">
        <v>3354.2</v>
      </c>
      <c r="E71" s="82">
        <v>6.9702999999999999</v>
      </c>
      <c r="F71" s="82"/>
      <c r="G71" s="28"/>
      <c r="H71" s="28"/>
    </row>
    <row r="72" spans="1:8" ht="18.75" customHeight="1" x14ac:dyDescent="0.25">
      <c r="A72" s="7">
        <v>470</v>
      </c>
      <c r="B72" s="85">
        <v>8.2623000000000002E-2</v>
      </c>
      <c r="C72" s="83">
        <v>3046.7</v>
      </c>
      <c r="D72" s="83">
        <v>3377.2</v>
      </c>
      <c r="E72" s="82">
        <v>7.0015000000000001</v>
      </c>
      <c r="F72" s="82"/>
      <c r="G72" s="28"/>
      <c r="H72" s="28"/>
    </row>
    <row r="73" spans="1:8" ht="18.75" customHeight="1" x14ac:dyDescent="0.25">
      <c r="A73" s="7">
        <v>480</v>
      </c>
      <c r="B73" s="85">
        <v>8.3902000000000004E-2</v>
      </c>
      <c r="C73" s="83">
        <v>3064.6</v>
      </c>
      <c r="D73" s="83">
        <v>3400.2</v>
      </c>
      <c r="E73" s="82">
        <v>7.0320999999999998</v>
      </c>
      <c r="F73" s="82"/>
      <c r="G73" s="28"/>
      <c r="H73" s="28"/>
    </row>
    <row r="74" spans="1:8" ht="18.75" customHeight="1" x14ac:dyDescent="0.25">
      <c r="A74" s="7">
        <v>490</v>
      </c>
      <c r="B74" s="85">
        <v>8.5175000000000001E-2</v>
      </c>
      <c r="C74" s="83">
        <v>3082.4</v>
      </c>
      <c r="D74" s="83">
        <v>3423.1</v>
      </c>
      <c r="E74" s="82">
        <v>7.0624000000000002</v>
      </c>
      <c r="F74" s="82"/>
      <c r="G74" s="28"/>
      <c r="H74" s="28"/>
    </row>
    <row r="75" spans="1:8" ht="18.75" customHeight="1" x14ac:dyDescent="0.25">
      <c r="A75" s="7">
        <v>500</v>
      </c>
      <c r="B75" s="85">
        <v>8.6442000000000005E-2</v>
      </c>
      <c r="C75" s="83">
        <v>3100.2</v>
      </c>
      <c r="D75" s="83">
        <v>3446</v>
      </c>
      <c r="E75" s="82">
        <v>7.0922000000000001</v>
      </c>
      <c r="F75" s="82"/>
      <c r="G75" s="28"/>
      <c r="H75" s="28"/>
    </row>
    <row r="76" spans="1:8" ht="18.75" customHeight="1" x14ac:dyDescent="0.25">
      <c r="A76" s="7">
        <v>520</v>
      </c>
      <c r="B76" s="85">
        <v>8.8958999999999996E-2</v>
      </c>
      <c r="C76" s="83">
        <v>3136</v>
      </c>
      <c r="D76" s="83">
        <v>3491.8</v>
      </c>
      <c r="E76" s="82">
        <v>7.1505999999999998</v>
      </c>
      <c r="F76" s="82"/>
      <c r="G76" s="28"/>
      <c r="H76" s="28"/>
    </row>
    <row r="77" spans="1:8" ht="18.75" customHeight="1" x14ac:dyDescent="0.25">
      <c r="A77" s="7">
        <v>540</v>
      </c>
      <c r="B77" s="85">
        <v>9.1456999999999997E-2</v>
      </c>
      <c r="C77" s="83">
        <v>3171.7</v>
      </c>
      <c r="D77" s="83">
        <v>3537.5</v>
      </c>
      <c r="E77" s="82">
        <v>7.2074999999999996</v>
      </c>
      <c r="F77" s="82"/>
      <c r="G77" s="28"/>
      <c r="H77" s="28"/>
    </row>
    <row r="78" spans="1:8" ht="18.75" customHeight="1" x14ac:dyDescent="0.25">
      <c r="A78" s="7">
        <v>560</v>
      </c>
      <c r="B78" s="85">
        <v>9.3937999999999994E-2</v>
      </c>
      <c r="C78" s="83">
        <v>3207.4</v>
      </c>
      <c r="D78" s="83">
        <v>3583.2</v>
      </c>
      <c r="E78" s="82">
        <v>7.2630999999999997</v>
      </c>
      <c r="F78" s="82"/>
      <c r="G78" s="28"/>
      <c r="H78" s="28"/>
    </row>
    <row r="79" spans="1:8" ht="18.75" customHeight="1" x14ac:dyDescent="0.25">
      <c r="A79" s="7">
        <v>580</v>
      </c>
      <c r="B79" s="85">
        <v>9.6405000000000005E-2</v>
      </c>
      <c r="C79" s="83">
        <v>3243.4</v>
      </c>
      <c r="D79" s="83">
        <v>3629</v>
      </c>
      <c r="E79" s="82">
        <v>7.3174000000000001</v>
      </c>
      <c r="F79" s="82"/>
      <c r="G79" s="28"/>
      <c r="H79" s="28"/>
    </row>
    <row r="80" spans="1:8" ht="18.75" customHeight="1" x14ac:dyDescent="0.25">
      <c r="A80" s="7">
        <v>600</v>
      </c>
      <c r="B80" s="85">
        <v>9.8859000000000002E-2</v>
      </c>
      <c r="C80" s="83">
        <v>3279.5</v>
      </c>
      <c r="D80" s="83">
        <v>3674.9</v>
      </c>
      <c r="E80" s="82">
        <v>7.3704999999999998</v>
      </c>
      <c r="F80" s="82"/>
      <c r="G80" s="28"/>
      <c r="H80" s="28"/>
    </row>
    <row r="81" spans="1:8" ht="18.75" customHeight="1" x14ac:dyDescent="0.25">
      <c r="A81" s="7">
        <v>620</v>
      </c>
      <c r="B81" s="81">
        <v>0.1013</v>
      </c>
      <c r="C81" s="83">
        <v>3315.7</v>
      </c>
      <c r="D81" s="83">
        <v>3720.9</v>
      </c>
      <c r="E81" s="82">
        <v>7.4226000000000001</v>
      </c>
      <c r="F81" s="82"/>
      <c r="G81" s="28"/>
      <c r="H81" s="28"/>
    </row>
    <row r="82" spans="1:8" ht="18.75" customHeight="1" x14ac:dyDescent="0.25">
      <c r="A82" s="7">
        <v>640</v>
      </c>
      <c r="B82" s="81">
        <v>0.10373</v>
      </c>
      <c r="C82" s="83">
        <v>3352.1</v>
      </c>
      <c r="D82" s="83">
        <v>3767</v>
      </c>
      <c r="E82" s="82">
        <v>7.4737</v>
      </c>
      <c r="F82" s="82"/>
      <c r="G82" s="28"/>
      <c r="H82" s="28"/>
    </row>
    <row r="83" spans="1:8" ht="18.75" customHeight="1" x14ac:dyDescent="0.25">
      <c r="A83" s="7">
        <v>660</v>
      </c>
      <c r="B83" s="81">
        <v>0.10616</v>
      </c>
      <c r="C83" s="83">
        <v>3388.6</v>
      </c>
      <c r="D83" s="83">
        <v>3813.2</v>
      </c>
      <c r="E83" s="82">
        <v>7.5237999999999996</v>
      </c>
      <c r="F83" s="82"/>
      <c r="G83" s="28"/>
      <c r="H83" s="28"/>
    </row>
    <row r="84" spans="1:8" ht="18.75" customHeight="1" x14ac:dyDescent="0.25">
      <c r="A84" s="7">
        <v>680</v>
      </c>
      <c r="B84" s="81">
        <v>0.10857</v>
      </c>
      <c r="C84" s="83">
        <v>3425.4</v>
      </c>
      <c r="D84" s="83">
        <v>3859.7</v>
      </c>
      <c r="E84" s="82">
        <v>7.5730000000000004</v>
      </c>
      <c r="F84" s="82"/>
      <c r="G84" s="28"/>
      <c r="H84" s="28"/>
    </row>
    <row r="85" spans="1:8" ht="18.75" customHeight="1" x14ac:dyDescent="0.25">
      <c r="A85" s="7">
        <v>700</v>
      </c>
      <c r="B85" s="81">
        <v>0.11098</v>
      </c>
      <c r="C85" s="83">
        <v>3462.4</v>
      </c>
      <c r="D85" s="83">
        <v>3906.3</v>
      </c>
      <c r="E85" s="82">
        <v>7.6214000000000004</v>
      </c>
      <c r="F85" s="82"/>
      <c r="G85" s="28"/>
      <c r="H85" s="28"/>
    </row>
    <row r="86" spans="1:8" ht="18.75" customHeight="1" x14ac:dyDescent="0.25">
      <c r="A86" s="7">
        <v>720</v>
      </c>
      <c r="B86" s="81">
        <v>0.11337999999999999</v>
      </c>
      <c r="C86" s="83">
        <v>3499.6</v>
      </c>
      <c r="D86" s="83">
        <v>3953.1</v>
      </c>
      <c r="E86" s="82">
        <v>7.6689999999999996</v>
      </c>
      <c r="F86" s="82"/>
      <c r="G86" s="28"/>
      <c r="H86" s="28"/>
    </row>
    <row r="87" spans="1:8" ht="18.75" customHeight="1" x14ac:dyDescent="0.25">
      <c r="A87" s="7">
        <v>740</v>
      </c>
      <c r="B87" s="81">
        <v>0.11577</v>
      </c>
      <c r="C87" s="83">
        <v>3537</v>
      </c>
      <c r="D87" s="83">
        <v>4000.1</v>
      </c>
      <c r="E87" s="82">
        <v>7.7159000000000004</v>
      </c>
      <c r="F87" s="82"/>
      <c r="G87" s="28"/>
      <c r="H87" s="28"/>
    </row>
    <row r="88" spans="1:8" ht="18.75" customHeight="1" x14ac:dyDescent="0.25">
      <c r="A88" s="7">
        <v>760</v>
      </c>
      <c r="B88" s="81">
        <v>0.11816</v>
      </c>
      <c r="C88" s="83">
        <v>3574.7</v>
      </c>
      <c r="D88" s="83">
        <v>4047.3</v>
      </c>
      <c r="E88" s="82">
        <v>7.7619999999999996</v>
      </c>
      <c r="F88" s="82"/>
      <c r="G88" s="28"/>
      <c r="H88" s="28"/>
    </row>
    <row r="89" spans="1:8" ht="18.75" customHeight="1" x14ac:dyDescent="0.25">
      <c r="A89" s="7">
        <v>780</v>
      </c>
      <c r="B89" s="81">
        <v>0.12053999999999999</v>
      </c>
      <c r="C89" s="83">
        <v>3612.5</v>
      </c>
      <c r="D89" s="83">
        <v>4094.7</v>
      </c>
      <c r="E89" s="82">
        <v>7.8074000000000003</v>
      </c>
      <c r="F89" s="82"/>
      <c r="G89" s="28"/>
      <c r="H89" s="28"/>
    </row>
    <row r="90" spans="1:8" ht="18.75" customHeight="1" x14ac:dyDescent="0.25">
      <c r="A90" s="7">
        <v>800</v>
      </c>
      <c r="B90" s="81">
        <v>0.12292</v>
      </c>
      <c r="C90" s="83">
        <v>3650.6</v>
      </c>
      <c r="D90" s="83">
        <v>4142.3</v>
      </c>
      <c r="E90" s="82">
        <v>7.8522999999999996</v>
      </c>
      <c r="F90" s="82"/>
      <c r="G90" s="28"/>
      <c r="H90" s="28"/>
    </row>
    <row r="91" spans="1:8" ht="18.75" customHeight="1" x14ac:dyDescent="0.25">
      <c r="A91" s="7">
        <v>820</v>
      </c>
      <c r="B91" s="81">
        <v>0.12529999999999999</v>
      </c>
      <c r="C91" s="83">
        <v>3689</v>
      </c>
      <c r="D91" s="83">
        <v>4190.2</v>
      </c>
      <c r="E91" s="82">
        <v>7.8963999999999999</v>
      </c>
      <c r="F91" s="82"/>
      <c r="G91" s="28"/>
      <c r="H91" s="28"/>
    </row>
    <row r="92" spans="1:8" ht="18.75" customHeight="1" x14ac:dyDescent="0.25">
      <c r="A92" s="7">
        <v>840</v>
      </c>
      <c r="B92" s="81">
        <v>0.12767000000000001</v>
      </c>
      <c r="C92" s="83">
        <v>3727.6</v>
      </c>
      <c r="D92" s="83">
        <v>4238.3</v>
      </c>
      <c r="E92" s="82">
        <v>7.94</v>
      </c>
      <c r="F92" s="82"/>
      <c r="G92" s="28"/>
      <c r="H92" s="28"/>
    </row>
    <row r="93" spans="1:8" ht="18.75" customHeight="1" x14ac:dyDescent="0.25">
      <c r="A93" s="7">
        <v>860</v>
      </c>
      <c r="B93" s="81">
        <v>0.13003000000000001</v>
      </c>
      <c r="C93" s="83">
        <v>3766.5</v>
      </c>
      <c r="D93" s="83">
        <v>4286.6000000000004</v>
      </c>
      <c r="E93" s="82">
        <v>7.9829999999999997</v>
      </c>
      <c r="F93" s="82"/>
      <c r="G93" s="28"/>
      <c r="H93" s="28"/>
    </row>
    <row r="94" spans="1:8" ht="18.75" customHeight="1" x14ac:dyDescent="0.25">
      <c r="A94" s="7">
        <v>880</v>
      </c>
      <c r="B94" s="81">
        <v>0.13239999999999999</v>
      </c>
      <c r="C94" s="83">
        <v>3805.5</v>
      </c>
      <c r="D94" s="83">
        <v>4335.1000000000004</v>
      </c>
      <c r="E94" s="82">
        <v>8.0254999999999992</v>
      </c>
      <c r="F94" s="82"/>
      <c r="G94" s="28"/>
      <c r="H94" s="28"/>
    </row>
    <row r="95" spans="1:8" ht="18.75" customHeight="1" x14ac:dyDescent="0.25">
      <c r="A95" s="7">
        <v>900</v>
      </c>
      <c r="B95" s="81">
        <v>0.13475999999999999</v>
      </c>
      <c r="C95" s="83">
        <v>3844.9</v>
      </c>
      <c r="D95" s="83">
        <v>4383.8999999999996</v>
      </c>
      <c r="E95" s="82">
        <v>8.0673999999999992</v>
      </c>
      <c r="F95" s="82"/>
      <c r="G95" s="28"/>
      <c r="H95" s="28"/>
    </row>
    <row r="96" spans="1:8" ht="18.75" customHeight="1" x14ac:dyDescent="0.25">
      <c r="A96" s="7">
        <v>920</v>
      </c>
      <c r="B96" s="81">
        <v>0.13711999999999999</v>
      </c>
      <c r="C96" s="83">
        <v>3884.4</v>
      </c>
      <c r="D96" s="83">
        <v>4432.8999999999996</v>
      </c>
      <c r="E96" s="82">
        <v>8.1088000000000005</v>
      </c>
      <c r="F96" s="82"/>
      <c r="G96" s="28"/>
      <c r="H96" s="28"/>
    </row>
    <row r="97" spans="1:8" ht="18.75" customHeight="1" x14ac:dyDescent="0.25">
      <c r="A97" s="7">
        <v>940</v>
      </c>
      <c r="B97" s="81">
        <v>0.13947000000000001</v>
      </c>
      <c r="C97" s="83">
        <v>3924.2</v>
      </c>
      <c r="D97" s="83">
        <v>4482.1000000000004</v>
      </c>
      <c r="E97" s="82">
        <v>8.1498000000000008</v>
      </c>
      <c r="F97" s="82"/>
      <c r="G97" s="28"/>
      <c r="H97" s="28"/>
    </row>
    <row r="98" spans="1:8" ht="18.75" customHeight="1" x14ac:dyDescent="0.25">
      <c r="A98" s="7">
        <v>960</v>
      </c>
      <c r="B98" s="81">
        <v>0.14183000000000001</v>
      </c>
      <c r="C98" s="83">
        <v>3964.3</v>
      </c>
      <c r="D98" s="83">
        <v>4531.6000000000004</v>
      </c>
      <c r="E98" s="82">
        <v>8.1902000000000008</v>
      </c>
      <c r="F98" s="82"/>
      <c r="G98" s="28"/>
      <c r="H98" s="28"/>
    </row>
    <row r="99" spans="1:8" ht="18.75" customHeight="1" x14ac:dyDescent="0.25">
      <c r="A99" s="7">
        <v>980</v>
      </c>
      <c r="B99" s="81">
        <v>0.14418</v>
      </c>
      <c r="C99" s="83">
        <v>4004.6</v>
      </c>
      <c r="D99" s="83">
        <v>4581.3</v>
      </c>
      <c r="E99" s="82">
        <v>8.2302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0.14652000000000001</v>
      </c>
      <c r="C100" s="83">
        <v>4045.1</v>
      </c>
      <c r="D100" s="83">
        <v>4631.2</v>
      </c>
      <c r="E100" s="82">
        <v>8.2697000000000003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H100"/>
  <sheetViews>
    <sheetView topLeftCell="A34" workbookViewId="0">
      <selection activeCell="A51" sqref="A51:XFD51"/>
    </sheetView>
  </sheetViews>
  <sheetFormatPr defaultRowHeight="13.2" x14ac:dyDescent="0.25"/>
  <cols>
    <col min="1" max="1" width="10.5546875" customWidth="1"/>
    <col min="2" max="2" width="10.88671875" customWidth="1"/>
    <col min="3" max="3" width="7.88671875" customWidth="1"/>
    <col min="4" max="4" width="7.5546875" customWidth="1"/>
    <col min="5" max="5" width="7.332031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80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4500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9.9792999999999995E-4</v>
      </c>
      <c r="C5" s="80">
        <v>0.04</v>
      </c>
      <c r="D5" s="80">
        <v>4.53</v>
      </c>
      <c r="E5" s="81">
        <v>1.1E-4</v>
      </c>
      <c r="F5" s="81"/>
      <c r="G5" s="28"/>
      <c r="H5" s="28"/>
    </row>
    <row r="6" spans="1:8" ht="18.75" customHeight="1" x14ac:dyDescent="0.25">
      <c r="A6" s="7">
        <v>5</v>
      </c>
      <c r="B6" s="79">
        <v>9.9788999999999997E-4</v>
      </c>
      <c r="C6" s="80">
        <v>21</v>
      </c>
      <c r="D6" s="80">
        <v>25.49</v>
      </c>
      <c r="E6" s="81">
        <v>7.6149999999999995E-2</v>
      </c>
      <c r="F6" s="81"/>
      <c r="G6" s="28"/>
      <c r="H6" s="28"/>
    </row>
    <row r="7" spans="1:8" ht="18.75" customHeight="1" x14ac:dyDescent="0.25">
      <c r="A7" s="7">
        <v>10</v>
      </c>
      <c r="B7" s="79">
        <v>9.9821000000000003E-4</v>
      </c>
      <c r="C7" s="80">
        <v>41.91</v>
      </c>
      <c r="D7" s="80">
        <v>46.4</v>
      </c>
      <c r="E7" s="81">
        <v>0.15067</v>
      </c>
      <c r="F7" s="81"/>
      <c r="G7" s="28"/>
      <c r="H7" s="28"/>
    </row>
    <row r="8" spans="1:8" ht="18.75" customHeight="1" x14ac:dyDescent="0.25">
      <c r="A8" s="7">
        <v>15</v>
      </c>
      <c r="B8" s="79">
        <v>9.9884999999999991E-4</v>
      </c>
      <c r="C8" s="80">
        <v>62.79</v>
      </c>
      <c r="D8" s="80">
        <v>67.28</v>
      </c>
      <c r="E8" s="81">
        <v>0.22377</v>
      </c>
      <c r="F8" s="81"/>
      <c r="G8" s="28"/>
      <c r="H8" s="28"/>
    </row>
    <row r="9" spans="1:8" ht="18.75" customHeight="1" x14ac:dyDescent="0.25">
      <c r="A9" s="7">
        <v>20</v>
      </c>
      <c r="B9" s="79">
        <v>9.9978999999999997E-4</v>
      </c>
      <c r="C9" s="80">
        <v>83.64</v>
      </c>
      <c r="D9" s="80">
        <v>88.14</v>
      </c>
      <c r="E9" s="81">
        <v>0.29554000000000002</v>
      </c>
      <c r="F9" s="81"/>
      <c r="G9" s="28"/>
      <c r="H9" s="28"/>
    </row>
    <row r="10" spans="1:8" ht="18.75" customHeight="1" x14ac:dyDescent="0.25">
      <c r="A10" s="7">
        <v>25</v>
      </c>
      <c r="B10" s="79">
        <v>1.0009800000000001E-3</v>
      </c>
      <c r="C10" s="80">
        <v>104.49</v>
      </c>
      <c r="D10" s="80">
        <v>108.99</v>
      </c>
      <c r="E10" s="81">
        <v>0.36604999999999999</v>
      </c>
      <c r="F10" s="81"/>
      <c r="G10" s="28"/>
      <c r="H10" s="28"/>
    </row>
    <row r="11" spans="1:8" ht="18.75" customHeight="1" x14ac:dyDescent="0.25">
      <c r="A11" s="7">
        <v>30</v>
      </c>
      <c r="B11" s="79">
        <v>1.0024000000000001E-3</v>
      </c>
      <c r="C11" s="80">
        <v>125.32</v>
      </c>
      <c r="D11" s="80">
        <v>129.83000000000001</v>
      </c>
      <c r="E11" s="81">
        <v>0.43537999999999999</v>
      </c>
      <c r="F11" s="81"/>
      <c r="G11" s="28"/>
      <c r="H11" s="28"/>
    </row>
    <row r="12" spans="1:8" ht="18.75" customHeight="1" x14ac:dyDescent="0.25">
      <c r="A12" s="7">
        <v>35</v>
      </c>
      <c r="B12" s="79">
        <v>1.00405E-3</v>
      </c>
      <c r="C12" s="80">
        <v>146.15</v>
      </c>
      <c r="D12" s="80">
        <v>150.66999999999999</v>
      </c>
      <c r="E12" s="81">
        <v>0.50356000000000001</v>
      </c>
      <c r="F12" s="81"/>
      <c r="G12" s="28"/>
      <c r="H12" s="28"/>
    </row>
    <row r="13" spans="1:8" ht="18.75" customHeight="1" x14ac:dyDescent="0.25">
      <c r="A13" s="7">
        <v>40</v>
      </c>
      <c r="B13" s="79">
        <v>1.0058999999999999E-3</v>
      </c>
      <c r="C13" s="80">
        <v>166.98</v>
      </c>
      <c r="D13" s="80">
        <v>171.51</v>
      </c>
      <c r="E13" s="81">
        <v>0.57065999999999995</v>
      </c>
      <c r="F13" s="81"/>
      <c r="G13" s="28"/>
      <c r="H13" s="28"/>
    </row>
    <row r="14" spans="1:8" ht="18.75" customHeight="1" x14ac:dyDescent="0.25">
      <c r="A14" s="7">
        <v>45</v>
      </c>
      <c r="B14" s="79">
        <v>1.0079399999999999E-3</v>
      </c>
      <c r="C14" s="80">
        <v>187.82</v>
      </c>
      <c r="D14" s="80">
        <v>192.36</v>
      </c>
      <c r="E14" s="81">
        <v>0.63670000000000004</v>
      </c>
      <c r="F14" s="81"/>
      <c r="G14" s="28"/>
      <c r="H14" s="28"/>
    </row>
    <row r="15" spans="1:8" ht="18.75" customHeight="1" x14ac:dyDescent="0.25">
      <c r="A15" s="7">
        <v>50</v>
      </c>
      <c r="B15" s="79">
        <v>1.01016E-3</v>
      </c>
      <c r="C15" s="80">
        <v>208.66</v>
      </c>
      <c r="D15" s="80">
        <v>213.21</v>
      </c>
      <c r="E15" s="81">
        <v>0.70172999999999996</v>
      </c>
      <c r="F15" s="81"/>
      <c r="G15" s="28"/>
      <c r="H15" s="28"/>
    </row>
    <row r="16" spans="1:8" ht="18.75" customHeight="1" x14ac:dyDescent="0.25">
      <c r="A16" s="7">
        <v>55</v>
      </c>
      <c r="B16" s="79">
        <v>1.0125500000000001E-3</v>
      </c>
      <c r="C16" s="80">
        <v>229.51</v>
      </c>
      <c r="D16" s="80">
        <v>234.07</v>
      </c>
      <c r="E16" s="81">
        <v>0.76578999999999997</v>
      </c>
      <c r="F16" s="81"/>
      <c r="G16" s="28"/>
      <c r="H16" s="28"/>
    </row>
    <row r="17" spans="1:8" ht="18.75" customHeight="1" x14ac:dyDescent="0.25">
      <c r="A17" s="7">
        <v>60</v>
      </c>
      <c r="B17" s="79">
        <v>1.0151100000000001E-3</v>
      </c>
      <c r="C17" s="80">
        <v>250.37</v>
      </c>
      <c r="D17" s="80">
        <v>254.94</v>
      </c>
      <c r="E17" s="81">
        <v>0.82891999999999999</v>
      </c>
      <c r="F17" s="81"/>
      <c r="G17" s="28"/>
      <c r="H17" s="28"/>
    </row>
    <row r="18" spans="1:8" ht="18.75" customHeight="1" x14ac:dyDescent="0.25">
      <c r="A18" s="7">
        <v>65</v>
      </c>
      <c r="B18" s="79">
        <v>1.0178400000000001E-3</v>
      </c>
      <c r="C18" s="80">
        <v>271.24</v>
      </c>
      <c r="D18" s="80">
        <v>275.82</v>
      </c>
      <c r="E18" s="81">
        <v>0.89112999999999998</v>
      </c>
      <c r="F18" s="81"/>
      <c r="G18" s="28"/>
      <c r="H18" s="28"/>
    </row>
    <row r="19" spans="1:8" ht="18.75" customHeight="1" x14ac:dyDescent="0.25">
      <c r="A19" s="7">
        <v>70</v>
      </c>
      <c r="B19" s="79">
        <v>1.0207199999999999E-3</v>
      </c>
      <c r="C19" s="80">
        <v>292.13</v>
      </c>
      <c r="D19" s="80">
        <v>296.72000000000003</v>
      </c>
      <c r="E19" s="81">
        <v>0.95247000000000004</v>
      </c>
      <c r="F19" s="81"/>
      <c r="G19" s="28"/>
      <c r="H19" s="28"/>
    </row>
    <row r="20" spans="1:8" ht="18.75" customHeight="1" x14ac:dyDescent="0.25">
      <c r="A20" s="7">
        <v>75</v>
      </c>
      <c r="B20" s="79">
        <v>1.0237600000000001E-3</v>
      </c>
      <c r="C20" s="80">
        <v>313.02</v>
      </c>
      <c r="D20" s="80">
        <v>317.63</v>
      </c>
      <c r="E20" s="82">
        <v>1.0129999999999999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1.0269599999999999E-3</v>
      </c>
      <c r="C21" s="80">
        <v>333.94</v>
      </c>
      <c r="D21" s="80">
        <v>338.56</v>
      </c>
      <c r="E21" s="82">
        <v>1.0727</v>
      </c>
      <c r="F21" s="82"/>
      <c r="G21" s="28"/>
      <c r="H21" s="28"/>
    </row>
    <row r="22" spans="1:8" ht="18.75" customHeight="1" x14ac:dyDescent="0.25">
      <c r="A22" s="7">
        <v>85</v>
      </c>
      <c r="B22" s="79">
        <v>1.0303000000000001E-3</v>
      </c>
      <c r="C22" s="80">
        <v>354.86</v>
      </c>
      <c r="D22" s="80">
        <v>359.5</v>
      </c>
      <c r="E22" s="82">
        <v>1.1315</v>
      </c>
      <c r="F22" s="82"/>
      <c r="G22" s="28"/>
      <c r="H22" s="28"/>
    </row>
    <row r="23" spans="1:8" ht="18.75" customHeight="1" x14ac:dyDescent="0.25">
      <c r="A23" s="7">
        <v>90</v>
      </c>
      <c r="B23" s="79">
        <v>1.0337899999999999E-3</v>
      </c>
      <c r="C23" s="80">
        <v>375.82</v>
      </c>
      <c r="D23" s="80">
        <v>380.47</v>
      </c>
      <c r="E23" s="82">
        <v>1.1897</v>
      </c>
      <c r="F23" s="82"/>
      <c r="G23" s="28"/>
      <c r="H23" s="28"/>
    </row>
    <row r="24" spans="1:8" ht="18.75" customHeight="1" x14ac:dyDescent="0.25">
      <c r="A24" s="7">
        <v>95</v>
      </c>
      <c r="B24" s="79">
        <v>1.0374399999999999E-3</v>
      </c>
      <c r="C24" s="80">
        <v>396.79</v>
      </c>
      <c r="D24" s="80">
        <v>401.46</v>
      </c>
      <c r="E24" s="82">
        <v>1.2471000000000001</v>
      </c>
      <c r="F24" s="82"/>
      <c r="G24" s="28"/>
      <c r="H24" s="28"/>
    </row>
    <row r="25" spans="1:8" ht="18.75" customHeight="1" x14ac:dyDescent="0.25">
      <c r="A25" s="7">
        <v>100</v>
      </c>
      <c r="B25" s="79">
        <v>1.04123E-3</v>
      </c>
      <c r="C25" s="80">
        <v>417.78</v>
      </c>
      <c r="D25" s="80">
        <v>422.47</v>
      </c>
      <c r="E25" s="82">
        <v>1.3038000000000001</v>
      </c>
      <c r="F25" s="82"/>
      <c r="G25" s="28"/>
      <c r="H25" s="28"/>
    </row>
    <row r="26" spans="1:8" ht="18.75" customHeight="1" x14ac:dyDescent="0.25">
      <c r="A26" s="7">
        <v>105</v>
      </c>
      <c r="B26" s="79">
        <v>1.04517E-3</v>
      </c>
      <c r="C26" s="80">
        <v>438.82</v>
      </c>
      <c r="D26" s="80">
        <v>443.52</v>
      </c>
      <c r="E26" s="82">
        <v>1.3597999999999999</v>
      </c>
      <c r="F26" s="82"/>
      <c r="G26" s="28"/>
      <c r="H26" s="28"/>
    </row>
    <row r="27" spans="1:8" ht="18.75" customHeight="1" x14ac:dyDescent="0.25">
      <c r="A27" s="7">
        <v>110</v>
      </c>
      <c r="B27" s="79">
        <v>1.0492699999999999E-3</v>
      </c>
      <c r="C27" s="80">
        <v>459.87</v>
      </c>
      <c r="D27" s="80">
        <v>464.59</v>
      </c>
      <c r="E27" s="82">
        <v>1.4152</v>
      </c>
      <c r="F27" s="82"/>
      <c r="G27" s="28"/>
      <c r="H27" s="28"/>
    </row>
    <row r="28" spans="1:8" ht="18.75" customHeight="1" x14ac:dyDescent="0.25">
      <c r="A28" s="7">
        <v>115</v>
      </c>
      <c r="B28" s="79">
        <v>1.0535200000000001E-3</v>
      </c>
      <c r="C28" s="80">
        <v>480.96</v>
      </c>
      <c r="D28" s="80">
        <v>485.7</v>
      </c>
      <c r="E28" s="82">
        <v>1.4699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1.0579299999999999E-3</v>
      </c>
      <c r="C29" s="80">
        <v>502.08</v>
      </c>
      <c r="D29" s="80">
        <v>506.84</v>
      </c>
      <c r="E29" s="82">
        <v>1.524</v>
      </c>
      <c r="F29" s="82"/>
      <c r="G29" s="28"/>
      <c r="H29" s="28"/>
    </row>
    <row r="30" spans="1:8" ht="18.75" customHeight="1" x14ac:dyDescent="0.25">
      <c r="A30" s="7">
        <v>125</v>
      </c>
      <c r="B30" s="79">
        <v>1.0624899999999999E-3</v>
      </c>
      <c r="C30" s="80">
        <v>523.24</v>
      </c>
      <c r="D30" s="80">
        <v>528.02</v>
      </c>
      <c r="E30" s="82">
        <v>1.5775999999999999</v>
      </c>
      <c r="F30" s="82"/>
      <c r="G30" s="28"/>
      <c r="H30" s="28"/>
    </row>
    <row r="31" spans="1:8" ht="18.75" customHeight="1" x14ac:dyDescent="0.25">
      <c r="A31" s="7">
        <v>130</v>
      </c>
      <c r="B31" s="79">
        <v>1.0672100000000001E-3</v>
      </c>
      <c r="C31" s="80">
        <v>544.45000000000005</v>
      </c>
      <c r="D31" s="80">
        <v>549.25</v>
      </c>
      <c r="E31" s="82">
        <v>1.6305000000000001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1.0721000000000001E-3</v>
      </c>
      <c r="C32" s="80">
        <v>565.71</v>
      </c>
      <c r="D32" s="80">
        <v>570.53</v>
      </c>
      <c r="E32" s="82">
        <v>1.6830000000000001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1.07716E-3</v>
      </c>
      <c r="C33" s="80">
        <v>587</v>
      </c>
      <c r="D33" s="80">
        <v>591.85</v>
      </c>
      <c r="E33" s="82">
        <v>1.7349000000000001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1.0824000000000001E-3</v>
      </c>
      <c r="C34" s="80">
        <v>608.36</v>
      </c>
      <c r="D34" s="80">
        <v>613.23</v>
      </c>
      <c r="E34" s="82">
        <v>1.7864</v>
      </c>
      <c r="F34" s="82"/>
      <c r="G34" s="28"/>
      <c r="H34" s="28"/>
    </row>
    <row r="35" spans="1:8" ht="18.75" customHeight="1" x14ac:dyDescent="0.25">
      <c r="A35" s="7">
        <v>150</v>
      </c>
      <c r="B35" s="79">
        <v>1.08781E-3</v>
      </c>
      <c r="C35" s="80">
        <v>629.77</v>
      </c>
      <c r="D35" s="80">
        <v>634.66999999999996</v>
      </c>
      <c r="E35" s="82">
        <v>1.8372999999999999</v>
      </c>
      <c r="F35" s="82"/>
      <c r="G35" s="28"/>
      <c r="H35" s="28"/>
    </row>
    <row r="36" spans="1:8" ht="18.75" customHeight="1" x14ac:dyDescent="0.25">
      <c r="A36" s="7">
        <v>155</v>
      </c>
      <c r="B36" s="79">
        <v>1.09341E-3</v>
      </c>
      <c r="C36" s="80">
        <v>651.26</v>
      </c>
      <c r="D36" s="80">
        <v>656.18</v>
      </c>
      <c r="E36" s="82">
        <v>1.8878999999999999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1.0992E-3</v>
      </c>
      <c r="C37" s="80">
        <v>672.8</v>
      </c>
      <c r="D37" s="80">
        <v>677.75</v>
      </c>
      <c r="E37" s="82">
        <v>1.9379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1.10519E-3</v>
      </c>
      <c r="C38" s="80">
        <v>694.42</v>
      </c>
      <c r="D38" s="80">
        <v>699.39</v>
      </c>
      <c r="E38" s="82">
        <v>1.9876</v>
      </c>
      <c r="F38" s="82"/>
      <c r="G38" s="28"/>
      <c r="H38" s="28"/>
    </row>
    <row r="39" spans="1:8" ht="18.75" customHeight="1" x14ac:dyDescent="0.25">
      <c r="A39" s="7">
        <v>170</v>
      </c>
      <c r="B39" s="79">
        <v>1.1113900000000001E-3</v>
      </c>
      <c r="C39" s="80">
        <v>716.12</v>
      </c>
      <c r="D39" s="80">
        <v>721.12</v>
      </c>
      <c r="E39" s="82">
        <v>2.0369000000000002</v>
      </c>
      <c r="F39" s="82"/>
      <c r="G39" s="28"/>
      <c r="H39" s="28"/>
    </row>
    <row r="40" spans="1:8" ht="18.75" customHeight="1" x14ac:dyDescent="0.25">
      <c r="A40" s="7">
        <v>175</v>
      </c>
      <c r="B40" s="79">
        <v>1.1178099999999999E-3</v>
      </c>
      <c r="C40" s="80">
        <v>737.9</v>
      </c>
      <c r="D40" s="80">
        <v>742.93</v>
      </c>
      <c r="E40" s="82">
        <v>2.0859000000000001</v>
      </c>
      <c r="F40" s="82"/>
      <c r="G40" s="28"/>
      <c r="H40" s="28"/>
    </row>
    <row r="41" spans="1:8" ht="18.75" customHeight="1" x14ac:dyDescent="0.25">
      <c r="A41" s="7">
        <v>180</v>
      </c>
      <c r="B41" s="79">
        <v>1.1244499999999999E-3</v>
      </c>
      <c r="C41" s="80">
        <v>759.77</v>
      </c>
      <c r="D41" s="80">
        <v>764.83</v>
      </c>
      <c r="E41" s="82">
        <v>2.1345000000000001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1.13134E-3</v>
      </c>
      <c r="C42" s="80">
        <v>781.74</v>
      </c>
      <c r="D42" s="80">
        <v>786.83</v>
      </c>
      <c r="E42" s="82">
        <v>2.1827000000000001</v>
      </c>
      <c r="F42" s="82"/>
      <c r="G42" s="28"/>
      <c r="H42" s="28"/>
    </row>
    <row r="43" spans="1:8" ht="18.75" customHeight="1" x14ac:dyDescent="0.25">
      <c r="A43" s="7">
        <v>190</v>
      </c>
      <c r="B43" s="79">
        <v>1.1384699999999999E-3</v>
      </c>
      <c r="C43" s="80">
        <v>803.81</v>
      </c>
      <c r="D43" s="80">
        <v>808.93</v>
      </c>
      <c r="E43" s="82">
        <v>2.2307000000000001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1.14587E-3</v>
      </c>
      <c r="C44" s="80">
        <v>825.98</v>
      </c>
      <c r="D44" s="80">
        <v>831.14</v>
      </c>
      <c r="E44" s="82">
        <v>2.2784</v>
      </c>
      <c r="F44" s="82"/>
      <c r="G44" s="28"/>
      <c r="H44" s="28"/>
    </row>
    <row r="45" spans="1:8" ht="18.75" customHeight="1" x14ac:dyDescent="0.25">
      <c r="A45" s="7">
        <v>200</v>
      </c>
      <c r="B45" s="79">
        <v>1.1535499999999999E-3</v>
      </c>
      <c r="C45" s="80">
        <v>848.28</v>
      </c>
      <c r="D45" s="80">
        <v>853.47</v>
      </c>
      <c r="E45" s="82">
        <v>2.3258999999999999</v>
      </c>
      <c r="F45" s="82"/>
      <c r="G45" s="28"/>
      <c r="H45" s="28"/>
    </row>
    <row r="46" spans="1:8" ht="18.75" customHeight="1" x14ac:dyDescent="0.25">
      <c r="A46" s="7">
        <v>210</v>
      </c>
      <c r="B46" s="79">
        <v>1.16983E-3</v>
      </c>
      <c r="C46" s="80">
        <v>893.27</v>
      </c>
      <c r="D46" s="80">
        <v>898.53</v>
      </c>
      <c r="E46" s="82">
        <v>2.4201000000000001</v>
      </c>
      <c r="F46" s="82"/>
      <c r="G46" s="28"/>
      <c r="H46" s="28"/>
    </row>
    <row r="47" spans="1:8" ht="18.75" customHeight="1" x14ac:dyDescent="0.25">
      <c r="A47" s="7">
        <v>220</v>
      </c>
      <c r="B47" s="79">
        <v>1.1874500000000001E-3</v>
      </c>
      <c r="C47" s="80">
        <v>938.84</v>
      </c>
      <c r="D47" s="80">
        <v>944.18</v>
      </c>
      <c r="E47" s="82">
        <v>2.5135999999999998</v>
      </c>
      <c r="F47" s="82"/>
      <c r="G47" s="28"/>
      <c r="H47" s="28"/>
    </row>
    <row r="48" spans="1:8" ht="18.75" customHeight="1" x14ac:dyDescent="0.25">
      <c r="A48" s="7">
        <v>230</v>
      </c>
      <c r="B48" s="79">
        <v>1.20663E-3</v>
      </c>
      <c r="C48" s="80">
        <v>985.09</v>
      </c>
      <c r="D48" s="80">
        <v>990.52</v>
      </c>
      <c r="E48" s="82">
        <v>2.6067</v>
      </c>
      <c r="F48" s="82"/>
      <c r="G48" s="28"/>
      <c r="H48" s="28"/>
    </row>
    <row r="49" spans="1:8" ht="18.75" customHeight="1" x14ac:dyDescent="0.25">
      <c r="A49" s="7">
        <v>240</v>
      </c>
      <c r="B49" s="79">
        <v>1.22763E-3</v>
      </c>
      <c r="C49" s="83">
        <v>1032.2</v>
      </c>
      <c r="D49" s="83">
        <v>1037.7</v>
      </c>
      <c r="E49" s="82">
        <v>2.6993999999999998</v>
      </c>
      <c r="F49" s="82"/>
      <c r="G49" s="28"/>
      <c r="H49" s="28"/>
    </row>
    <row r="50" spans="1:8" ht="18.75" customHeight="1" x14ac:dyDescent="0.25">
      <c r="A50" s="7">
        <v>250</v>
      </c>
      <c r="B50" s="79">
        <v>1.25077E-3</v>
      </c>
      <c r="C50" s="83">
        <v>1080.2</v>
      </c>
      <c r="D50" s="83">
        <v>1085.8</v>
      </c>
      <c r="E50" s="82">
        <v>2.7921999999999998</v>
      </c>
      <c r="F50" s="82"/>
      <c r="G50" s="28"/>
      <c r="H50" s="28"/>
    </row>
    <row r="51" spans="1:8" ht="18.75" customHeight="1" x14ac:dyDescent="0.25">
      <c r="A51" s="7">
        <v>260</v>
      </c>
      <c r="B51" s="85">
        <v>4.4572000000000001E-2</v>
      </c>
      <c r="C51" s="83">
        <v>2608</v>
      </c>
      <c r="D51" s="83">
        <v>2808.6</v>
      </c>
      <c r="E51" s="82">
        <v>6.0396999999999998</v>
      </c>
      <c r="F51" s="82"/>
      <c r="G51" s="28"/>
      <c r="H51" s="28"/>
    </row>
    <row r="52" spans="1:8" ht="18.75" customHeight="1" x14ac:dyDescent="0.25">
      <c r="A52" s="7">
        <v>270</v>
      </c>
      <c r="B52" s="85">
        <v>4.6450999999999999E-2</v>
      </c>
      <c r="C52" s="83">
        <v>2637.7</v>
      </c>
      <c r="D52" s="83">
        <v>2846.7</v>
      </c>
      <c r="E52" s="82">
        <v>6.1105</v>
      </c>
      <c r="F52" s="82"/>
      <c r="G52" s="28"/>
      <c r="H52" s="28"/>
    </row>
    <row r="53" spans="1:8" ht="18.75" customHeight="1" x14ac:dyDescent="0.25">
      <c r="A53" s="7">
        <v>280</v>
      </c>
      <c r="B53" s="85">
        <v>4.8186E-2</v>
      </c>
      <c r="C53" s="83">
        <v>2664.5</v>
      </c>
      <c r="D53" s="83">
        <v>2881.3</v>
      </c>
      <c r="E53" s="82">
        <v>6.1737000000000002</v>
      </c>
      <c r="F53" s="82"/>
      <c r="G53" s="28"/>
      <c r="H53" s="28"/>
    </row>
    <row r="54" spans="1:8" ht="18.75" customHeight="1" x14ac:dyDescent="0.25">
      <c r="A54" s="7">
        <v>290</v>
      </c>
      <c r="B54" s="85">
        <v>4.9820999999999997E-2</v>
      </c>
      <c r="C54" s="83">
        <v>2689.4</v>
      </c>
      <c r="D54" s="83">
        <v>2913.6</v>
      </c>
      <c r="E54" s="82">
        <v>6.2316000000000003</v>
      </c>
      <c r="F54" s="82"/>
      <c r="G54" s="28"/>
      <c r="H54" s="28"/>
    </row>
    <row r="55" spans="1:8" ht="18.75" customHeight="1" x14ac:dyDescent="0.25">
      <c r="A55" s="7">
        <v>300</v>
      </c>
      <c r="B55" s="85">
        <v>5.1378E-2</v>
      </c>
      <c r="C55" s="83">
        <v>2713</v>
      </c>
      <c r="D55" s="83">
        <v>2944.2</v>
      </c>
      <c r="E55" s="82">
        <v>6.2854000000000001</v>
      </c>
      <c r="F55" s="82"/>
      <c r="G55" s="28"/>
      <c r="H55" s="28"/>
    </row>
    <row r="56" spans="1:8" ht="18.75" customHeight="1" x14ac:dyDescent="0.25">
      <c r="A56" s="7">
        <v>310</v>
      </c>
      <c r="B56" s="85">
        <v>5.2873000000000003E-2</v>
      </c>
      <c r="C56" s="83">
        <v>2735.5</v>
      </c>
      <c r="D56" s="83">
        <v>2973.4</v>
      </c>
      <c r="E56" s="82">
        <v>6.3358999999999996</v>
      </c>
      <c r="F56" s="82"/>
      <c r="G56" s="28"/>
      <c r="H56" s="28"/>
    </row>
    <row r="57" spans="1:8" ht="18.75" customHeight="1" x14ac:dyDescent="0.25">
      <c r="A57" s="7">
        <v>320</v>
      </c>
      <c r="B57" s="85">
        <v>5.4316999999999997E-2</v>
      </c>
      <c r="C57" s="83">
        <v>2757.2</v>
      </c>
      <c r="D57" s="83">
        <v>3001.6</v>
      </c>
      <c r="E57" s="82">
        <v>6.3837999999999999</v>
      </c>
      <c r="F57" s="82"/>
      <c r="G57" s="28"/>
      <c r="H57" s="28"/>
    </row>
    <row r="58" spans="1:8" ht="18.75" customHeight="1" x14ac:dyDescent="0.25">
      <c r="A58" s="7">
        <v>330</v>
      </c>
      <c r="B58" s="85">
        <v>5.5719999999999999E-2</v>
      </c>
      <c r="C58" s="83">
        <v>2778.2</v>
      </c>
      <c r="D58" s="83">
        <v>3028.9</v>
      </c>
      <c r="E58" s="82">
        <v>6.4295</v>
      </c>
      <c r="F58" s="82"/>
      <c r="G58" s="28"/>
      <c r="H58" s="28"/>
    </row>
    <row r="59" spans="1:8" ht="18.75" customHeight="1" x14ac:dyDescent="0.25">
      <c r="A59" s="7">
        <v>340</v>
      </c>
      <c r="B59" s="85">
        <v>5.7086999999999999E-2</v>
      </c>
      <c r="C59" s="83">
        <v>2798.6</v>
      </c>
      <c r="D59" s="83">
        <v>3055.5</v>
      </c>
      <c r="E59" s="82">
        <v>6.4732000000000003</v>
      </c>
      <c r="F59" s="82"/>
      <c r="G59" s="28"/>
      <c r="H59" s="28"/>
    </row>
    <row r="60" spans="1:8" ht="18.75" customHeight="1" x14ac:dyDescent="0.25">
      <c r="A60" s="7">
        <v>350</v>
      </c>
      <c r="B60" s="85">
        <v>5.8423000000000003E-2</v>
      </c>
      <c r="C60" s="83">
        <v>2818.6</v>
      </c>
      <c r="D60" s="83">
        <v>3081.5</v>
      </c>
      <c r="E60" s="82">
        <v>6.5152999999999999</v>
      </c>
      <c r="F60" s="82"/>
      <c r="G60" s="28"/>
      <c r="H60" s="28"/>
    </row>
    <row r="61" spans="1:8" ht="18.75" customHeight="1" x14ac:dyDescent="0.25">
      <c r="A61" s="7">
        <v>360</v>
      </c>
      <c r="B61" s="85">
        <v>5.9733000000000001E-2</v>
      </c>
      <c r="C61" s="83">
        <v>2838.2</v>
      </c>
      <c r="D61" s="83">
        <v>3107</v>
      </c>
      <c r="E61" s="82">
        <v>6.556</v>
      </c>
      <c r="F61" s="82"/>
      <c r="G61" s="28"/>
      <c r="H61" s="28"/>
    </row>
    <row r="62" spans="1:8" ht="18.75" customHeight="1" x14ac:dyDescent="0.25">
      <c r="A62" s="7">
        <v>370</v>
      </c>
      <c r="B62" s="85">
        <v>6.1020999999999999E-2</v>
      </c>
      <c r="C62" s="83">
        <v>2857.5</v>
      </c>
      <c r="D62" s="83">
        <v>3132.1</v>
      </c>
      <c r="E62" s="82">
        <v>6.5952999999999999</v>
      </c>
      <c r="F62" s="82"/>
      <c r="G62" s="28"/>
      <c r="H62" s="28"/>
    </row>
    <row r="63" spans="1:8" ht="18.75" customHeight="1" x14ac:dyDescent="0.25">
      <c r="A63" s="7">
        <v>380</v>
      </c>
      <c r="B63" s="85">
        <v>6.2288000000000003E-2</v>
      </c>
      <c r="C63" s="83">
        <v>2876.6</v>
      </c>
      <c r="D63" s="83">
        <v>3156.9</v>
      </c>
      <c r="E63" s="82">
        <v>6.6336000000000004</v>
      </c>
      <c r="F63" s="82"/>
      <c r="G63" s="28"/>
      <c r="H63" s="28"/>
    </row>
    <row r="64" spans="1:8" ht="18.75" customHeight="1" x14ac:dyDescent="0.25">
      <c r="A64" s="7">
        <v>390</v>
      </c>
      <c r="B64" s="85">
        <v>6.3537999999999997E-2</v>
      </c>
      <c r="C64" s="83">
        <v>2895.5</v>
      </c>
      <c r="D64" s="83">
        <v>3181.4</v>
      </c>
      <c r="E64" s="82">
        <v>6.6707999999999998</v>
      </c>
      <c r="F64" s="82"/>
      <c r="G64" s="28"/>
      <c r="H64" s="28"/>
    </row>
    <row r="65" spans="1:8" ht="18.75" customHeight="1" x14ac:dyDescent="0.25">
      <c r="A65" s="7">
        <v>400</v>
      </c>
      <c r="B65" s="85">
        <v>6.4771999999999996E-2</v>
      </c>
      <c r="C65" s="83">
        <v>2914.1</v>
      </c>
      <c r="D65" s="83">
        <v>3205.6</v>
      </c>
      <c r="E65" s="82">
        <v>6.7069999999999999</v>
      </c>
      <c r="F65" s="82"/>
      <c r="G65" s="28"/>
      <c r="H65" s="28"/>
    </row>
    <row r="66" spans="1:8" ht="18.75" customHeight="1" x14ac:dyDescent="0.25">
      <c r="A66" s="7">
        <v>410</v>
      </c>
      <c r="B66" s="85">
        <v>6.5990999999999994E-2</v>
      </c>
      <c r="C66" s="83">
        <v>2932.7</v>
      </c>
      <c r="D66" s="83">
        <v>3229.7</v>
      </c>
      <c r="E66" s="82">
        <v>6.7424999999999997</v>
      </c>
      <c r="F66" s="82"/>
      <c r="G66" s="28"/>
      <c r="H66" s="28"/>
    </row>
    <row r="67" spans="1:8" ht="18.75" customHeight="1" x14ac:dyDescent="0.25">
      <c r="A67" s="7">
        <v>420</v>
      </c>
      <c r="B67" s="85">
        <v>6.7198999999999995E-2</v>
      </c>
      <c r="C67" s="83">
        <v>2951.1</v>
      </c>
      <c r="D67" s="83">
        <v>3253.5</v>
      </c>
      <c r="E67" s="82">
        <v>6.7770999999999999</v>
      </c>
      <c r="F67" s="82"/>
      <c r="G67" s="28"/>
      <c r="H67" s="28"/>
    </row>
    <row r="68" spans="1:8" ht="18.75" customHeight="1" x14ac:dyDescent="0.25">
      <c r="A68" s="7">
        <v>430</v>
      </c>
      <c r="B68" s="85">
        <v>6.8393999999999996E-2</v>
      </c>
      <c r="C68" s="83">
        <v>2969.4</v>
      </c>
      <c r="D68" s="83">
        <v>3277.2</v>
      </c>
      <c r="E68" s="82">
        <v>6.8110999999999997</v>
      </c>
      <c r="F68" s="82"/>
      <c r="G68" s="28"/>
      <c r="H68" s="28"/>
    </row>
    <row r="69" spans="1:8" ht="18.75" customHeight="1" x14ac:dyDescent="0.25">
      <c r="A69" s="7">
        <v>440</v>
      </c>
      <c r="B69" s="85">
        <v>6.9580000000000003E-2</v>
      </c>
      <c r="C69" s="83">
        <v>2987.7</v>
      </c>
      <c r="D69" s="83">
        <v>3300.8</v>
      </c>
      <c r="E69" s="82">
        <v>6.8442999999999996</v>
      </c>
      <c r="F69" s="82"/>
      <c r="G69" s="28"/>
      <c r="H69" s="28"/>
    </row>
    <row r="70" spans="1:8" ht="18.75" customHeight="1" x14ac:dyDescent="0.25">
      <c r="A70" s="7">
        <v>450</v>
      </c>
      <c r="B70" s="85">
        <v>7.0755999999999999E-2</v>
      </c>
      <c r="C70" s="83">
        <v>3005.8</v>
      </c>
      <c r="D70" s="83">
        <v>3324.2</v>
      </c>
      <c r="E70" s="82">
        <v>6.8769999999999998</v>
      </c>
      <c r="F70" s="82"/>
      <c r="G70" s="28"/>
      <c r="H70" s="28"/>
    </row>
    <row r="71" spans="1:8" ht="18.75" customHeight="1" x14ac:dyDescent="0.25">
      <c r="A71" s="7">
        <v>460</v>
      </c>
      <c r="B71" s="85">
        <v>7.1924000000000002E-2</v>
      </c>
      <c r="C71" s="83">
        <v>3023.9</v>
      </c>
      <c r="D71" s="83">
        <v>3347.6</v>
      </c>
      <c r="E71" s="82">
        <v>6.9090999999999996</v>
      </c>
      <c r="F71" s="82"/>
      <c r="G71" s="28"/>
      <c r="H71" s="28"/>
    </row>
    <row r="72" spans="1:8" ht="18.75" customHeight="1" x14ac:dyDescent="0.25">
      <c r="A72" s="7">
        <v>470</v>
      </c>
      <c r="B72" s="85">
        <v>7.3082999999999995E-2</v>
      </c>
      <c r="C72" s="83">
        <v>3042</v>
      </c>
      <c r="D72" s="83">
        <v>3370.9</v>
      </c>
      <c r="E72" s="82">
        <v>6.9405999999999999</v>
      </c>
      <c r="F72" s="82"/>
      <c r="G72" s="28"/>
      <c r="H72" s="28"/>
    </row>
    <row r="73" spans="1:8" ht="18.75" customHeight="1" x14ac:dyDescent="0.25">
      <c r="A73" s="7">
        <v>480</v>
      </c>
      <c r="B73" s="85">
        <v>7.4235999999999996E-2</v>
      </c>
      <c r="C73" s="83">
        <v>3060</v>
      </c>
      <c r="D73" s="83">
        <v>3394.1</v>
      </c>
      <c r="E73" s="82">
        <v>6.9715999999999996</v>
      </c>
      <c r="F73" s="82"/>
      <c r="G73" s="28"/>
      <c r="H73" s="28"/>
    </row>
    <row r="74" spans="1:8" ht="18.75" customHeight="1" x14ac:dyDescent="0.25">
      <c r="A74" s="7">
        <v>490</v>
      </c>
      <c r="B74" s="85">
        <v>7.5381000000000004E-2</v>
      </c>
      <c r="C74" s="83">
        <v>3078</v>
      </c>
      <c r="D74" s="83">
        <v>3417.2</v>
      </c>
      <c r="E74" s="82">
        <v>7.0022000000000002</v>
      </c>
      <c r="F74" s="82"/>
      <c r="G74" s="28"/>
      <c r="H74" s="28"/>
    </row>
    <row r="75" spans="1:8" ht="18.75" customHeight="1" x14ac:dyDescent="0.25">
      <c r="A75" s="7">
        <v>500</v>
      </c>
      <c r="B75" s="85">
        <v>7.6521000000000006E-2</v>
      </c>
      <c r="C75" s="83">
        <v>3096.1</v>
      </c>
      <c r="D75" s="83">
        <v>3440.4</v>
      </c>
      <c r="E75" s="82">
        <v>7.0323000000000002</v>
      </c>
      <c r="F75" s="82"/>
      <c r="G75" s="28"/>
      <c r="H75" s="28"/>
    </row>
    <row r="76" spans="1:8" ht="18.75" customHeight="1" x14ac:dyDescent="0.25">
      <c r="A76" s="7">
        <v>520</v>
      </c>
      <c r="B76" s="85">
        <v>7.8784000000000007E-2</v>
      </c>
      <c r="C76" s="83">
        <v>3132</v>
      </c>
      <c r="D76" s="83">
        <v>3486.5</v>
      </c>
      <c r="E76" s="82">
        <v>7.0911999999999997</v>
      </c>
      <c r="F76" s="82"/>
      <c r="G76" s="28"/>
      <c r="H76" s="28"/>
    </row>
    <row r="77" spans="1:8" ht="18.75" customHeight="1" x14ac:dyDescent="0.25">
      <c r="A77" s="7">
        <v>540</v>
      </c>
      <c r="B77" s="85">
        <v>8.1027000000000002E-2</v>
      </c>
      <c r="C77" s="83">
        <v>3168</v>
      </c>
      <c r="D77" s="83">
        <v>3532.6</v>
      </c>
      <c r="E77" s="82">
        <v>7.1486000000000001</v>
      </c>
      <c r="F77" s="82"/>
      <c r="G77" s="28"/>
      <c r="H77" s="28"/>
    </row>
    <row r="78" spans="1:8" ht="18.75" customHeight="1" x14ac:dyDescent="0.25">
      <c r="A78" s="7">
        <v>560</v>
      </c>
      <c r="B78" s="85">
        <v>8.3252999999999994E-2</v>
      </c>
      <c r="C78" s="83">
        <v>3204</v>
      </c>
      <c r="D78" s="83">
        <v>3578.6</v>
      </c>
      <c r="E78" s="82">
        <v>7.2046000000000001</v>
      </c>
      <c r="F78" s="82"/>
      <c r="G78" s="28"/>
      <c r="H78" s="28"/>
    </row>
    <row r="79" spans="1:8" ht="18.75" customHeight="1" x14ac:dyDescent="0.25">
      <c r="A79" s="7">
        <v>580</v>
      </c>
      <c r="B79" s="85">
        <v>8.5463999999999998E-2</v>
      </c>
      <c r="C79" s="83">
        <v>3240.1</v>
      </c>
      <c r="D79" s="83">
        <v>3624.7</v>
      </c>
      <c r="E79" s="82">
        <v>7.2591999999999999</v>
      </c>
      <c r="F79" s="82"/>
      <c r="G79" s="28"/>
      <c r="H79" s="28"/>
    </row>
    <row r="80" spans="1:8" ht="18.75" customHeight="1" x14ac:dyDescent="0.25">
      <c r="A80" s="7">
        <v>600</v>
      </c>
      <c r="B80" s="85">
        <v>8.7662000000000004E-2</v>
      </c>
      <c r="C80" s="83">
        <v>3276.4</v>
      </c>
      <c r="D80" s="83">
        <v>3670.9</v>
      </c>
      <c r="E80" s="82">
        <v>7.3127000000000004</v>
      </c>
      <c r="F80" s="82"/>
      <c r="G80" s="28"/>
      <c r="H80" s="28"/>
    </row>
    <row r="81" spans="1:8" ht="18.75" customHeight="1" x14ac:dyDescent="0.25">
      <c r="A81" s="7">
        <v>620</v>
      </c>
      <c r="B81" s="85">
        <v>8.9847999999999997E-2</v>
      </c>
      <c r="C81" s="83">
        <v>3312.8</v>
      </c>
      <c r="D81" s="83">
        <v>3717.1</v>
      </c>
      <c r="E81" s="82">
        <v>7.3650000000000002</v>
      </c>
      <c r="F81" s="82"/>
      <c r="G81" s="28"/>
      <c r="H81" s="28"/>
    </row>
    <row r="82" spans="1:8" ht="18.75" customHeight="1" x14ac:dyDescent="0.25">
      <c r="A82" s="7">
        <v>640</v>
      </c>
      <c r="B82" s="85">
        <v>9.2023999999999995E-2</v>
      </c>
      <c r="C82" s="83">
        <v>3349.3</v>
      </c>
      <c r="D82" s="83">
        <v>3763.4</v>
      </c>
      <c r="E82" s="82">
        <v>7.4162999999999997</v>
      </c>
      <c r="F82" s="82"/>
      <c r="G82" s="28"/>
      <c r="H82" s="28"/>
    </row>
    <row r="83" spans="1:8" ht="18.75" customHeight="1" x14ac:dyDescent="0.25">
      <c r="A83" s="7">
        <v>660</v>
      </c>
      <c r="B83" s="85">
        <v>9.4190999999999997E-2</v>
      </c>
      <c r="C83" s="83">
        <v>3386</v>
      </c>
      <c r="D83" s="83">
        <v>3809.9</v>
      </c>
      <c r="E83" s="82">
        <v>7.4665999999999997</v>
      </c>
      <c r="F83" s="82"/>
      <c r="G83" s="28"/>
      <c r="H83" s="28"/>
    </row>
    <row r="84" spans="1:8" ht="18.75" customHeight="1" x14ac:dyDescent="0.25">
      <c r="A84" s="7">
        <v>680</v>
      </c>
      <c r="B84" s="85">
        <v>9.6349000000000004E-2</v>
      </c>
      <c r="C84" s="83">
        <v>3422.9</v>
      </c>
      <c r="D84" s="83">
        <v>3856.5</v>
      </c>
      <c r="E84" s="82">
        <v>7.5160999999999998</v>
      </c>
      <c r="F84" s="82"/>
      <c r="G84" s="28"/>
      <c r="H84" s="28"/>
    </row>
    <row r="85" spans="1:8" ht="18.75" customHeight="1" x14ac:dyDescent="0.25">
      <c r="A85" s="7">
        <v>700</v>
      </c>
      <c r="B85" s="85">
        <v>9.8500000000000004E-2</v>
      </c>
      <c r="C85" s="83">
        <v>3460.1</v>
      </c>
      <c r="D85" s="83">
        <v>3903.3</v>
      </c>
      <c r="E85" s="82">
        <v>7.5646000000000004</v>
      </c>
      <c r="F85" s="82"/>
      <c r="G85" s="28"/>
      <c r="H85" s="28"/>
    </row>
    <row r="86" spans="1:8" ht="18.75" customHeight="1" x14ac:dyDescent="0.25">
      <c r="A86" s="7">
        <v>720</v>
      </c>
      <c r="B86" s="81">
        <v>0.10063999999999999</v>
      </c>
      <c r="C86" s="83">
        <v>3497.3</v>
      </c>
      <c r="D86" s="83">
        <v>3950.2</v>
      </c>
      <c r="E86" s="82">
        <v>7.6124000000000001</v>
      </c>
      <c r="F86" s="82"/>
      <c r="G86" s="28"/>
      <c r="H86" s="28"/>
    </row>
    <row r="87" spans="1:8" ht="18.75" customHeight="1" x14ac:dyDescent="0.25">
      <c r="A87" s="7">
        <v>740</v>
      </c>
      <c r="B87" s="81">
        <v>0.10278</v>
      </c>
      <c r="C87" s="83">
        <v>3534.9</v>
      </c>
      <c r="D87" s="83">
        <v>3997.4</v>
      </c>
      <c r="E87" s="82">
        <v>7.6593999999999998</v>
      </c>
      <c r="F87" s="82"/>
      <c r="G87" s="28"/>
      <c r="H87" s="28"/>
    </row>
    <row r="88" spans="1:8" ht="18.75" customHeight="1" x14ac:dyDescent="0.25">
      <c r="A88" s="7">
        <v>760</v>
      </c>
      <c r="B88" s="81">
        <v>0.10491</v>
      </c>
      <c r="C88" s="83">
        <v>3572.6</v>
      </c>
      <c r="D88" s="83">
        <v>4044.7</v>
      </c>
      <c r="E88" s="82">
        <v>7.7057000000000002</v>
      </c>
      <c r="F88" s="82"/>
      <c r="G88" s="28"/>
      <c r="H88" s="28"/>
    </row>
    <row r="89" spans="1:8" ht="18.75" customHeight="1" x14ac:dyDescent="0.25">
      <c r="A89" s="7">
        <v>780</v>
      </c>
      <c r="B89" s="81">
        <v>0.10704</v>
      </c>
      <c r="C89" s="83">
        <v>3610.6</v>
      </c>
      <c r="D89" s="83">
        <v>4092.3</v>
      </c>
      <c r="E89" s="82">
        <v>7.7511999999999999</v>
      </c>
      <c r="F89" s="82"/>
      <c r="G89" s="28"/>
      <c r="H89" s="28"/>
    </row>
    <row r="90" spans="1:8" ht="18.75" customHeight="1" x14ac:dyDescent="0.25">
      <c r="A90" s="7">
        <v>800</v>
      </c>
      <c r="B90" s="81">
        <v>0.10915999999999999</v>
      </c>
      <c r="C90" s="83">
        <v>3648.8</v>
      </c>
      <c r="D90" s="83">
        <v>4140</v>
      </c>
      <c r="E90" s="82">
        <v>7.7961999999999998</v>
      </c>
      <c r="F90" s="82"/>
      <c r="G90" s="28"/>
      <c r="H90" s="28"/>
    </row>
    <row r="91" spans="1:8" ht="18.75" customHeight="1" x14ac:dyDescent="0.25">
      <c r="A91" s="7">
        <v>820</v>
      </c>
      <c r="B91" s="81">
        <v>0.11128</v>
      </c>
      <c r="C91" s="83">
        <v>3687.2</v>
      </c>
      <c r="D91" s="83">
        <v>4188</v>
      </c>
      <c r="E91" s="82">
        <v>7.8403999999999998</v>
      </c>
      <c r="F91" s="82"/>
      <c r="G91" s="28"/>
      <c r="H91" s="28"/>
    </row>
    <row r="92" spans="1:8" ht="18.75" customHeight="1" x14ac:dyDescent="0.25">
      <c r="A92" s="7">
        <v>840</v>
      </c>
      <c r="B92" s="81">
        <v>0.1134</v>
      </c>
      <c r="C92" s="83">
        <v>3725.9</v>
      </c>
      <c r="D92" s="83">
        <v>4236.2</v>
      </c>
      <c r="E92" s="82">
        <v>7.8841000000000001</v>
      </c>
      <c r="F92" s="82"/>
      <c r="G92" s="28"/>
      <c r="H92" s="28"/>
    </row>
    <row r="93" spans="1:8" ht="18.75" customHeight="1" x14ac:dyDescent="0.25">
      <c r="A93" s="7">
        <v>860</v>
      </c>
      <c r="B93" s="81">
        <v>0.11551</v>
      </c>
      <c r="C93" s="83">
        <v>3764.8</v>
      </c>
      <c r="D93" s="83">
        <v>4284.6000000000004</v>
      </c>
      <c r="E93" s="82">
        <v>7.9272</v>
      </c>
      <c r="F93" s="82"/>
      <c r="G93" s="28"/>
      <c r="H93" s="28"/>
    </row>
    <row r="94" spans="1:8" ht="18.75" customHeight="1" x14ac:dyDescent="0.25">
      <c r="A94" s="7">
        <v>880</v>
      </c>
      <c r="B94" s="81">
        <v>0.11762</v>
      </c>
      <c r="C94" s="83">
        <v>3803.9</v>
      </c>
      <c r="D94" s="83">
        <v>4333.2</v>
      </c>
      <c r="E94" s="82">
        <v>7.9698000000000002</v>
      </c>
      <c r="F94" s="82"/>
      <c r="G94" s="28"/>
      <c r="H94" s="28"/>
    </row>
    <row r="95" spans="1:8" ht="18.75" customHeight="1" x14ac:dyDescent="0.25">
      <c r="A95" s="7">
        <v>900</v>
      </c>
      <c r="B95" s="81">
        <v>0.11971999999999999</v>
      </c>
      <c r="C95" s="83">
        <v>3843.4</v>
      </c>
      <c r="D95" s="83">
        <v>4382.1000000000004</v>
      </c>
      <c r="E95" s="82">
        <v>8.0117999999999991</v>
      </c>
      <c r="F95" s="82"/>
      <c r="G95" s="28"/>
      <c r="H95" s="28"/>
    </row>
    <row r="96" spans="1:8" ht="18.75" customHeight="1" x14ac:dyDescent="0.25">
      <c r="A96" s="7">
        <v>920</v>
      </c>
      <c r="B96" s="81">
        <v>0.12182</v>
      </c>
      <c r="C96" s="83">
        <v>3882.9</v>
      </c>
      <c r="D96" s="83">
        <v>4431.1000000000004</v>
      </c>
      <c r="E96" s="82">
        <v>8.0533000000000001</v>
      </c>
      <c r="F96" s="82"/>
      <c r="G96" s="28"/>
      <c r="H96" s="28"/>
    </row>
    <row r="97" spans="1:8" ht="18.75" customHeight="1" x14ac:dyDescent="0.25">
      <c r="A97" s="7">
        <v>940</v>
      </c>
      <c r="B97" s="81">
        <v>0.12392</v>
      </c>
      <c r="C97" s="83">
        <v>3922.9</v>
      </c>
      <c r="D97" s="83">
        <v>4480.5</v>
      </c>
      <c r="E97" s="82">
        <v>8.0942000000000007</v>
      </c>
      <c r="F97" s="82"/>
      <c r="G97" s="28"/>
      <c r="H97" s="28"/>
    </row>
    <row r="98" spans="1:8" ht="18.75" customHeight="1" x14ac:dyDescent="0.25">
      <c r="A98" s="7">
        <v>960</v>
      </c>
      <c r="B98" s="81">
        <v>0.12601999999999999</v>
      </c>
      <c r="C98" s="83">
        <v>3962.9</v>
      </c>
      <c r="D98" s="83">
        <v>4530</v>
      </c>
      <c r="E98" s="82">
        <v>8.1348000000000003</v>
      </c>
      <c r="F98" s="82"/>
      <c r="G98" s="28"/>
      <c r="H98" s="28"/>
    </row>
    <row r="99" spans="1:8" ht="18.75" customHeight="1" x14ac:dyDescent="0.25">
      <c r="A99" s="7">
        <v>980</v>
      </c>
      <c r="B99" s="81">
        <v>0.12811</v>
      </c>
      <c r="C99" s="83">
        <v>4003.3</v>
      </c>
      <c r="D99" s="83">
        <v>4579.8</v>
      </c>
      <c r="E99" s="82">
        <v>8.1747999999999994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0.13020000000000001</v>
      </c>
      <c r="C100" s="83">
        <v>4043.9</v>
      </c>
      <c r="D100" s="83">
        <v>4629.8</v>
      </c>
      <c r="E100" s="82">
        <v>8.2143999999999995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H100"/>
  <sheetViews>
    <sheetView topLeftCell="A36" workbookViewId="0">
      <selection activeCell="A52" sqref="A52:XFD52"/>
    </sheetView>
  </sheetViews>
  <sheetFormatPr defaultRowHeight="13.2" x14ac:dyDescent="0.25"/>
  <cols>
    <col min="1" max="1" width="10.109375" customWidth="1"/>
    <col min="2" max="2" width="11.33203125" customWidth="1"/>
    <col min="3" max="3" width="6.77734375" customWidth="1"/>
    <col min="4" max="4" width="6.33203125" customWidth="1"/>
    <col min="5" max="5" width="8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81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5000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9.9767999999999992E-4</v>
      </c>
      <c r="C5" s="80">
        <v>0.04</v>
      </c>
      <c r="D5" s="80">
        <v>5.03</v>
      </c>
      <c r="E5" s="81">
        <v>1.3999999999999999E-4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9.9763999999999994E-4</v>
      </c>
      <c r="C6" s="80">
        <v>20.99</v>
      </c>
      <c r="D6" s="80">
        <v>25.98</v>
      </c>
      <c r="E6" s="81">
        <v>7.6139999999999999E-2</v>
      </c>
      <c r="F6" s="81"/>
      <c r="G6" s="28"/>
      <c r="H6" s="28"/>
    </row>
    <row r="7" spans="1:8" ht="18.75" customHeight="1" x14ac:dyDescent="0.25">
      <c r="A7" s="7">
        <v>10</v>
      </c>
      <c r="B7" s="79">
        <v>9.9796999999999993E-4</v>
      </c>
      <c r="C7" s="80">
        <v>41.89</v>
      </c>
      <c r="D7" s="80">
        <v>46.88</v>
      </c>
      <c r="E7" s="81">
        <v>0.15062</v>
      </c>
      <c r="F7" s="81"/>
      <c r="G7" s="28"/>
      <c r="H7" s="28"/>
    </row>
    <row r="8" spans="1:8" ht="18.75" customHeight="1" x14ac:dyDescent="0.25">
      <c r="A8" s="7">
        <v>15</v>
      </c>
      <c r="B8" s="79">
        <v>9.9861999999999998E-4</v>
      </c>
      <c r="C8" s="80">
        <v>62.76</v>
      </c>
      <c r="D8" s="80">
        <v>67.75</v>
      </c>
      <c r="E8" s="81">
        <v>0.22369</v>
      </c>
      <c r="F8" s="81"/>
      <c r="G8" s="28"/>
      <c r="H8" s="28"/>
    </row>
    <row r="9" spans="1:8" ht="18.75" customHeight="1" x14ac:dyDescent="0.25">
      <c r="A9" s="7">
        <v>20</v>
      </c>
      <c r="B9" s="79">
        <v>9.9956000000000003E-4</v>
      </c>
      <c r="C9" s="80">
        <v>83.61</v>
      </c>
      <c r="D9" s="80">
        <v>88.61</v>
      </c>
      <c r="E9" s="81">
        <v>0.29543000000000003</v>
      </c>
      <c r="F9" s="81"/>
      <c r="G9" s="28"/>
      <c r="H9" s="28"/>
    </row>
    <row r="10" spans="1:8" ht="18.75" customHeight="1" x14ac:dyDescent="0.25">
      <c r="A10" s="7">
        <v>25</v>
      </c>
      <c r="B10" s="79">
        <v>1.0007499999999999E-3</v>
      </c>
      <c r="C10" s="80">
        <v>104.45</v>
      </c>
      <c r="D10" s="80">
        <v>109.45</v>
      </c>
      <c r="E10" s="81">
        <v>0.36592000000000002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1.0021800000000001E-3</v>
      </c>
      <c r="C11" s="80">
        <v>125.27</v>
      </c>
      <c r="D11" s="80">
        <v>130.28</v>
      </c>
      <c r="E11" s="81">
        <v>0.43522</v>
      </c>
      <c r="F11" s="81"/>
      <c r="G11" s="28"/>
      <c r="H11" s="28"/>
    </row>
    <row r="12" spans="1:8" ht="18.75" customHeight="1" x14ac:dyDescent="0.25">
      <c r="A12" s="7">
        <v>35</v>
      </c>
      <c r="B12" s="79">
        <v>1.00383E-3</v>
      </c>
      <c r="C12" s="80">
        <v>146.1</v>
      </c>
      <c r="D12" s="80">
        <v>151.12</v>
      </c>
      <c r="E12" s="81">
        <v>0.50339</v>
      </c>
      <c r="F12" s="81"/>
      <c r="G12" s="28"/>
      <c r="H12" s="28"/>
    </row>
    <row r="13" spans="1:8" ht="18.75" customHeight="1" x14ac:dyDescent="0.25">
      <c r="A13" s="7">
        <v>40</v>
      </c>
      <c r="B13" s="79">
        <v>1.0056799999999999E-3</v>
      </c>
      <c r="C13" s="80">
        <v>166.92</v>
      </c>
      <c r="D13" s="80">
        <v>171.95</v>
      </c>
      <c r="E13" s="81">
        <v>0.57045999999999997</v>
      </c>
      <c r="F13" s="81"/>
      <c r="G13" s="28"/>
      <c r="H13" s="28"/>
    </row>
    <row r="14" spans="1:8" ht="18.75" customHeight="1" x14ac:dyDescent="0.25">
      <c r="A14" s="7">
        <v>45</v>
      </c>
      <c r="B14" s="79">
        <v>1.0077199999999999E-3</v>
      </c>
      <c r="C14" s="80">
        <v>187.75</v>
      </c>
      <c r="D14" s="80">
        <v>192.79</v>
      </c>
      <c r="E14" s="81">
        <v>0.63649</v>
      </c>
      <c r="F14" s="81"/>
      <c r="G14" s="28"/>
      <c r="H14" s="28"/>
    </row>
    <row r="15" spans="1:8" ht="18.75" customHeight="1" x14ac:dyDescent="0.25">
      <c r="A15" s="7">
        <v>50</v>
      </c>
      <c r="B15" s="79">
        <v>1.00994E-3</v>
      </c>
      <c r="C15" s="80">
        <v>208.59</v>
      </c>
      <c r="D15" s="80">
        <v>213.64</v>
      </c>
      <c r="E15" s="81">
        <v>0.70150000000000001</v>
      </c>
      <c r="F15" s="81"/>
      <c r="G15" s="28"/>
      <c r="H15" s="28"/>
    </row>
    <row r="16" spans="1:8" ht="18.75" customHeight="1" x14ac:dyDescent="0.25">
      <c r="A16" s="7">
        <v>55</v>
      </c>
      <c r="B16" s="79">
        <v>1.0123300000000001E-3</v>
      </c>
      <c r="C16" s="80">
        <v>229.43</v>
      </c>
      <c r="D16" s="80">
        <v>234.49</v>
      </c>
      <c r="E16" s="81">
        <v>0.76554999999999995</v>
      </c>
      <c r="F16" s="81"/>
      <c r="G16" s="28"/>
      <c r="H16" s="28"/>
    </row>
    <row r="17" spans="1:8" ht="18.75" customHeight="1" x14ac:dyDescent="0.25">
      <c r="A17" s="7">
        <v>60</v>
      </c>
      <c r="B17" s="79">
        <v>1.0148900000000001E-3</v>
      </c>
      <c r="C17" s="80">
        <v>250.29</v>
      </c>
      <c r="D17" s="80">
        <v>255.36</v>
      </c>
      <c r="E17" s="81">
        <v>0.82865</v>
      </c>
      <c r="F17" s="81"/>
      <c r="G17" s="28"/>
      <c r="H17" s="28"/>
    </row>
    <row r="18" spans="1:8" ht="18.75" customHeight="1" x14ac:dyDescent="0.25">
      <c r="A18" s="7">
        <v>65</v>
      </c>
      <c r="B18" s="79">
        <v>1.0176199999999999E-3</v>
      </c>
      <c r="C18" s="80">
        <v>271.14999999999998</v>
      </c>
      <c r="D18" s="80">
        <v>276.24</v>
      </c>
      <c r="E18" s="81">
        <v>0.89085000000000003</v>
      </c>
      <c r="F18" s="81"/>
      <c r="G18" s="28"/>
      <c r="H18" s="28"/>
    </row>
    <row r="19" spans="1:8" ht="18.75" customHeight="1" x14ac:dyDescent="0.25">
      <c r="A19" s="7">
        <v>70</v>
      </c>
      <c r="B19" s="79">
        <v>1.0204999999999999E-3</v>
      </c>
      <c r="C19" s="80">
        <v>292.02999999999997</v>
      </c>
      <c r="D19" s="80">
        <v>297.13</v>
      </c>
      <c r="E19" s="81">
        <v>0.95218000000000003</v>
      </c>
      <c r="F19" s="81"/>
      <c r="G19" s="28"/>
      <c r="H19" s="28"/>
    </row>
    <row r="20" spans="1:8" ht="18.75" customHeight="1" x14ac:dyDescent="0.25">
      <c r="A20" s="7">
        <v>75</v>
      </c>
      <c r="B20" s="79">
        <v>1.0235299999999999E-3</v>
      </c>
      <c r="C20" s="80">
        <v>312.91000000000003</v>
      </c>
      <c r="D20" s="80">
        <v>318.02999999999997</v>
      </c>
      <c r="E20" s="82">
        <v>1.0126999999999999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1.0267200000000001E-3</v>
      </c>
      <c r="C21" s="80">
        <v>333.82</v>
      </c>
      <c r="D21" s="80">
        <v>338.95</v>
      </c>
      <c r="E21" s="82">
        <v>1.0723</v>
      </c>
      <c r="F21" s="82"/>
      <c r="G21" s="28"/>
      <c r="H21" s="28"/>
    </row>
    <row r="22" spans="1:8" ht="18.75" customHeight="1" x14ac:dyDescent="0.25">
      <c r="A22" s="7">
        <v>85</v>
      </c>
      <c r="B22" s="79">
        <v>1.03006E-3</v>
      </c>
      <c r="C22" s="80">
        <v>354.75</v>
      </c>
      <c r="D22" s="80">
        <v>359.9</v>
      </c>
      <c r="E22" s="82">
        <v>1.1312</v>
      </c>
      <c r="F22" s="82"/>
      <c r="G22" s="28"/>
      <c r="H22" s="28"/>
    </row>
    <row r="23" spans="1:8" ht="18.75" customHeight="1" x14ac:dyDescent="0.25">
      <c r="A23" s="7">
        <v>90</v>
      </c>
      <c r="B23" s="79">
        <v>1.0335500000000001E-3</v>
      </c>
      <c r="C23" s="80">
        <v>375.69</v>
      </c>
      <c r="D23" s="80">
        <v>380.86</v>
      </c>
      <c r="E23" s="82">
        <v>1.1893</v>
      </c>
      <c r="F23" s="82"/>
      <c r="G23" s="28"/>
      <c r="H23" s="28"/>
    </row>
    <row r="24" spans="1:8" ht="18.75" customHeight="1" x14ac:dyDescent="0.25">
      <c r="A24" s="7">
        <v>95</v>
      </c>
      <c r="B24" s="79">
        <v>1.0371899999999999E-3</v>
      </c>
      <c r="C24" s="80">
        <v>396.65</v>
      </c>
      <c r="D24" s="80">
        <v>401.84</v>
      </c>
      <c r="E24" s="82">
        <v>1.2466999999999999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1.0409799999999999E-3</v>
      </c>
      <c r="C25" s="80">
        <v>417.65</v>
      </c>
      <c r="D25" s="80">
        <v>422.85</v>
      </c>
      <c r="E25" s="82">
        <v>1.3033999999999999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1.04492E-3</v>
      </c>
      <c r="C26" s="80">
        <v>438.67</v>
      </c>
      <c r="D26" s="80">
        <v>443.89</v>
      </c>
      <c r="E26" s="82">
        <v>1.3593999999999999</v>
      </c>
      <c r="F26" s="82"/>
      <c r="G26" s="28"/>
      <c r="H26" s="28"/>
    </row>
    <row r="27" spans="1:8" ht="18.75" customHeight="1" x14ac:dyDescent="0.25">
      <c r="A27" s="7">
        <v>110</v>
      </c>
      <c r="B27" s="79">
        <v>1.04901E-3</v>
      </c>
      <c r="C27" s="80">
        <v>459.7</v>
      </c>
      <c r="D27" s="80">
        <v>464.95</v>
      </c>
      <c r="E27" s="82">
        <v>1.4147000000000001</v>
      </c>
      <c r="F27" s="82"/>
      <c r="G27" s="28"/>
      <c r="H27" s="28"/>
    </row>
    <row r="28" spans="1:8" ht="18.75" customHeight="1" x14ac:dyDescent="0.25">
      <c r="A28" s="7">
        <v>115</v>
      </c>
      <c r="B28" s="79">
        <v>1.0532499999999999E-3</v>
      </c>
      <c r="C28" s="80">
        <v>480.79</v>
      </c>
      <c r="D28" s="80">
        <v>486.06</v>
      </c>
      <c r="E28" s="82">
        <v>1.4695</v>
      </c>
      <c r="F28" s="82"/>
      <c r="G28" s="28"/>
      <c r="H28" s="28"/>
    </row>
    <row r="29" spans="1:8" ht="18.75" customHeight="1" x14ac:dyDescent="0.25">
      <c r="A29" s="7">
        <v>120</v>
      </c>
      <c r="B29" s="79">
        <v>1.05765E-3</v>
      </c>
      <c r="C29" s="80">
        <v>501.9</v>
      </c>
      <c r="D29" s="80">
        <v>507.19</v>
      </c>
      <c r="E29" s="82">
        <v>1.5236000000000001</v>
      </c>
      <c r="F29" s="82"/>
      <c r="G29" s="28"/>
      <c r="H29" s="28"/>
    </row>
    <row r="30" spans="1:8" ht="18.75" customHeight="1" x14ac:dyDescent="0.25">
      <c r="A30" s="7">
        <v>125</v>
      </c>
      <c r="B30" s="79">
        <v>1.0621999999999999E-3</v>
      </c>
      <c r="C30" s="80">
        <v>523.05999999999995</v>
      </c>
      <c r="D30" s="80">
        <v>528.37</v>
      </c>
      <c r="E30" s="82">
        <v>1.5770999999999999</v>
      </c>
      <c r="F30" s="82"/>
      <c r="G30" s="28"/>
      <c r="H30" s="28"/>
    </row>
    <row r="31" spans="1:8" ht="18.75" customHeight="1" x14ac:dyDescent="0.25">
      <c r="A31" s="7">
        <v>130</v>
      </c>
      <c r="B31" s="79">
        <v>1.0669200000000001E-3</v>
      </c>
      <c r="C31" s="80">
        <v>544.26</v>
      </c>
      <c r="D31" s="80">
        <v>549.59</v>
      </c>
      <c r="E31" s="82">
        <v>1.6301000000000001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1.0717999999999999E-3</v>
      </c>
      <c r="C32" s="80">
        <v>565.5</v>
      </c>
      <c r="D32" s="80">
        <v>570.86</v>
      </c>
      <c r="E32" s="82">
        <v>1.6825000000000001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1.0768500000000001E-3</v>
      </c>
      <c r="C33" s="80">
        <v>586.79999999999995</v>
      </c>
      <c r="D33" s="80">
        <v>592.17999999999995</v>
      </c>
      <c r="E33" s="82">
        <v>1.7343999999999999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1.08208E-3</v>
      </c>
      <c r="C34" s="80">
        <v>608.14</v>
      </c>
      <c r="D34" s="80">
        <v>613.54999999999995</v>
      </c>
      <c r="E34" s="82">
        <v>1.7858000000000001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1.08748E-3</v>
      </c>
      <c r="C35" s="80">
        <v>629.54</v>
      </c>
      <c r="D35" s="80">
        <v>634.98</v>
      </c>
      <c r="E35" s="82">
        <v>1.8368</v>
      </c>
      <c r="F35" s="82"/>
      <c r="G35" s="28"/>
      <c r="H35" s="28"/>
    </row>
    <row r="36" spans="1:8" ht="18.75" customHeight="1" x14ac:dyDescent="0.25">
      <c r="A36" s="7">
        <v>155</v>
      </c>
      <c r="B36" s="79">
        <v>1.09307E-3</v>
      </c>
      <c r="C36" s="80">
        <v>651.01</v>
      </c>
      <c r="D36" s="80">
        <v>656.48</v>
      </c>
      <c r="E36" s="82">
        <v>1.8873</v>
      </c>
      <c r="F36" s="82"/>
      <c r="G36" s="28"/>
      <c r="H36" s="28"/>
    </row>
    <row r="37" spans="1:8" ht="18.75" customHeight="1" x14ac:dyDescent="0.25">
      <c r="A37" s="7">
        <v>160</v>
      </c>
      <c r="B37" s="79">
        <v>1.09885E-3</v>
      </c>
      <c r="C37" s="80">
        <v>672.55</v>
      </c>
      <c r="D37" s="80">
        <v>678.04</v>
      </c>
      <c r="E37" s="82">
        <v>1.9374</v>
      </c>
      <c r="F37" s="82"/>
      <c r="G37" s="28"/>
      <c r="H37" s="28"/>
    </row>
    <row r="38" spans="1:8" ht="18.75" customHeight="1" x14ac:dyDescent="0.25">
      <c r="A38" s="7">
        <v>165</v>
      </c>
      <c r="B38" s="79">
        <v>1.1048200000000001E-3</v>
      </c>
      <c r="C38" s="80">
        <v>694.16</v>
      </c>
      <c r="D38" s="80">
        <v>699.68</v>
      </c>
      <c r="E38" s="82">
        <v>1.9870000000000001</v>
      </c>
      <c r="F38" s="82"/>
      <c r="G38" s="28"/>
      <c r="H38" s="28"/>
    </row>
    <row r="39" spans="1:8" ht="18.75" customHeight="1" x14ac:dyDescent="0.25">
      <c r="A39" s="7">
        <v>170</v>
      </c>
      <c r="B39" s="79">
        <v>1.1110099999999999E-3</v>
      </c>
      <c r="C39" s="80">
        <v>715.84</v>
      </c>
      <c r="D39" s="80">
        <v>721.4</v>
      </c>
      <c r="E39" s="82">
        <v>2.0363000000000002</v>
      </c>
      <c r="F39" s="82"/>
      <c r="G39" s="28"/>
      <c r="H39" s="28"/>
    </row>
    <row r="40" spans="1:8" ht="18.75" customHeight="1" x14ac:dyDescent="0.25">
      <c r="A40" s="7">
        <v>175</v>
      </c>
      <c r="B40" s="79">
        <v>1.1174100000000001E-3</v>
      </c>
      <c r="C40" s="80">
        <v>737.6</v>
      </c>
      <c r="D40" s="80">
        <v>743.19</v>
      </c>
      <c r="E40" s="82">
        <v>2.0851999999999999</v>
      </c>
      <c r="F40" s="82"/>
      <c r="G40" s="28"/>
      <c r="H40" s="28"/>
    </row>
    <row r="41" spans="1:8" ht="18.75" customHeight="1" x14ac:dyDescent="0.25">
      <c r="A41" s="7">
        <v>180</v>
      </c>
      <c r="B41" s="79">
        <v>1.12404E-3</v>
      </c>
      <c r="C41" s="80">
        <v>759.46</v>
      </c>
      <c r="D41" s="80">
        <v>765.08</v>
      </c>
      <c r="E41" s="82">
        <v>2.1337999999999999</v>
      </c>
      <c r="F41" s="82"/>
      <c r="G41" s="28"/>
      <c r="H41" s="28"/>
    </row>
    <row r="42" spans="1:8" ht="18.75" customHeight="1" x14ac:dyDescent="0.25">
      <c r="A42" s="7">
        <v>185</v>
      </c>
      <c r="B42" s="79">
        <v>1.1309099999999999E-3</v>
      </c>
      <c r="C42" s="80">
        <v>781.42</v>
      </c>
      <c r="D42" s="80">
        <v>787.07</v>
      </c>
      <c r="E42" s="82">
        <v>2.1821000000000002</v>
      </c>
      <c r="F42" s="82"/>
      <c r="G42" s="28"/>
      <c r="H42" s="28"/>
    </row>
    <row r="43" spans="1:8" ht="18.75" customHeight="1" x14ac:dyDescent="0.25">
      <c r="A43" s="7">
        <v>190</v>
      </c>
      <c r="B43" s="79">
        <v>1.13802E-3</v>
      </c>
      <c r="C43" s="80">
        <v>803.47</v>
      </c>
      <c r="D43" s="80">
        <v>809.16</v>
      </c>
      <c r="E43" s="82">
        <v>2.23</v>
      </c>
      <c r="F43" s="82"/>
      <c r="G43" s="28"/>
      <c r="H43" s="28"/>
    </row>
    <row r="44" spans="1:8" ht="18.75" customHeight="1" x14ac:dyDescent="0.25">
      <c r="A44" s="7">
        <v>195</v>
      </c>
      <c r="B44" s="79">
        <v>1.1454E-3</v>
      </c>
      <c r="C44" s="80">
        <v>825.63</v>
      </c>
      <c r="D44" s="80">
        <v>831.36</v>
      </c>
      <c r="E44" s="82">
        <v>2.2776999999999998</v>
      </c>
      <c r="F44" s="82"/>
      <c r="G44" s="28"/>
      <c r="H44" s="28"/>
    </row>
    <row r="45" spans="1:8" ht="18.75" customHeight="1" x14ac:dyDescent="0.25">
      <c r="A45" s="7">
        <v>200</v>
      </c>
      <c r="B45" s="79">
        <v>1.15306E-3</v>
      </c>
      <c r="C45" s="80">
        <v>847.91</v>
      </c>
      <c r="D45" s="80">
        <v>853.68</v>
      </c>
      <c r="E45" s="82">
        <v>2.3250999999999999</v>
      </c>
      <c r="F45" s="82"/>
      <c r="G45" s="28"/>
      <c r="H45" s="28"/>
    </row>
    <row r="46" spans="1:8" ht="18.75" customHeight="1" x14ac:dyDescent="0.25">
      <c r="A46" s="7">
        <v>210</v>
      </c>
      <c r="B46" s="79">
        <v>1.16928E-3</v>
      </c>
      <c r="C46" s="80">
        <v>892.86</v>
      </c>
      <c r="D46" s="80">
        <v>898.71</v>
      </c>
      <c r="E46" s="82">
        <v>2.4192999999999998</v>
      </c>
      <c r="F46" s="82"/>
      <c r="G46" s="28"/>
      <c r="H46" s="28"/>
    </row>
    <row r="47" spans="1:8" ht="18.75" customHeight="1" x14ac:dyDescent="0.25">
      <c r="A47" s="7">
        <v>220</v>
      </c>
      <c r="B47" s="79">
        <v>1.18684E-3</v>
      </c>
      <c r="C47" s="80">
        <v>938.39</v>
      </c>
      <c r="D47" s="80">
        <v>944.32</v>
      </c>
      <c r="E47" s="82">
        <v>2.5127000000000002</v>
      </c>
      <c r="F47" s="82"/>
      <c r="G47" s="28"/>
      <c r="H47" s="28"/>
    </row>
    <row r="48" spans="1:8" ht="18.75" customHeight="1" x14ac:dyDescent="0.25">
      <c r="A48" s="7">
        <v>230</v>
      </c>
      <c r="B48" s="79">
        <v>1.20594E-3</v>
      </c>
      <c r="C48" s="80">
        <v>984.59</v>
      </c>
      <c r="D48" s="80">
        <v>990.62</v>
      </c>
      <c r="E48" s="82">
        <v>2.6057000000000001</v>
      </c>
      <c r="F48" s="82"/>
      <c r="G48" s="28"/>
      <c r="H48" s="28"/>
    </row>
    <row r="49" spans="1:8" ht="18.75" customHeight="1" x14ac:dyDescent="0.25">
      <c r="A49" s="7">
        <v>240</v>
      </c>
      <c r="B49" s="79">
        <v>1.2268400000000001E-3</v>
      </c>
      <c r="C49" s="83">
        <v>1031.5999999999999</v>
      </c>
      <c r="D49" s="83">
        <v>1037.7</v>
      </c>
      <c r="E49" s="82">
        <v>2.6983000000000001</v>
      </c>
      <c r="F49" s="82"/>
      <c r="G49" s="28"/>
      <c r="H49" s="28"/>
    </row>
    <row r="50" spans="1:8" ht="18.75" customHeight="1" x14ac:dyDescent="0.25">
      <c r="A50" s="7">
        <v>250</v>
      </c>
      <c r="B50" s="79">
        <v>1.2498699999999999E-3</v>
      </c>
      <c r="C50" s="83">
        <v>1079.5</v>
      </c>
      <c r="D50" s="83">
        <v>1085.7</v>
      </c>
      <c r="E50" s="82">
        <v>2.7909999999999999</v>
      </c>
      <c r="F50" s="82"/>
      <c r="G50" s="28"/>
      <c r="H50" s="28"/>
    </row>
    <row r="51" spans="1:8" ht="18.75" customHeight="1" x14ac:dyDescent="0.25">
      <c r="A51" s="7">
        <v>260</v>
      </c>
      <c r="B51" s="79">
        <v>1.2754699999999999E-3</v>
      </c>
      <c r="C51" s="83">
        <v>1128.5</v>
      </c>
      <c r="D51" s="83">
        <v>1134.9000000000001</v>
      </c>
      <c r="E51" s="82">
        <v>2.8841000000000001</v>
      </c>
      <c r="F51" s="82"/>
      <c r="G51" s="28"/>
      <c r="H51" s="28"/>
    </row>
    <row r="52" spans="1:8" ht="18.75" customHeight="1" x14ac:dyDescent="0.25">
      <c r="A52" s="7">
        <v>270</v>
      </c>
      <c r="B52" s="85">
        <v>4.0566999999999999E-2</v>
      </c>
      <c r="C52" s="83">
        <v>2617</v>
      </c>
      <c r="D52" s="83">
        <v>2819.8</v>
      </c>
      <c r="E52" s="82">
        <v>6.0210999999999997</v>
      </c>
      <c r="F52" s="82"/>
      <c r="G52" s="28"/>
      <c r="H52" s="28"/>
    </row>
    <row r="53" spans="1:8" ht="18.75" customHeight="1" x14ac:dyDescent="0.25">
      <c r="A53" s="7">
        <v>280</v>
      </c>
      <c r="B53" s="85">
        <v>4.2273999999999999E-2</v>
      </c>
      <c r="C53" s="83">
        <v>2646.7</v>
      </c>
      <c r="D53" s="83">
        <v>2858.1</v>
      </c>
      <c r="E53" s="82">
        <v>6.0909000000000004</v>
      </c>
      <c r="F53" s="82"/>
      <c r="G53" s="28"/>
      <c r="H53" s="28"/>
    </row>
    <row r="54" spans="1:8" ht="18.75" customHeight="1" x14ac:dyDescent="0.25">
      <c r="A54" s="7">
        <v>290</v>
      </c>
      <c r="B54" s="85">
        <v>4.3855999999999999E-2</v>
      </c>
      <c r="C54" s="83">
        <v>2673.7</v>
      </c>
      <c r="D54" s="83">
        <v>2893</v>
      </c>
      <c r="E54" s="82">
        <v>6.1536</v>
      </c>
      <c r="F54" s="82"/>
      <c r="G54" s="28"/>
      <c r="H54" s="28"/>
    </row>
    <row r="55" spans="1:8" ht="18.75" customHeight="1" x14ac:dyDescent="0.25">
      <c r="A55" s="7">
        <v>300</v>
      </c>
      <c r="B55" s="85">
        <v>4.5345999999999997E-2</v>
      </c>
      <c r="C55" s="83">
        <v>2699</v>
      </c>
      <c r="D55" s="83">
        <v>2925.7</v>
      </c>
      <c r="E55" s="82">
        <v>6.2110000000000003</v>
      </c>
      <c r="F55" s="82"/>
      <c r="G55" s="28"/>
      <c r="H55" s="28"/>
    </row>
    <row r="56" spans="1:8" ht="18.75" customHeight="1" x14ac:dyDescent="0.25">
      <c r="A56" s="7">
        <v>310</v>
      </c>
      <c r="B56" s="85">
        <v>4.6766000000000002E-2</v>
      </c>
      <c r="C56" s="83">
        <v>2722.8</v>
      </c>
      <c r="D56" s="83">
        <v>2956.6</v>
      </c>
      <c r="E56" s="82">
        <v>6.2645999999999997</v>
      </c>
      <c r="F56" s="82"/>
      <c r="G56" s="28"/>
      <c r="H56" s="28"/>
    </row>
    <row r="57" spans="1:8" ht="18.75" customHeight="1" x14ac:dyDescent="0.25">
      <c r="A57" s="7">
        <v>320</v>
      </c>
      <c r="B57" s="85">
        <v>4.8129999999999999E-2</v>
      </c>
      <c r="C57" s="83">
        <v>2745.6</v>
      </c>
      <c r="D57" s="83">
        <v>2986.2</v>
      </c>
      <c r="E57" s="82">
        <v>6.3148999999999997</v>
      </c>
      <c r="F57" s="82"/>
      <c r="G57" s="28"/>
      <c r="H57" s="28"/>
    </row>
    <row r="58" spans="1:8" ht="18.75" customHeight="1" x14ac:dyDescent="0.25">
      <c r="A58" s="7">
        <v>330</v>
      </c>
      <c r="B58" s="85">
        <v>4.9445999999999997E-2</v>
      </c>
      <c r="C58" s="83">
        <v>2767.5</v>
      </c>
      <c r="D58" s="83">
        <v>3014.7</v>
      </c>
      <c r="E58" s="82">
        <v>6.3625999999999996</v>
      </c>
      <c r="F58" s="82"/>
      <c r="G58" s="28"/>
      <c r="H58" s="28"/>
    </row>
    <row r="59" spans="1:8" ht="18.75" customHeight="1" x14ac:dyDescent="0.25">
      <c r="A59" s="7">
        <v>340</v>
      </c>
      <c r="B59" s="85">
        <v>5.0723999999999998E-2</v>
      </c>
      <c r="C59" s="83">
        <v>2788.8</v>
      </c>
      <c r="D59" s="83">
        <v>3042.4</v>
      </c>
      <c r="E59" s="82">
        <v>6.4080000000000004</v>
      </c>
      <c r="F59" s="82"/>
      <c r="G59" s="28"/>
      <c r="H59" s="28"/>
    </row>
    <row r="60" spans="1:8" ht="18.75" customHeight="1" x14ac:dyDescent="0.25">
      <c r="A60" s="7">
        <v>350</v>
      </c>
      <c r="B60" s="85">
        <v>5.1969000000000001E-2</v>
      </c>
      <c r="C60" s="83">
        <v>2809.5</v>
      </c>
      <c r="D60" s="83">
        <v>3069.3</v>
      </c>
      <c r="E60" s="82">
        <v>6.4516</v>
      </c>
      <c r="F60" s="82"/>
      <c r="G60" s="28"/>
      <c r="H60" s="28"/>
    </row>
    <row r="61" spans="1:8" ht="18.75" customHeight="1" x14ac:dyDescent="0.25">
      <c r="A61" s="7">
        <v>360</v>
      </c>
      <c r="B61" s="85">
        <v>5.3185999999999997E-2</v>
      </c>
      <c r="C61" s="83">
        <v>2829.7</v>
      </c>
      <c r="D61" s="83">
        <v>3095.6</v>
      </c>
      <c r="E61" s="82">
        <v>6.4935</v>
      </c>
      <c r="F61" s="82"/>
      <c r="G61" s="28"/>
      <c r="H61" s="28"/>
    </row>
    <row r="62" spans="1:8" ht="18.75" customHeight="1" x14ac:dyDescent="0.25">
      <c r="A62" s="7">
        <v>370</v>
      </c>
      <c r="B62" s="85">
        <v>5.4378000000000003E-2</v>
      </c>
      <c r="C62" s="83">
        <v>2849.6</v>
      </c>
      <c r="D62" s="83">
        <v>3121.5</v>
      </c>
      <c r="E62" s="82">
        <v>6.5339999999999998</v>
      </c>
      <c r="F62" s="82"/>
      <c r="G62" s="28"/>
      <c r="H62" s="28"/>
    </row>
    <row r="63" spans="1:8" ht="18.75" customHeight="1" x14ac:dyDescent="0.25">
      <c r="A63" s="7">
        <v>380</v>
      </c>
      <c r="B63" s="85">
        <v>5.5549000000000001E-2</v>
      </c>
      <c r="C63" s="83">
        <v>2869.2</v>
      </c>
      <c r="D63" s="83">
        <v>3146.9</v>
      </c>
      <c r="E63" s="82">
        <v>6.5731999999999999</v>
      </c>
      <c r="F63" s="82"/>
      <c r="G63" s="28"/>
      <c r="H63" s="28"/>
    </row>
    <row r="64" spans="1:8" ht="18.75" customHeight="1" x14ac:dyDescent="0.25">
      <c r="A64" s="7">
        <v>390</v>
      </c>
      <c r="B64" s="85">
        <v>5.6702000000000002E-2</v>
      </c>
      <c r="C64" s="83">
        <v>2888.4</v>
      </c>
      <c r="D64" s="83">
        <v>3171.9</v>
      </c>
      <c r="E64" s="82">
        <v>6.6112000000000002</v>
      </c>
      <c r="F64" s="82"/>
      <c r="G64" s="28"/>
      <c r="H64" s="28"/>
    </row>
    <row r="65" spans="1:8" ht="18.75" customHeight="1" x14ac:dyDescent="0.25">
      <c r="A65" s="7">
        <v>400</v>
      </c>
      <c r="B65" s="85">
        <v>5.7837E-2</v>
      </c>
      <c r="C65" s="83">
        <v>2907.5</v>
      </c>
      <c r="D65" s="83">
        <v>3196.7</v>
      </c>
      <c r="E65" s="82">
        <v>6.6482999999999999</v>
      </c>
      <c r="F65" s="82"/>
      <c r="G65" s="28"/>
      <c r="H65" s="28"/>
    </row>
    <row r="66" spans="1:8" ht="18.75" customHeight="1" x14ac:dyDescent="0.25">
      <c r="A66" s="7">
        <v>410</v>
      </c>
      <c r="B66" s="85">
        <v>5.8958000000000003E-2</v>
      </c>
      <c r="C66" s="83">
        <v>2926.4</v>
      </c>
      <c r="D66" s="83">
        <v>3221.2</v>
      </c>
      <c r="E66" s="82">
        <v>6.6844000000000001</v>
      </c>
      <c r="F66" s="82"/>
      <c r="G66" s="28"/>
      <c r="H66" s="28"/>
    </row>
    <row r="67" spans="1:8" ht="18.75" customHeight="1" x14ac:dyDescent="0.25">
      <c r="A67" s="7">
        <v>420</v>
      </c>
      <c r="B67" s="85">
        <v>6.0066000000000001E-2</v>
      </c>
      <c r="C67" s="83">
        <v>2945.1</v>
      </c>
      <c r="D67" s="83">
        <v>3245.4</v>
      </c>
      <c r="E67" s="82">
        <v>6.7195999999999998</v>
      </c>
      <c r="F67" s="82"/>
      <c r="G67" s="28"/>
      <c r="H67" s="28"/>
    </row>
    <row r="68" spans="1:8" ht="18.75" customHeight="1" x14ac:dyDescent="0.25">
      <c r="A68" s="7">
        <v>430</v>
      </c>
      <c r="B68" s="85">
        <v>6.1162000000000001E-2</v>
      </c>
      <c r="C68" s="83">
        <v>2963.7</v>
      </c>
      <c r="D68" s="83">
        <v>3269.5</v>
      </c>
      <c r="E68" s="82">
        <v>6.7541000000000002</v>
      </c>
      <c r="F68" s="82"/>
      <c r="G68" s="28"/>
      <c r="H68" s="28"/>
    </row>
    <row r="69" spans="1:8" ht="18.75" customHeight="1" x14ac:dyDescent="0.25">
      <c r="A69" s="7">
        <v>440</v>
      </c>
      <c r="B69" s="85">
        <v>6.2247999999999998E-2</v>
      </c>
      <c r="C69" s="83">
        <v>2982.2</v>
      </c>
      <c r="D69" s="83">
        <v>3293.4</v>
      </c>
      <c r="E69" s="82">
        <v>6.7878999999999996</v>
      </c>
      <c r="F69" s="82"/>
      <c r="G69" s="28"/>
      <c r="H69" s="28"/>
    </row>
    <row r="70" spans="1:8" ht="18.75" customHeight="1" x14ac:dyDescent="0.25">
      <c r="A70" s="7">
        <v>450</v>
      </c>
      <c r="B70" s="85">
        <v>6.3323000000000004E-2</v>
      </c>
      <c r="C70" s="83">
        <v>3000.6</v>
      </c>
      <c r="D70" s="83">
        <v>3317.2</v>
      </c>
      <c r="E70" s="82">
        <v>6.8209999999999997</v>
      </c>
      <c r="F70" s="82"/>
      <c r="G70" s="28"/>
      <c r="H70" s="28"/>
    </row>
    <row r="71" spans="1:8" ht="18.75" customHeight="1" x14ac:dyDescent="0.25">
      <c r="A71" s="7">
        <v>460</v>
      </c>
      <c r="B71" s="85">
        <v>6.4390000000000003E-2</v>
      </c>
      <c r="C71" s="83">
        <v>3018.9</v>
      </c>
      <c r="D71" s="83">
        <v>3340.9</v>
      </c>
      <c r="E71" s="82">
        <v>6.8535000000000004</v>
      </c>
      <c r="F71" s="82"/>
      <c r="G71" s="28"/>
      <c r="H71" s="28"/>
    </row>
    <row r="72" spans="1:8" ht="18.75" customHeight="1" x14ac:dyDescent="0.25">
      <c r="A72" s="7">
        <v>470</v>
      </c>
      <c r="B72" s="85">
        <v>6.5448999999999993E-2</v>
      </c>
      <c r="C72" s="83">
        <v>3037.2</v>
      </c>
      <c r="D72" s="83">
        <v>3364.4</v>
      </c>
      <c r="E72" s="82">
        <v>6.8853999999999997</v>
      </c>
      <c r="F72" s="82"/>
      <c r="G72" s="28"/>
      <c r="H72" s="28"/>
    </row>
    <row r="73" spans="1:8" ht="18.75" customHeight="1" x14ac:dyDescent="0.25">
      <c r="A73" s="7">
        <v>480</v>
      </c>
      <c r="B73" s="85">
        <v>6.6500000000000004E-2</v>
      </c>
      <c r="C73" s="83">
        <v>3055.4</v>
      </c>
      <c r="D73" s="83">
        <v>3387.9</v>
      </c>
      <c r="E73" s="82">
        <v>6.9168000000000003</v>
      </c>
      <c r="F73" s="82"/>
      <c r="G73" s="28"/>
      <c r="H73" s="28"/>
    </row>
    <row r="74" spans="1:8" ht="18.75" customHeight="1" x14ac:dyDescent="0.25">
      <c r="A74" s="7">
        <v>490</v>
      </c>
      <c r="B74" s="85">
        <v>6.7544999999999994E-2</v>
      </c>
      <c r="C74" s="83">
        <v>3073.6</v>
      </c>
      <c r="D74" s="83">
        <v>3411.3</v>
      </c>
      <c r="E74" s="82">
        <v>6.9477000000000002</v>
      </c>
      <c r="F74" s="82"/>
      <c r="G74" s="28"/>
      <c r="H74" s="28"/>
    </row>
    <row r="75" spans="1:8" ht="18.75" customHeight="1" x14ac:dyDescent="0.25">
      <c r="A75" s="7">
        <v>500</v>
      </c>
      <c r="B75" s="85">
        <v>6.8583000000000005E-2</v>
      </c>
      <c r="C75" s="83">
        <v>3091.8</v>
      </c>
      <c r="D75" s="83">
        <v>3434.7</v>
      </c>
      <c r="E75" s="82">
        <v>6.9781000000000004</v>
      </c>
      <c r="F75" s="82"/>
      <c r="G75" s="28"/>
      <c r="H75" s="28"/>
    </row>
    <row r="76" spans="1:8" ht="18.75" customHeight="1" x14ac:dyDescent="0.25">
      <c r="A76" s="7">
        <v>520</v>
      </c>
      <c r="B76" s="85">
        <v>7.0641999999999996E-2</v>
      </c>
      <c r="C76" s="83">
        <v>3128</v>
      </c>
      <c r="D76" s="83">
        <v>3481.2</v>
      </c>
      <c r="E76" s="82">
        <v>7.0374999999999996</v>
      </c>
      <c r="F76" s="82"/>
      <c r="G76" s="28"/>
      <c r="H76" s="28"/>
    </row>
    <row r="77" spans="1:8" ht="18.75" customHeight="1" x14ac:dyDescent="0.25">
      <c r="A77" s="7">
        <v>540</v>
      </c>
      <c r="B77" s="85">
        <v>7.2680999999999996E-2</v>
      </c>
      <c r="C77" s="83">
        <v>3164.3</v>
      </c>
      <c r="D77" s="83">
        <v>3527.7</v>
      </c>
      <c r="E77" s="82">
        <v>7.0953999999999997</v>
      </c>
      <c r="F77" s="82"/>
      <c r="G77" s="28"/>
      <c r="H77" s="28"/>
    </row>
    <row r="78" spans="1:8" ht="18.75" customHeight="1" x14ac:dyDescent="0.25">
      <c r="A78" s="7">
        <v>560</v>
      </c>
      <c r="B78" s="85">
        <v>7.4703000000000006E-2</v>
      </c>
      <c r="C78" s="83">
        <v>3200.6</v>
      </c>
      <c r="D78" s="83">
        <v>3574.1</v>
      </c>
      <c r="E78" s="82">
        <v>7.1516999999999999</v>
      </c>
      <c r="F78" s="82"/>
      <c r="G78" s="28"/>
      <c r="H78" s="28"/>
    </row>
    <row r="79" spans="1:8" ht="18.75" customHeight="1" x14ac:dyDescent="0.25">
      <c r="A79" s="7">
        <v>580</v>
      </c>
      <c r="B79" s="85">
        <v>7.671E-2</v>
      </c>
      <c r="C79" s="83">
        <v>3236.8</v>
      </c>
      <c r="D79" s="83">
        <v>3620.4</v>
      </c>
      <c r="E79" s="82">
        <v>7.2066999999999997</v>
      </c>
      <c r="F79" s="82"/>
      <c r="G79" s="28"/>
      <c r="H79" s="28"/>
    </row>
    <row r="80" spans="1:8" ht="18.75" customHeight="1" x14ac:dyDescent="0.25">
      <c r="A80" s="7">
        <v>600</v>
      </c>
      <c r="B80" s="85">
        <v>7.8703999999999996E-2</v>
      </c>
      <c r="C80" s="83">
        <v>3273.3</v>
      </c>
      <c r="D80" s="83">
        <v>3666.8</v>
      </c>
      <c r="E80" s="82">
        <v>7.2605000000000004</v>
      </c>
      <c r="F80" s="82"/>
      <c r="G80" s="28"/>
      <c r="H80" s="28"/>
    </row>
    <row r="81" spans="1:8" ht="18.75" customHeight="1" x14ac:dyDescent="0.25">
      <c r="A81" s="7">
        <v>620</v>
      </c>
      <c r="B81" s="85">
        <v>8.0685000000000007E-2</v>
      </c>
      <c r="C81" s="83">
        <v>3309.9</v>
      </c>
      <c r="D81" s="83">
        <v>3713.3</v>
      </c>
      <c r="E81" s="82">
        <v>7.3131000000000004</v>
      </c>
      <c r="F81" s="82"/>
      <c r="G81" s="28"/>
      <c r="H81" s="28"/>
    </row>
    <row r="82" spans="1:8" ht="18.75" customHeight="1" x14ac:dyDescent="0.25">
      <c r="A82" s="7">
        <v>640</v>
      </c>
      <c r="B82" s="85">
        <v>8.2656999999999994E-2</v>
      </c>
      <c r="C82" s="83">
        <v>3346.6</v>
      </c>
      <c r="D82" s="83">
        <v>3759.9</v>
      </c>
      <c r="E82" s="82">
        <v>7.3647</v>
      </c>
      <c r="F82" s="82"/>
      <c r="G82" s="28"/>
      <c r="H82" s="28"/>
    </row>
    <row r="83" spans="1:8" ht="18.75" customHeight="1" x14ac:dyDescent="0.25">
      <c r="A83" s="7">
        <v>660</v>
      </c>
      <c r="B83" s="85">
        <v>8.4619E-2</v>
      </c>
      <c r="C83" s="83">
        <v>3383.4</v>
      </c>
      <c r="D83" s="83">
        <v>3806.5</v>
      </c>
      <c r="E83" s="82">
        <v>7.4151999999999996</v>
      </c>
      <c r="F83" s="82"/>
      <c r="G83" s="28"/>
      <c r="H83" s="28"/>
    </row>
    <row r="84" spans="1:8" ht="18.75" customHeight="1" x14ac:dyDescent="0.25">
      <c r="A84" s="7">
        <v>680</v>
      </c>
      <c r="B84" s="85">
        <v>8.6571999999999996E-2</v>
      </c>
      <c r="C84" s="83">
        <v>3420.4</v>
      </c>
      <c r="D84" s="83">
        <v>3853.3</v>
      </c>
      <c r="E84" s="82">
        <v>7.4649000000000001</v>
      </c>
      <c r="F84" s="82"/>
      <c r="G84" s="28"/>
      <c r="H84" s="28"/>
    </row>
    <row r="85" spans="1:8" ht="18.75" customHeight="1" x14ac:dyDescent="0.25">
      <c r="A85" s="7">
        <v>700</v>
      </c>
      <c r="B85" s="85">
        <v>8.8517999999999999E-2</v>
      </c>
      <c r="C85" s="83">
        <v>3457.7</v>
      </c>
      <c r="D85" s="83">
        <v>3900.3</v>
      </c>
      <c r="E85" s="82">
        <v>7.5136000000000003</v>
      </c>
      <c r="F85" s="82"/>
      <c r="G85" s="28"/>
      <c r="H85" s="28"/>
    </row>
    <row r="86" spans="1:8" ht="18.75" customHeight="1" x14ac:dyDescent="0.25">
      <c r="A86" s="7">
        <v>720</v>
      </c>
      <c r="B86" s="85">
        <v>9.0456999999999996E-2</v>
      </c>
      <c r="C86" s="83">
        <v>3495.1</v>
      </c>
      <c r="D86" s="83">
        <v>3947.4</v>
      </c>
      <c r="E86" s="82">
        <v>7.5614999999999997</v>
      </c>
      <c r="F86" s="82"/>
      <c r="G86" s="28"/>
      <c r="H86" s="28"/>
    </row>
    <row r="87" spans="1:8" ht="18.75" customHeight="1" x14ac:dyDescent="0.25">
      <c r="A87" s="7">
        <v>740</v>
      </c>
      <c r="B87" s="85">
        <v>9.239E-2</v>
      </c>
      <c r="C87" s="83">
        <v>3532.8</v>
      </c>
      <c r="D87" s="83">
        <v>3994.7</v>
      </c>
      <c r="E87" s="82">
        <v>7.6086999999999998</v>
      </c>
      <c r="F87" s="82"/>
      <c r="G87" s="28"/>
      <c r="H87" s="28"/>
    </row>
    <row r="88" spans="1:8" ht="18.75" customHeight="1" x14ac:dyDescent="0.25">
      <c r="A88" s="7">
        <v>760</v>
      </c>
      <c r="B88" s="85">
        <v>9.4317999999999999E-2</v>
      </c>
      <c r="C88" s="83">
        <v>3570.6</v>
      </c>
      <c r="D88" s="83">
        <v>4042.2</v>
      </c>
      <c r="E88" s="82">
        <v>7.6551</v>
      </c>
      <c r="F88" s="82"/>
      <c r="G88" s="28"/>
      <c r="H88" s="28"/>
    </row>
    <row r="89" spans="1:8" ht="18.75" customHeight="1" x14ac:dyDescent="0.25">
      <c r="A89" s="7">
        <v>780</v>
      </c>
      <c r="B89" s="85">
        <v>9.6240000000000006E-2</v>
      </c>
      <c r="C89" s="83">
        <v>3608.6</v>
      </c>
      <c r="D89" s="83">
        <v>4089.8</v>
      </c>
      <c r="E89" s="82">
        <v>7.7008000000000001</v>
      </c>
      <c r="F89" s="82"/>
      <c r="G89" s="28"/>
      <c r="H89" s="28"/>
    </row>
    <row r="90" spans="1:8" ht="18.75" customHeight="1" x14ac:dyDescent="0.25">
      <c r="A90" s="7">
        <v>800</v>
      </c>
      <c r="B90" s="85">
        <v>9.8157999999999995E-2</v>
      </c>
      <c r="C90" s="83">
        <v>3646.9</v>
      </c>
      <c r="D90" s="83">
        <v>4137.7</v>
      </c>
      <c r="E90" s="82">
        <v>7.7458</v>
      </c>
      <c r="F90" s="82"/>
      <c r="G90" s="28"/>
      <c r="H90" s="28"/>
    </row>
    <row r="91" spans="1:8" ht="18.75" customHeight="1" x14ac:dyDescent="0.25">
      <c r="A91" s="7">
        <v>820</v>
      </c>
      <c r="B91" s="81">
        <v>0.10007000000000001</v>
      </c>
      <c r="C91" s="83">
        <v>3685.4</v>
      </c>
      <c r="D91" s="83">
        <v>4185.8</v>
      </c>
      <c r="E91" s="82">
        <v>7.7901999999999996</v>
      </c>
      <c r="F91" s="82"/>
      <c r="G91" s="28"/>
      <c r="H91" s="28"/>
    </row>
    <row r="92" spans="1:8" ht="18.75" customHeight="1" x14ac:dyDescent="0.25">
      <c r="A92" s="7">
        <v>840</v>
      </c>
      <c r="B92" s="81">
        <v>0.10198</v>
      </c>
      <c r="C92" s="83">
        <v>3724.2</v>
      </c>
      <c r="D92" s="83">
        <v>4234.1000000000004</v>
      </c>
      <c r="E92" s="82">
        <v>7.8339999999999996</v>
      </c>
      <c r="F92" s="82"/>
      <c r="G92" s="28"/>
      <c r="H92" s="28"/>
    </row>
    <row r="93" spans="1:8" ht="18.75" customHeight="1" x14ac:dyDescent="0.25">
      <c r="A93" s="7">
        <v>860</v>
      </c>
      <c r="B93" s="81">
        <v>0.10389</v>
      </c>
      <c r="C93" s="83">
        <v>3763.2</v>
      </c>
      <c r="D93" s="83">
        <v>4282.6000000000004</v>
      </c>
      <c r="E93" s="82">
        <v>7.8771000000000004</v>
      </c>
      <c r="F93" s="82"/>
      <c r="G93" s="28"/>
      <c r="H93" s="28"/>
    </row>
    <row r="94" spans="1:8" ht="18.75" customHeight="1" x14ac:dyDescent="0.25">
      <c r="A94" s="7">
        <v>880</v>
      </c>
      <c r="B94" s="81">
        <v>0.10579</v>
      </c>
      <c r="C94" s="83">
        <v>3802.3</v>
      </c>
      <c r="D94" s="83">
        <v>4331.3</v>
      </c>
      <c r="E94" s="82">
        <v>7.9198000000000004</v>
      </c>
      <c r="F94" s="82"/>
      <c r="G94" s="28"/>
      <c r="H94" s="28"/>
    </row>
    <row r="95" spans="1:8" ht="18.75" customHeight="1" x14ac:dyDescent="0.25">
      <c r="A95" s="7">
        <v>900</v>
      </c>
      <c r="B95" s="81">
        <v>0.10768999999999999</v>
      </c>
      <c r="C95" s="83">
        <v>3841.8</v>
      </c>
      <c r="D95" s="83">
        <v>4380.2</v>
      </c>
      <c r="E95" s="82">
        <v>7.9618000000000002</v>
      </c>
      <c r="F95" s="82"/>
      <c r="G95" s="28"/>
      <c r="H95" s="28"/>
    </row>
    <row r="96" spans="1:8" ht="18.75" customHeight="1" x14ac:dyDescent="0.25">
      <c r="A96" s="7">
        <v>920</v>
      </c>
      <c r="B96" s="81">
        <v>0.10958</v>
      </c>
      <c r="C96" s="83">
        <v>3881.5</v>
      </c>
      <c r="D96" s="83">
        <v>4429.3999999999996</v>
      </c>
      <c r="E96" s="82">
        <v>8.0033999999999992</v>
      </c>
      <c r="F96" s="82"/>
      <c r="G96" s="28"/>
      <c r="H96" s="28"/>
    </row>
    <row r="97" spans="1:8" ht="18.75" customHeight="1" x14ac:dyDescent="0.25">
      <c r="A97" s="7">
        <v>940</v>
      </c>
      <c r="B97" s="81">
        <v>0.11148</v>
      </c>
      <c r="C97" s="83">
        <v>3921.4</v>
      </c>
      <c r="D97" s="83">
        <v>4478.8</v>
      </c>
      <c r="E97" s="82">
        <v>8.0444999999999993</v>
      </c>
      <c r="F97" s="82"/>
      <c r="G97" s="28"/>
      <c r="H97" s="28"/>
    </row>
    <row r="98" spans="1:8" ht="18.75" customHeight="1" x14ac:dyDescent="0.25">
      <c r="A98" s="7">
        <v>960</v>
      </c>
      <c r="B98" s="81">
        <v>0.11337</v>
      </c>
      <c r="C98" s="83">
        <v>3961.5</v>
      </c>
      <c r="D98" s="83">
        <v>4528.3999999999996</v>
      </c>
      <c r="E98" s="82">
        <v>8.0850000000000009</v>
      </c>
      <c r="F98" s="82"/>
      <c r="G98" s="28"/>
      <c r="H98" s="28"/>
    </row>
    <row r="99" spans="1:8" ht="18.75" customHeight="1" x14ac:dyDescent="0.25">
      <c r="A99" s="7">
        <v>980</v>
      </c>
      <c r="B99" s="81">
        <v>0.11526</v>
      </c>
      <c r="C99" s="83">
        <v>4002</v>
      </c>
      <c r="D99" s="83">
        <v>4578.3</v>
      </c>
      <c r="E99" s="82">
        <v>8.1250999999999998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0.11715</v>
      </c>
      <c r="C100" s="83">
        <v>4042.5</v>
      </c>
      <c r="D100" s="83">
        <v>4628.3</v>
      </c>
      <c r="E100" s="82">
        <v>8.1647999999999996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H100"/>
  <sheetViews>
    <sheetView topLeftCell="A39" workbookViewId="0">
      <selection activeCell="A52" sqref="A52:XFD52"/>
    </sheetView>
  </sheetViews>
  <sheetFormatPr defaultRowHeight="13.2" x14ac:dyDescent="0.25"/>
  <cols>
    <col min="1" max="1" width="9" customWidth="1"/>
    <col min="2" max="2" width="11" customWidth="1"/>
    <col min="3" max="3" width="7.88671875" customWidth="1"/>
    <col min="4" max="4" width="7.6640625" customWidth="1"/>
    <col min="5" max="5" width="7.5546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82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5500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9.974300000000001E-4</v>
      </c>
      <c r="C5" s="80">
        <v>0.05</v>
      </c>
      <c r="D5" s="80">
        <v>5.54</v>
      </c>
      <c r="E5" s="81">
        <v>1.6000000000000001E-4</v>
      </c>
      <c r="F5" s="81"/>
      <c r="G5" s="28"/>
      <c r="H5" s="28"/>
    </row>
    <row r="6" spans="1:8" ht="18.75" customHeight="1" x14ac:dyDescent="0.25">
      <c r="A6" s="7">
        <v>5</v>
      </c>
      <c r="B6" s="79">
        <v>9.9740000000000007E-4</v>
      </c>
      <c r="C6" s="80">
        <v>20.99</v>
      </c>
      <c r="D6" s="80">
        <v>26.48</v>
      </c>
      <c r="E6" s="81">
        <v>7.6119999999999993E-2</v>
      </c>
      <c r="F6" s="81"/>
      <c r="G6" s="28"/>
      <c r="H6" s="28"/>
    </row>
    <row r="7" spans="1:8" ht="18.75" customHeight="1" x14ac:dyDescent="0.25">
      <c r="A7" s="7">
        <v>10</v>
      </c>
      <c r="B7" s="79">
        <v>9.9774E-4</v>
      </c>
      <c r="C7" s="80">
        <v>41.88</v>
      </c>
      <c r="D7" s="80">
        <v>47.37</v>
      </c>
      <c r="E7" s="81">
        <v>0.15057000000000001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9.9839000000000004E-4</v>
      </c>
      <c r="C8" s="80">
        <v>62.74</v>
      </c>
      <c r="D8" s="80">
        <v>68.23</v>
      </c>
      <c r="E8" s="81">
        <v>0.22361</v>
      </c>
      <c r="F8" s="81"/>
      <c r="G8" s="28"/>
      <c r="H8" s="28"/>
    </row>
    <row r="9" spans="1:8" ht="18.75" customHeight="1" x14ac:dyDescent="0.25">
      <c r="A9" s="7">
        <v>20</v>
      </c>
      <c r="B9" s="79">
        <v>9.993300000000001E-4</v>
      </c>
      <c r="C9" s="80">
        <v>83.58</v>
      </c>
      <c r="D9" s="80">
        <v>89.08</v>
      </c>
      <c r="E9" s="81">
        <v>0.29532000000000003</v>
      </c>
      <c r="F9" s="81"/>
      <c r="G9" s="28"/>
      <c r="H9" s="28"/>
    </row>
    <row r="10" spans="1:8" ht="18.75" customHeight="1" x14ac:dyDescent="0.25">
      <c r="A10" s="7">
        <v>25</v>
      </c>
      <c r="B10" s="79">
        <v>1.0005299999999999E-3</v>
      </c>
      <c r="C10" s="80">
        <v>104.41</v>
      </c>
      <c r="D10" s="80">
        <v>109.91</v>
      </c>
      <c r="E10" s="81">
        <v>0.36579</v>
      </c>
      <c r="F10" s="81"/>
      <c r="G10" s="28"/>
      <c r="H10" s="28"/>
    </row>
    <row r="11" spans="1:8" ht="18.75" customHeight="1" x14ac:dyDescent="0.25">
      <c r="A11" s="7">
        <v>30</v>
      </c>
      <c r="B11" s="79">
        <v>1.0019600000000001E-3</v>
      </c>
      <c r="C11" s="80">
        <v>125.23</v>
      </c>
      <c r="D11" s="80">
        <v>130.74</v>
      </c>
      <c r="E11" s="81">
        <v>0.43507000000000001</v>
      </c>
      <c r="F11" s="81"/>
      <c r="G11" s="28"/>
      <c r="H11" s="28"/>
    </row>
    <row r="12" spans="1:8" ht="18.75" customHeight="1" x14ac:dyDescent="0.25">
      <c r="A12" s="7">
        <v>35</v>
      </c>
      <c r="B12" s="79">
        <v>1.00361E-3</v>
      </c>
      <c r="C12" s="80">
        <v>146.04</v>
      </c>
      <c r="D12" s="80">
        <v>151.56</v>
      </c>
      <c r="E12" s="81">
        <v>0.50321000000000005</v>
      </c>
      <c r="F12" s="81"/>
      <c r="G12" s="28"/>
      <c r="H12" s="28"/>
    </row>
    <row r="13" spans="1:8" ht="18.75" customHeight="1" x14ac:dyDescent="0.25">
      <c r="A13" s="7">
        <v>40</v>
      </c>
      <c r="B13" s="79">
        <v>1.0054599999999999E-3</v>
      </c>
      <c r="C13" s="80">
        <v>166.86</v>
      </c>
      <c r="D13" s="80">
        <v>172.39</v>
      </c>
      <c r="E13" s="81">
        <v>0.57027000000000005</v>
      </c>
      <c r="F13" s="81"/>
      <c r="G13" s="28"/>
      <c r="H13" s="28"/>
    </row>
    <row r="14" spans="1:8" ht="18.75" customHeight="1" x14ac:dyDescent="0.25">
      <c r="A14" s="7">
        <v>45</v>
      </c>
      <c r="B14" s="79">
        <v>1.0074999999999999E-3</v>
      </c>
      <c r="C14" s="80">
        <v>187.69</v>
      </c>
      <c r="D14" s="80">
        <v>193.23</v>
      </c>
      <c r="E14" s="81">
        <v>0.63627</v>
      </c>
      <c r="F14" s="81"/>
      <c r="G14" s="28"/>
      <c r="H14" s="28"/>
    </row>
    <row r="15" spans="1:8" ht="18.75" customHeight="1" x14ac:dyDescent="0.25">
      <c r="A15" s="7">
        <v>50</v>
      </c>
      <c r="B15" s="79">
        <v>1.00972E-3</v>
      </c>
      <c r="C15" s="80">
        <v>208.52</v>
      </c>
      <c r="D15" s="80">
        <v>214.07</v>
      </c>
      <c r="E15" s="81">
        <v>0.70126999999999995</v>
      </c>
      <c r="F15" s="81"/>
      <c r="G15" s="28"/>
      <c r="H15" s="28"/>
    </row>
    <row r="16" spans="1:8" ht="18.75" customHeight="1" x14ac:dyDescent="0.25">
      <c r="A16" s="7">
        <v>55</v>
      </c>
      <c r="B16" s="79">
        <v>1.0121100000000001E-3</v>
      </c>
      <c r="C16" s="80">
        <v>229.35</v>
      </c>
      <c r="D16" s="80">
        <v>234.92</v>
      </c>
      <c r="E16" s="81">
        <v>0.76529999999999998</v>
      </c>
      <c r="F16" s="81"/>
      <c r="G16" s="28"/>
      <c r="H16" s="28"/>
    </row>
    <row r="17" spans="1:8" ht="18.75" customHeight="1" x14ac:dyDescent="0.25">
      <c r="A17" s="7">
        <v>60</v>
      </c>
      <c r="B17" s="79">
        <v>1.0146700000000001E-3</v>
      </c>
      <c r="C17" s="80">
        <v>250.2</v>
      </c>
      <c r="D17" s="80">
        <v>255.78</v>
      </c>
      <c r="E17" s="81">
        <v>0.82838999999999996</v>
      </c>
      <c r="F17" s="81"/>
      <c r="G17" s="28"/>
      <c r="H17" s="28"/>
    </row>
    <row r="18" spans="1:8" ht="18.75" customHeight="1" x14ac:dyDescent="0.25">
      <c r="A18" s="7">
        <v>65</v>
      </c>
      <c r="B18" s="79">
        <v>1.01739E-3</v>
      </c>
      <c r="C18" s="80">
        <v>271.05</v>
      </c>
      <c r="D18" s="80">
        <v>276.64999999999998</v>
      </c>
      <c r="E18" s="81">
        <v>0.89056999999999997</v>
      </c>
      <c r="F18" s="81"/>
      <c r="G18" s="28"/>
      <c r="H18" s="28"/>
    </row>
    <row r="19" spans="1:8" ht="18.75" customHeight="1" x14ac:dyDescent="0.25">
      <c r="A19" s="7">
        <v>70</v>
      </c>
      <c r="B19" s="79">
        <v>1.02027E-3</v>
      </c>
      <c r="C19" s="80">
        <v>291.93</v>
      </c>
      <c r="D19" s="80">
        <v>297.54000000000002</v>
      </c>
      <c r="E19" s="81">
        <v>0.95187999999999995</v>
      </c>
      <c r="F19" s="81"/>
      <c r="G19" s="28"/>
      <c r="H19" s="28"/>
    </row>
    <row r="20" spans="1:8" ht="18.75" customHeight="1" x14ac:dyDescent="0.25">
      <c r="A20" s="7">
        <v>75</v>
      </c>
      <c r="B20" s="79">
        <v>1.0233E-3</v>
      </c>
      <c r="C20" s="80">
        <v>312.81</v>
      </c>
      <c r="D20" s="80">
        <v>318.44</v>
      </c>
      <c r="E20" s="82">
        <v>1.0123</v>
      </c>
      <c r="F20" s="82"/>
      <c r="G20" s="28"/>
      <c r="H20" s="28"/>
    </row>
    <row r="21" spans="1:8" ht="18.75" customHeight="1" x14ac:dyDescent="0.25">
      <c r="A21" s="7">
        <v>80</v>
      </c>
      <c r="B21" s="79">
        <v>1.0264899999999999E-3</v>
      </c>
      <c r="C21" s="80">
        <v>333.7</v>
      </c>
      <c r="D21" s="80">
        <v>339.35</v>
      </c>
      <c r="E21" s="82">
        <v>1.0720000000000001</v>
      </c>
      <c r="F21" s="82"/>
      <c r="G21" s="28"/>
      <c r="H21" s="28"/>
    </row>
    <row r="22" spans="1:8" ht="18.75" customHeight="1" x14ac:dyDescent="0.25">
      <c r="A22" s="7">
        <v>85</v>
      </c>
      <c r="B22" s="79">
        <v>1.0298200000000001E-3</v>
      </c>
      <c r="C22" s="80">
        <v>354.63</v>
      </c>
      <c r="D22" s="80">
        <v>360.29</v>
      </c>
      <c r="E22" s="82">
        <v>1.1309</v>
      </c>
      <c r="F22" s="82"/>
      <c r="G22" s="28"/>
      <c r="H22" s="28"/>
    </row>
    <row r="23" spans="1:8" ht="18.75" customHeight="1" x14ac:dyDescent="0.25">
      <c r="A23" s="7">
        <v>90</v>
      </c>
      <c r="B23" s="79">
        <v>1.03331E-3</v>
      </c>
      <c r="C23" s="80">
        <v>375.56</v>
      </c>
      <c r="D23" s="80">
        <v>381.24</v>
      </c>
      <c r="E23" s="82">
        <v>1.1890000000000001</v>
      </c>
      <c r="F23" s="82"/>
      <c r="G23" s="28"/>
      <c r="H23" s="28"/>
    </row>
    <row r="24" spans="1:8" ht="18.75" customHeight="1" x14ac:dyDescent="0.25">
      <c r="A24" s="7">
        <v>95</v>
      </c>
      <c r="B24" s="79">
        <v>1.0369400000000001E-3</v>
      </c>
      <c r="C24" s="80">
        <v>396.52</v>
      </c>
      <c r="D24" s="80">
        <v>402.22</v>
      </c>
      <c r="E24" s="82">
        <v>1.2463</v>
      </c>
      <c r="F24" s="82"/>
      <c r="G24" s="28"/>
      <c r="H24" s="28"/>
    </row>
    <row r="25" spans="1:8" ht="18.75" customHeight="1" x14ac:dyDescent="0.25">
      <c r="A25" s="7">
        <v>100</v>
      </c>
      <c r="B25" s="79">
        <v>1.0407299999999999E-3</v>
      </c>
      <c r="C25" s="80">
        <v>417.51</v>
      </c>
      <c r="D25" s="80">
        <v>423.23</v>
      </c>
      <c r="E25" s="82">
        <v>1.3029999999999999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1.04466E-3</v>
      </c>
      <c r="C26" s="80">
        <v>438.51</v>
      </c>
      <c r="D26" s="80">
        <v>444.26</v>
      </c>
      <c r="E26" s="82">
        <v>1.359</v>
      </c>
      <c r="F26" s="82"/>
      <c r="G26" s="28"/>
      <c r="H26" s="28"/>
    </row>
    <row r="27" spans="1:8" ht="18.75" customHeight="1" x14ac:dyDescent="0.25">
      <c r="A27" s="7">
        <v>110</v>
      </c>
      <c r="B27" s="79">
        <v>1.04875E-3</v>
      </c>
      <c r="C27" s="80">
        <v>459.55</v>
      </c>
      <c r="D27" s="80">
        <v>465.32</v>
      </c>
      <c r="E27" s="82">
        <v>1.4142999999999999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1.05298E-3</v>
      </c>
      <c r="C28" s="80">
        <v>480.62</v>
      </c>
      <c r="D28" s="80">
        <v>486.41</v>
      </c>
      <c r="E28" s="82">
        <v>1.4690000000000001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1.05737E-3</v>
      </c>
      <c r="C29" s="80">
        <v>501.73</v>
      </c>
      <c r="D29" s="80">
        <v>507.55</v>
      </c>
      <c r="E29" s="82">
        <v>1.5230999999999999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1.0619200000000001E-3</v>
      </c>
      <c r="C30" s="80">
        <v>522.88</v>
      </c>
      <c r="D30" s="80">
        <v>528.72</v>
      </c>
      <c r="E30" s="82">
        <v>1.5766</v>
      </c>
      <c r="F30" s="82"/>
      <c r="G30" s="28"/>
      <c r="H30" s="28"/>
    </row>
    <row r="31" spans="1:8" ht="18.75" customHeight="1" x14ac:dyDescent="0.25">
      <c r="A31" s="7">
        <v>130</v>
      </c>
      <c r="B31" s="79">
        <v>1.0666300000000001E-3</v>
      </c>
      <c r="C31" s="80">
        <v>544.05999999999995</v>
      </c>
      <c r="D31" s="80">
        <v>549.92999999999995</v>
      </c>
      <c r="E31" s="82">
        <v>1.6295999999999999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1.0715E-3</v>
      </c>
      <c r="C32" s="80">
        <v>565.29999999999995</v>
      </c>
      <c r="D32" s="80">
        <v>571.19000000000005</v>
      </c>
      <c r="E32" s="82">
        <v>1.6819999999999999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1.07654E-3</v>
      </c>
      <c r="C33" s="80">
        <v>586.58000000000004</v>
      </c>
      <c r="D33" s="80">
        <v>592.5</v>
      </c>
      <c r="E33" s="82">
        <v>1.7339</v>
      </c>
      <c r="F33" s="82"/>
      <c r="G33" s="28"/>
      <c r="H33" s="28"/>
    </row>
    <row r="34" spans="1:8" ht="18.75" customHeight="1" x14ac:dyDescent="0.25">
      <c r="A34" s="7">
        <v>145</v>
      </c>
      <c r="B34" s="79">
        <v>1.08176E-3</v>
      </c>
      <c r="C34" s="80">
        <v>607.91999999999996</v>
      </c>
      <c r="D34" s="80">
        <v>613.87</v>
      </c>
      <c r="E34" s="82">
        <v>1.7853000000000001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1.0871500000000001E-3</v>
      </c>
      <c r="C35" s="80">
        <v>629.30999999999995</v>
      </c>
      <c r="D35" s="80">
        <v>635.29</v>
      </c>
      <c r="E35" s="82">
        <v>1.8362000000000001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1.0927300000000001E-3</v>
      </c>
      <c r="C36" s="80">
        <v>650.77</v>
      </c>
      <c r="D36" s="80">
        <v>656.78</v>
      </c>
      <c r="E36" s="82">
        <v>1.8867</v>
      </c>
      <c r="F36" s="82"/>
      <c r="G36" s="28"/>
      <c r="H36" s="28"/>
    </row>
    <row r="37" spans="1:8" ht="18.75" customHeight="1" x14ac:dyDescent="0.25">
      <c r="A37" s="7">
        <v>160</v>
      </c>
      <c r="B37" s="79">
        <v>1.0984899999999999E-3</v>
      </c>
      <c r="C37" s="80">
        <v>672.3</v>
      </c>
      <c r="D37" s="80">
        <v>678.34</v>
      </c>
      <c r="E37" s="82">
        <v>1.9368000000000001</v>
      </c>
      <c r="F37" s="82"/>
      <c r="G37" s="28"/>
      <c r="H37" s="28"/>
    </row>
    <row r="38" spans="1:8" ht="18.75" customHeight="1" x14ac:dyDescent="0.25">
      <c r="A38" s="7">
        <v>165</v>
      </c>
      <c r="B38" s="79">
        <v>1.10446E-3</v>
      </c>
      <c r="C38" s="80">
        <v>693.9</v>
      </c>
      <c r="D38" s="80">
        <v>699.97</v>
      </c>
      <c r="E38" s="82">
        <v>1.9863999999999999</v>
      </c>
      <c r="F38" s="82"/>
      <c r="G38" s="28"/>
      <c r="H38" s="28"/>
    </row>
    <row r="39" spans="1:8" ht="18.75" customHeight="1" x14ac:dyDescent="0.25">
      <c r="A39" s="7">
        <v>170</v>
      </c>
      <c r="B39" s="79">
        <v>1.11063E-3</v>
      </c>
      <c r="C39" s="80">
        <v>715.56</v>
      </c>
      <c r="D39" s="80">
        <v>721.67</v>
      </c>
      <c r="E39" s="82">
        <v>2.0356999999999998</v>
      </c>
      <c r="F39" s="82"/>
      <c r="G39" s="28"/>
      <c r="H39" s="28"/>
    </row>
    <row r="40" spans="1:8" ht="18.75" customHeight="1" x14ac:dyDescent="0.25">
      <c r="A40" s="7">
        <v>175</v>
      </c>
      <c r="B40" s="79">
        <v>1.1170100000000001E-3</v>
      </c>
      <c r="C40" s="80">
        <v>737.32</v>
      </c>
      <c r="D40" s="80">
        <v>743.46</v>
      </c>
      <c r="E40" s="82">
        <v>2.0846</v>
      </c>
      <c r="F40" s="82"/>
      <c r="G40" s="28"/>
      <c r="H40" s="28"/>
    </row>
    <row r="41" spans="1:8" ht="18.75" customHeight="1" x14ac:dyDescent="0.25">
      <c r="A41" s="7">
        <v>180</v>
      </c>
      <c r="B41" s="79">
        <v>1.12363E-3</v>
      </c>
      <c r="C41" s="80">
        <v>759.16</v>
      </c>
      <c r="D41" s="80">
        <v>765.34</v>
      </c>
      <c r="E41" s="82">
        <v>2.1331000000000002</v>
      </c>
      <c r="F41" s="82"/>
      <c r="G41" s="28"/>
      <c r="H41" s="28"/>
    </row>
    <row r="42" spans="1:8" ht="18.75" customHeight="1" x14ac:dyDescent="0.25">
      <c r="A42" s="7">
        <v>185</v>
      </c>
      <c r="B42" s="79">
        <v>1.13047E-3</v>
      </c>
      <c r="C42" s="80">
        <v>781.1</v>
      </c>
      <c r="D42" s="80">
        <v>787.32</v>
      </c>
      <c r="E42" s="82">
        <v>2.1814</v>
      </c>
      <c r="F42" s="82"/>
      <c r="G42" s="28"/>
      <c r="H42" s="28"/>
    </row>
    <row r="43" spans="1:8" ht="18.75" customHeight="1" x14ac:dyDescent="0.25">
      <c r="A43" s="7">
        <v>190</v>
      </c>
      <c r="B43" s="79">
        <v>1.1375700000000001E-3</v>
      </c>
      <c r="C43" s="80">
        <v>803.13</v>
      </c>
      <c r="D43" s="80">
        <v>809.39</v>
      </c>
      <c r="E43" s="82">
        <v>2.2292999999999998</v>
      </c>
      <c r="F43" s="82"/>
      <c r="G43" s="28"/>
      <c r="H43" s="28"/>
    </row>
    <row r="44" spans="1:8" ht="18.75" customHeight="1" x14ac:dyDescent="0.25">
      <c r="A44" s="7">
        <v>195</v>
      </c>
      <c r="B44" s="79">
        <v>1.1449299999999999E-3</v>
      </c>
      <c r="C44" s="80">
        <v>825.28</v>
      </c>
      <c r="D44" s="80">
        <v>831.58</v>
      </c>
      <c r="E44" s="82">
        <v>2.2768999999999999</v>
      </c>
      <c r="F44" s="82"/>
      <c r="G44" s="28"/>
      <c r="H44" s="28"/>
    </row>
    <row r="45" spans="1:8" ht="18.75" customHeight="1" x14ac:dyDescent="0.25">
      <c r="A45" s="7">
        <v>200</v>
      </c>
      <c r="B45" s="79">
        <v>1.15256E-3</v>
      </c>
      <c r="C45" s="80">
        <v>847.55</v>
      </c>
      <c r="D45" s="80">
        <v>853.89</v>
      </c>
      <c r="E45" s="82">
        <v>2.3243</v>
      </c>
      <c r="F45" s="82"/>
      <c r="G45" s="28"/>
      <c r="H45" s="28"/>
    </row>
    <row r="46" spans="1:8" ht="18.75" customHeight="1" x14ac:dyDescent="0.25">
      <c r="A46" s="7">
        <v>210</v>
      </c>
      <c r="B46" s="79">
        <v>1.16873E-3</v>
      </c>
      <c r="C46" s="80">
        <v>892.45</v>
      </c>
      <c r="D46" s="80">
        <v>898.88</v>
      </c>
      <c r="E46" s="82">
        <v>2.4184000000000001</v>
      </c>
      <c r="F46" s="82"/>
      <c r="G46" s="28"/>
      <c r="H46" s="28"/>
    </row>
    <row r="47" spans="1:8" ht="18.75" customHeight="1" x14ac:dyDescent="0.25">
      <c r="A47" s="7">
        <v>220</v>
      </c>
      <c r="B47" s="79">
        <v>1.1862299999999999E-3</v>
      </c>
      <c r="C47" s="80">
        <v>937.94</v>
      </c>
      <c r="D47" s="80">
        <v>944.46</v>
      </c>
      <c r="E47" s="82">
        <v>2.5118</v>
      </c>
      <c r="F47" s="82"/>
      <c r="G47" s="28"/>
      <c r="H47" s="28"/>
    </row>
    <row r="48" spans="1:8" ht="18.75" customHeight="1" x14ac:dyDescent="0.25">
      <c r="A48" s="7">
        <v>230</v>
      </c>
      <c r="B48" s="79">
        <v>1.2052499999999999E-3</v>
      </c>
      <c r="C48" s="80">
        <v>984.09</v>
      </c>
      <c r="D48" s="80">
        <v>990.72</v>
      </c>
      <c r="E48" s="82">
        <v>2.6046999999999998</v>
      </c>
      <c r="F48" s="82"/>
      <c r="G48" s="28"/>
      <c r="H48" s="28"/>
    </row>
    <row r="49" spans="1:8" ht="18.75" customHeight="1" x14ac:dyDescent="0.25">
      <c r="A49" s="7">
        <v>240</v>
      </c>
      <c r="B49" s="79">
        <v>1.22606E-3</v>
      </c>
      <c r="C49" s="83">
        <v>1031.0999999999999</v>
      </c>
      <c r="D49" s="83">
        <v>1037.8</v>
      </c>
      <c r="E49" s="82">
        <v>2.6972</v>
      </c>
      <c r="F49" s="82"/>
      <c r="G49" s="28"/>
      <c r="H49" s="28"/>
    </row>
    <row r="50" spans="1:8" ht="18.75" customHeight="1" x14ac:dyDescent="0.25">
      <c r="A50" s="7">
        <v>250</v>
      </c>
      <c r="B50" s="79">
        <v>1.2489700000000001E-3</v>
      </c>
      <c r="C50" s="83">
        <v>1078.8</v>
      </c>
      <c r="D50" s="83">
        <v>1085.7</v>
      </c>
      <c r="E50" s="82">
        <v>2.7898000000000001</v>
      </c>
      <c r="F50" s="82"/>
      <c r="G50" s="28"/>
      <c r="H50" s="28"/>
    </row>
    <row r="51" spans="1:8" ht="18.75" customHeight="1" x14ac:dyDescent="0.25">
      <c r="A51" s="7">
        <v>260</v>
      </c>
      <c r="B51" s="79">
        <v>1.2744200000000001E-3</v>
      </c>
      <c r="C51" s="83">
        <v>1127.8</v>
      </c>
      <c r="D51" s="83">
        <v>1134.8</v>
      </c>
      <c r="E51" s="82">
        <v>2.8828</v>
      </c>
      <c r="F51" s="82"/>
      <c r="G51" s="28"/>
      <c r="H51" s="28"/>
    </row>
    <row r="52" spans="1:8" ht="18.75" customHeight="1" x14ac:dyDescent="0.25">
      <c r="A52" s="7">
        <v>270</v>
      </c>
      <c r="B52" s="85">
        <v>3.5647999999999999E-2</v>
      </c>
      <c r="C52" s="83">
        <v>2593.8000000000002</v>
      </c>
      <c r="D52" s="83">
        <v>2789.9</v>
      </c>
      <c r="E52" s="82">
        <v>5.931</v>
      </c>
      <c r="F52" s="82"/>
      <c r="G52" s="28"/>
      <c r="H52" s="28"/>
    </row>
    <row r="53" spans="1:8" ht="18.75" customHeight="1" x14ac:dyDescent="0.25">
      <c r="A53" s="7">
        <v>280</v>
      </c>
      <c r="B53" s="85">
        <v>3.7366999999999997E-2</v>
      </c>
      <c r="C53" s="83">
        <v>2627.4</v>
      </c>
      <c r="D53" s="83">
        <v>2832.9</v>
      </c>
      <c r="E53" s="82">
        <v>6.0095000000000001</v>
      </c>
      <c r="F53" s="82"/>
      <c r="G53" s="28"/>
      <c r="H53" s="28"/>
    </row>
    <row r="54" spans="1:8" ht="18.75" customHeight="1" x14ac:dyDescent="0.25">
      <c r="A54" s="7">
        <v>290</v>
      </c>
      <c r="B54" s="85">
        <v>3.8925000000000001E-2</v>
      </c>
      <c r="C54" s="83">
        <v>2657</v>
      </c>
      <c r="D54" s="83">
        <v>2871.1</v>
      </c>
      <c r="E54" s="82">
        <v>6.0778999999999996</v>
      </c>
      <c r="F54" s="82"/>
      <c r="G54" s="28"/>
      <c r="H54" s="28"/>
    </row>
    <row r="55" spans="1:8" ht="18.75" customHeight="1" x14ac:dyDescent="0.25">
      <c r="A55" s="7">
        <v>300</v>
      </c>
      <c r="B55" s="85">
        <v>4.0372999999999999E-2</v>
      </c>
      <c r="C55" s="83">
        <v>2684.1</v>
      </c>
      <c r="D55" s="83">
        <v>2906.2</v>
      </c>
      <c r="E55" s="82">
        <v>6.1397000000000004</v>
      </c>
      <c r="F55" s="82"/>
      <c r="G55" s="28"/>
      <c r="H55" s="28"/>
    </row>
    <row r="56" spans="1:8" ht="18.75" customHeight="1" x14ac:dyDescent="0.25">
      <c r="A56" s="7">
        <v>310</v>
      </c>
      <c r="B56" s="85">
        <v>4.1739999999999999E-2</v>
      </c>
      <c r="C56" s="83">
        <v>2709.5</v>
      </c>
      <c r="D56" s="83">
        <v>2939.1</v>
      </c>
      <c r="E56" s="82">
        <v>6.1966000000000001</v>
      </c>
      <c r="F56" s="82"/>
      <c r="G56" s="28"/>
      <c r="H56" s="28"/>
    </row>
    <row r="57" spans="1:8" ht="18.75" customHeight="1" x14ac:dyDescent="0.25">
      <c r="A57" s="7">
        <v>320</v>
      </c>
      <c r="B57" s="85">
        <v>4.3042999999999998E-2</v>
      </c>
      <c r="C57" s="83">
        <v>2733.6</v>
      </c>
      <c r="D57" s="83">
        <v>2970.3</v>
      </c>
      <c r="E57" s="82">
        <v>6.2496</v>
      </c>
      <c r="F57" s="82"/>
      <c r="G57" s="28"/>
      <c r="H57" s="28"/>
    </row>
    <row r="58" spans="1:8" ht="18.75" customHeight="1" x14ac:dyDescent="0.25">
      <c r="A58" s="7">
        <v>330</v>
      </c>
      <c r="B58" s="85">
        <v>4.4294E-2</v>
      </c>
      <c r="C58" s="83">
        <v>2756.5</v>
      </c>
      <c r="D58" s="83">
        <v>3000.1</v>
      </c>
      <c r="E58" s="82">
        <v>6.2995000000000001</v>
      </c>
      <c r="F58" s="82"/>
      <c r="G58" s="28"/>
      <c r="H58" s="28"/>
    </row>
    <row r="59" spans="1:8" ht="18.75" customHeight="1" x14ac:dyDescent="0.25">
      <c r="A59" s="7">
        <v>340</v>
      </c>
      <c r="B59" s="85">
        <v>4.5502000000000001E-2</v>
      </c>
      <c r="C59" s="83">
        <v>2778.6</v>
      </c>
      <c r="D59" s="83">
        <v>3028.9</v>
      </c>
      <c r="E59" s="82">
        <v>6.3468</v>
      </c>
      <c r="F59" s="82"/>
      <c r="G59" s="28"/>
      <c r="H59" s="28"/>
    </row>
    <row r="60" spans="1:8" ht="18.75" customHeight="1" x14ac:dyDescent="0.25">
      <c r="A60" s="7">
        <v>350</v>
      </c>
      <c r="B60" s="85">
        <v>4.6675000000000001E-2</v>
      </c>
      <c r="C60" s="83">
        <v>2800.1</v>
      </c>
      <c r="D60" s="83">
        <v>3056.8</v>
      </c>
      <c r="E60" s="82">
        <v>6.3920000000000003</v>
      </c>
      <c r="F60" s="82"/>
      <c r="G60" s="28"/>
      <c r="H60" s="28"/>
    </row>
    <row r="61" spans="1:8" ht="18.75" customHeight="1" x14ac:dyDescent="0.25">
      <c r="A61" s="7">
        <v>360</v>
      </c>
      <c r="B61" s="85">
        <v>4.7816999999999998E-2</v>
      </c>
      <c r="C61" s="83">
        <v>2821</v>
      </c>
      <c r="D61" s="83">
        <v>3084</v>
      </c>
      <c r="E61" s="82">
        <v>6.4352</v>
      </c>
      <c r="F61" s="82"/>
      <c r="G61" s="28"/>
      <c r="H61" s="28"/>
    </row>
    <row r="62" spans="1:8" ht="18.75" customHeight="1" x14ac:dyDescent="0.25">
      <c r="A62" s="7">
        <v>370</v>
      </c>
      <c r="B62" s="85">
        <v>4.8933999999999998E-2</v>
      </c>
      <c r="C62" s="83">
        <v>2841.4</v>
      </c>
      <c r="D62" s="83">
        <v>3110.5</v>
      </c>
      <c r="E62" s="82">
        <v>6.4768999999999997</v>
      </c>
      <c r="F62" s="82"/>
      <c r="G62" s="28"/>
      <c r="H62" s="28"/>
    </row>
    <row r="63" spans="1:8" ht="18.75" customHeight="1" x14ac:dyDescent="0.25">
      <c r="A63" s="7">
        <v>380</v>
      </c>
      <c r="B63" s="85">
        <v>5.0027000000000002E-2</v>
      </c>
      <c r="C63" s="83">
        <v>2861.5</v>
      </c>
      <c r="D63" s="83">
        <v>3136.6</v>
      </c>
      <c r="E63" s="82">
        <v>6.5171000000000001</v>
      </c>
      <c r="F63" s="82"/>
      <c r="G63" s="28"/>
      <c r="H63" s="28"/>
    </row>
    <row r="64" spans="1:8" ht="18.75" customHeight="1" x14ac:dyDescent="0.25">
      <c r="A64" s="7">
        <v>390</v>
      </c>
      <c r="B64" s="85">
        <v>5.1101000000000001E-2</v>
      </c>
      <c r="C64" s="83">
        <v>2881.2</v>
      </c>
      <c r="D64" s="83">
        <v>3162.3</v>
      </c>
      <c r="E64" s="82">
        <v>6.5560999999999998</v>
      </c>
      <c r="F64" s="82"/>
      <c r="G64" s="28"/>
      <c r="H64" s="28"/>
    </row>
    <row r="65" spans="1:8" ht="18.75" customHeight="1" x14ac:dyDescent="0.25">
      <c r="A65" s="7">
        <v>400</v>
      </c>
      <c r="B65" s="85">
        <v>5.2158000000000003E-2</v>
      </c>
      <c r="C65" s="83">
        <v>2900.6</v>
      </c>
      <c r="D65" s="83">
        <v>3187.5</v>
      </c>
      <c r="E65" s="82">
        <v>6.5938999999999997</v>
      </c>
      <c r="F65" s="82"/>
      <c r="G65" s="28"/>
      <c r="H65" s="28"/>
    </row>
    <row r="66" spans="1:8" ht="18.75" customHeight="1" x14ac:dyDescent="0.25">
      <c r="A66" s="7">
        <v>410</v>
      </c>
      <c r="B66" s="85">
        <v>5.3199000000000003E-2</v>
      </c>
      <c r="C66" s="83">
        <v>2919.9</v>
      </c>
      <c r="D66" s="83">
        <v>3212.5</v>
      </c>
      <c r="E66" s="82">
        <v>6.6307</v>
      </c>
      <c r="F66" s="82"/>
      <c r="G66" s="28"/>
      <c r="H66" s="28"/>
    </row>
    <row r="67" spans="1:8" ht="18.75" customHeight="1" x14ac:dyDescent="0.25">
      <c r="A67" s="7">
        <v>420</v>
      </c>
      <c r="B67" s="85">
        <v>5.4226000000000003E-2</v>
      </c>
      <c r="C67" s="83">
        <v>2939</v>
      </c>
      <c r="D67" s="83">
        <v>3237.2</v>
      </c>
      <c r="E67" s="82">
        <v>6.6665999999999999</v>
      </c>
      <c r="F67" s="82"/>
      <c r="G67" s="28"/>
      <c r="H67" s="28"/>
    </row>
    <row r="68" spans="1:8" ht="18.75" customHeight="1" x14ac:dyDescent="0.25">
      <c r="A68" s="7">
        <v>430</v>
      </c>
      <c r="B68" s="85">
        <v>5.5240999999999998E-2</v>
      </c>
      <c r="C68" s="83">
        <v>2957.9</v>
      </c>
      <c r="D68" s="83">
        <v>3261.7</v>
      </c>
      <c r="E68" s="82">
        <v>6.7016999999999998</v>
      </c>
      <c r="F68" s="82"/>
      <c r="G68" s="28"/>
      <c r="H68" s="28"/>
    </row>
    <row r="69" spans="1:8" ht="18.75" customHeight="1" x14ac:dyDescent="0.25">
      <c r="A69" s="7">
        <v>440</v>
      </c>
      <c r="B69" s="85">
        <v>5.6245000000000003E-2</v>
      </c>
      <c r="C69" s="83">
        <v>2976.7</v>
      </c>
      <c r="D69" s="83">
        <v>3286</v>
      </c>
      <c r="E69" s="82">
        <v>6.7359999999999998</v>
      </c>
      <c r="F69" s="82"/>
      <c r="G69" s="28"/>
      <c r="H69" s="28"/>
    </row>
    <row r="70" spans="1:8" ht="18.75" customHeight="1" x14ac:dyDescent="0.25">
      <c r="A70" s="7">
        <v>450</v>
      </c>
      <c r="B70" s="85">
        <v>5.7238999999999998E-2</v>
      </c>
      <c r="C70" s="83">
        <v>2995.3</v>
      </c>
      <c r="D70" s="83">
        <v>3310.1</v>
      </c>
      <c r="E70" s="82">
        <v>6.7695999999999996</v>
      </c>
      <c r="F70" s="82"/>
      <c r="G70" s="28"/>
      <c r="H70" s="28"/>
    </row>
    <row r="71" spans="1:8" ht="18.75" customHeight="1" x14ac:dyDescent="0.25">
      <c r="A71" s="7">
        <v>460</v>
      </c>
      <c r="B71" s="85">
        <v>5.8223999999999998E-2</v>
      </c>
      <c r="C71" s="83">
        <v>3013.9</v>
      </c>
      <c r="D71" s="83">
        <v>3334.1</v>
      </c>
      <c r="E71" s="82">
        <v>6.8025000000000002</v>
      </c>
      <c r="F71" s="82"/>
      <c r="G71" s="28"/>
      <c r="H71" s="28"/>
    </row>
    <row r="72" spans="1:8" ht="18.75" customHeight="1" x14ac:dyDescent="0.25">
      <c r="A72" s="7">
        <v>470</v>
      </c>
      <c r="B72" s="85">
        <v>5.9200000000000003E-2</v>
      </c>
      <c r="C72" s="83">
        <v>3032.3</v>
      </c>
      <c r="D72" s="83">
        <v>3357.9</v>
      </c>
      <c r="E72" s="82">
        <v>6.8348000000000004</v>
      </c>
      <c r="F72" s="82"/>
      <c r="G72" s="28"/>
      <c r="H72" s="28"/>
    </row>
    <row r="73" spans="1:8" ht="18.75" customHeight="1" x14ac:dyDescent="0.25">
      <c r="A73" s="7">
        <v>480</v>
      </c>
      <c r="B73" s="85">
        <v>6.0169E-2</v>
      </c>
      <c r="C73" s="83">
        <v>3050.8</v>
      </c>
      <c r="D73" s="83">
        <v>3381.7</v>
      </c>
      <c r="E73" s="82">
        <v>6.8666</v>
      </c>
      <c r="F73" s="82"/>
      <c r="G73" s="28"/>
      <c r="H73" s="28"/>
    </row>
    <row r="74" spans="1:8" ht="18.75" customHeight="1" x14ac:dyDescent="0.25">
      <c r="A74" s="7">
        <v>490</v>
      </c>
      <c r="B74" s="85">
        <v>6.1130999999999998E-2</v>
      </c>
      <c r="C74" s="83">
        <v>3069.1</v>
      </c>
      <c r="D74" s="83">
        <v>3405.3</v>
      </c>
      <c r="E74" s="82">
        <v>6.8978000000000002</v>
      </c>
      <c r="F74" s="82"/>
      <c r="G74" s="28"/>
      <c r="H74" s="28"/>
    </row>
    <row r="75" spans="1:8" ht="18.75" customHeight="1" x14ac:dyDescent="0.25">
      <c r="A75" s="7">
        <v>500</v>
      </c>
      <c r="B75" s="85">
        <v>6.2086000000000002E-2</v>
      </c>
      <c r="C75" s="83">
        <v>3087.4</v>
      </c>
      <c r="D75" s="83">
        <v>3428.9</v>
      </c>
      <c r="E75" s="82">
        <v>6.9284999999999997</v>
      </c>
      <c r="F75" s="82"/>
      <c r="G75" s="28"/>
      <c r="H75" s="28"/>
    </row>
    <row r="76" spans="1:8" ht="18.75" customHeight="1" x14ac:dyDescent="0.25">
      <c r="A76" s="7">
        <v>520</v>
      </c>
      <c r="B76" s="85">
        <v>6.3978999999999994E-2</v>
      </c>
      <c r="C76" s="83">
        <v>3124</v>
      </c>
      <c r="D76" s="83">
        <v>3475.9</v>
      </c>
      <c r="E76" s="82">
        <v>6.9885000000000002</v>
      </c>
      <c r="F76" s="82"/>
      <c r="G76" s="28"/>
      <c r="H76" s="28"/>
    </row>
    <row r="77" spans="1:8" ht="18.75" customHeight="1" x14ac:dyDescent="0.25">
      <c r="A77" s="7">
        <v>540</v>
      </c>
      <c r="B77" s="85">
        <v>6.5851999999999994E-2</v>
      </c>
      <c r="C77" s="83">
        <v>3160.5</v>
      </c>
      <c r="D77" s="83">
        <v>3522.7</v>
      </c>
      <c r="E77" s="82">
        <v>7.0468000000000002</v>
      </c>
      <c r="F77" s="82"/>
      <c r="G77" s="28"/>
      <c r="H77" s="28"/>
    </row>
    <row r="78" spans="1:8" ht="18.75" customHeight="1" x14ac:dyDescent="0.25">
      <c r="A78" s="7">
        <v>560</v>
      </c>
      <c r="B78" s="85">
        <v>6.7708000000000004E-2</v>
      </c>
      <c r="C78" s="83">
        <v>3197</v>
      </c>
      <c r="D78" s="83">
        <v>3569.4</v>
      </c>
      <c r="E78" s="82">
        <v>7.1035000000000004</v>
      </c>
      <c r="F78" s="82"/>
      <c r="G78" s="28"/>
      <c r="H78" s="28"/>
    </row>
    <row r="79" spans="1:8" ht="18.75" customHeight="1" x14ac:dyDescent="0.25">
      <c r="A79" s="7">
        <v>580</v>
      </c>
      <c r="B79" s="85">
        <v>6.9547999999999999E-2</v>
      </c>
      <c r="C79" s="83">
        <v>3233.6</v>
      </c>
      <c r="D79" s="83">
        <v>3616.1</v>
      </c>
      <c r="E79" s="82">
        <v>7.1589</v>
      </c>
      <c r="F79" s="82"/>
      <c r="G79" s="28"/>
      <c r="H79" s="28"/>
    </row>
    <row r="80" spans="1:8" ht="18.75" customHeight="1" x14ac:dyDescent="0.25">
      <c r="A80" s="7">
        <v>600</v>
      </c>
      <c r="B80" s="85">
        <v>7.1374000000000007E-2</v>
      </c>
      <c r="C80" s="83">
        <v>3270.2</v>
      </c>
      <c r="D80" s="83">
        <v>3662.8</v>
      </c>
      <c r="E80" s="82">
        <v>7.2130000000000001</v>
      </c>
      <c r="F80" s="82"/>
      <c r="G80" s="28"/>
      <c r="H80" s="28"/>
    </row>
    <row r="81" spans="1:8" ht="18.75" customHeight="1" x14ac:dyDescent="0.25">
      <c r="A81" s="7">
        <v>620</v>
      </c>
      <c r="B81" s="85">
        <v>7.3188000000000003E-2</v>
      </c>
      <c r="C81" s="83">
        <v>3307</v>
      </c>
      <c r="D81" s="83">
        <v>3709.5</v>
      </c>
      <c r="E81" s="82">
        <v>7.2659000000000002</v>
      </c>
      <c r="F81" s="82"/>
      <c r="G81" s="28"/>
      <c r="H81" s="28"/>
    </row>
    <row r="82" spans="1:8" ht="18.75" customHeight="1" x14ac:dyDescent="0.25">
      <c r="A82" s="7">
        <v>640</v>
      </c>
      <c r="B82" s="85">
        <v>7.4992000000000003E-2</v>
      </c>
      <c r="C82" s="83">
        <v>3343.8</v>
      </c>
      <c r="D82" s="83">
        <v>3756.3</v>
      </c>
      <c r="E82" s="82">
        <v>7.3177000000000003</v>
      </c>
      <c r="F82" s="82"/>
      <c r="G82" s="28"/>
      <c r="H82" s="28"/>
    </row>
    <row r="83" spans="1:8" ht="18.75" customHeight="1" x14ac:dyDescent="0.25">
      <c r="A83" s="7">
        <v>660</v>
      </c>
      <c r="B83" s="85">
        <v>7.6786999999999994E-2</v>
      </c>
      <c r="C83" s="83">
        <v>3380.9</v>
      </c>
      <c r="D83" s="83">
        <v>3803.2</v>
      </c>
      <c r="E83" s="82">
        <v>7.3685</v>
      </c>
      <c r="F83" s="82"/>
      <c r="G83" s="28"/>
      <c r="H83" s="28"/>
    </row>
    <row r="84" spans="1:8" ht="18.75" customHeight="1" x14ac:dyDescent="0.25">
      <c r="A84" s="7">
        <v>680</v>
      </c>
      <c r="B84" s="85">
        <v>7.8573000000000004E-2</v>
      </c>
      <c r="C84" s="83">
        <v>3418</v>
      </c>
      <c r="D84" s="83">
        <v>3850.2</v>
      </c>
      <c r="E84" s="82">
        <v>7.4183000000000003</v>
      </c>
      <c r="F84" s="82"/>
      <c r="G84" s="28"/>
      <c r="H84" s="28"/>
    </row>
    <row r="85" spans="1:8" ht="18.75" customHeight="1" x14ac:dyDescent="0.25">
      <c r="A85" s="7">
        <v>700</v>
      </c>
      <c r="B85" s="85">
        <v>8.0351000000000006E-2</v>
      </c>
      <c r="C85" s="83">
        <v>3455.4</v>
      </c>
      <c r="D85" s="83">
        <v>3897.3</v>
      </c>
      <c r="E85" s="82">
        <v>7.4672000000000001</v>
      </c>
      <c r="F85" s="82"/>
      <c r="G85" s="28"/>
      <c r="H85" s="28"/>
    </row>
    <row r="86" spans="1:8" ht="18.75" customHeight="1" x14ac:dyDescent="0.25">
      <c r="A86" s="7">
        <v>720</v>
      </c>
      <c r="B86" s="85">
        <v>8.2123000000000002E-2</v>
      </c>
      <c r="C86" s="83">
        <v>3492.9</v>
      </c>
      <c r="D86" s="83">
        <v>3944.6</v>
      </c>
      <c r="E86" s="82">
        <v>7.5152999999999999</v>
      </c>
      <c r="F86" s="82"/>
      <c r="G86" s="28"/>
      <c r="H86" s="28"/>
    </row>
    <row r="87" spans="1:8" ht="18.75" customHeight="1" x14ac:dyDescent="0.25">
      <c r="A87" s="7">
        <v>740</v>
      </c>
      <c r="B87" s="85">
        <v>8.3888000000000004E-2</v>
      </c>
      <c r="C87" s="83">
        <v>3530.6</v>
      </c>
      <c r="D87" s="83">
        <v>3992</v>
      </c>
      <c r="E87" s="82">
        <v>7.5625999999999998</v>
      </c>
      <c r="F87" s="82"/>
      <c r="G87" s="28"/>
      <c r="H87" s="28"/>
    </row>
    <row r="88" spans="1:8" ht="18.75" customHeight="1" x14ac:dyDescent="0.25">
      <c r="A88" s="7">
        <v>760</v>
      </c>
      <c r="B88" s="85">
        <v>8.5648000000000002E-2</v>
      </c>
      <c r="C88" s="83">
        <v>3568.5</v>
      </c>
      <c r="D88" s="83">
        <v>4039.6</v>
      </c>
      <c r="E88" s="82">
        <v>7.6090999999999998</v>
      </c>
      <c r="F88" s="82"/>
      <c r="G88" s="28"/>
      <c r="H88" s="28"/>
    </row>
    <row r="89" spans="1:8" ht="18.75" customHeight="1" x14ac:dyDescent="0.25">
      <c r="A89" s="7">
        <v>780</v>
      </c>
      <c r="B89" s="85">
        <v>8.7402999999999995E-2</v>
      </c>
      <c r="C89" s="83">
        <v>3606.7</v>
      </c>
      <c r="D89" s="83">
        <v>4087.4</v>
      </c>
      <c r="E89" s="82">
        <v>7.6548999999999996</v>
      </c>
      <c r="F89" s="82"/>
      <c r="G89" s="28"/>
      <c r="H89" s="28"/>
    </row>
    <row r="90" spans="1:8" ht="18.75" customHeight="1" x14ac:dyDescent="0.25">
      <c r="A90" s="7">
        <v>800</v>
      </c>
      <c r="B90" s="85">
        <v>8.9151999999999995E-2</v>
      </c>
      <c r="C90" s="83">
        <v>3645.1</v>
      </c>
      <c r="D90" s="83">
        <v>4135.3999999999996</v>
      </c>
      <c r="E90" s="82">
        <v>7.7000999999999999</v>
      </c>
      <c r="F90" s="82"/>
      <c r="G90" s="28"/>
      <c r="H90" s="28"/>
    </row>
    <row r="91" spans="1:8" ht="18.75" customHeight="1" x14ac:dyDescent="0.25">
      <c r="A91" s="7">
        <v>820</v>
      </c>
      <c r="B91" s="85">
        <v>9.0898000000000007E-2</v>
      </c>
      <c r="C91" s="83">
        <v>3683.7</v>
      </c>
      <c r="D91" s="83">
        <v>4183.6000000000004</v>
      </c>
      <c r="E91" s="82">
        <v>7.7446000000000002</v>
      </c>
      <c r="F91" s="82"/>
      <c r="G91" s="28"/>
      <c r="H91" s="28"/>
    </row>
    <row r="92" spans="1:8" ht="18.75" customHeight="1" x14ac:dyDescent="0.25">
      <c r="A92" s="7">
        <v>840</v>
      </c>
      <c r="B92" s="85">
        <v>9.264E-2</v>
      </c>
      <c r="C92" s="83">
        <v>3722.5</v>
      </c>
      <c r="D92" s="83">
        <v>4232</v>
      </c>
      <c r="E92" s="82">
        <v>7.7884000000000002</v>
      </c>
      <c r="F92" s="82"/>
      <c r="G92" s="28"/>
      <c r="H92" s="28"/>
    </row>
    <row r="93" spans="1:8" ht="18.75" customHeight="1" x14ac:dyDescent="0.25">
      <c r="A93" s="7">
        <v>860</v>
      </c>
      <c r="B93" s="85">
        <v>9.4378000000000004E-2</v>
      </c>
      <c r="C93" s="83">
        <v>3761.5</v>
      </c>
      <c r="D93" s="83">
        <v>4280.6000000000004</v>
      </c>
      <c r="E93" s="82">
        <v>7.8316999999999997</v>
      </c>
      <c r="F93" s="82"/>
      <c r="G93" s="28"/>
      <c r="H93" s="28"/>
    </row>
    <row r="94" spans="1:8" ht="18.75" customHeight="1" x14ac:dyDescent="0.25">
      <c r="A94" s="7">
        <v>880</v>
      </c>
      <c r="B94" s="85">
        <v>9.6112000000000003E-2</v>
      </c>
      <c r="C94" s="83">
        <v>3800.8</v>
      </c>
      <c r="D94" s="83">
        <v>4329.3999999999996</v>
      </c>
      <c r="E94" s="82">
        <v>7.8743999999999996</v>
      </c>
      <c r="F94" s="82"/>
      <c r="G94" s="28"/>
      <c r="H94" s="28"/>
    </row>
    <row r="95" spans="1:8" ht="18.75" customHeight="1" x14ac:dyDescent="0.25">
      <c r="A95" s="7">
        <v>900</v>
      </c>
      <c r="B95" s="85">
        <v>9.7844E-2</v>
      </c>
      <c r="C95" s="83">
        <v>3840.3</v>
      </c>
      <c r="D95" s="83">
        <v>4378.3999999999996</v>
      </c>
      <c r="E95" s="82">
        <v>7.9165999999999999</v>
      </c>
      <c r="F95" s="82"/>
      <c r="G95" s="28"/>
      <c r="H95" s="28"/>
    </row>
    <row r="96" spans="1:8" ht="18.75" customHeight="1" x14ac:dyDescent="0.25">
      <c r="A96" s="7">
        <v>920</v>
      </c>
      <c r="B96" s="85">
        <v>9.9572999999999995E-2</v>
      </c>
      <c r="C96" s="83">
        <v>3880</v>
      </c>
      <c r="D96" s="83">
        <v>4427.7</v>
      </c>
      <c r="E96" s="82">
        <v>7.9581999999999997</v>
      </c>
      <c r="F96" s="82"/>
      <c r="G96" s="28"/>
      <c r="H96" s="28"/>
    </row>
    <row r="97" spans="1:8" ht="18.75" customHeight="1" x14ac:dyDescent="0.25">
      <c r="A97" s="7">
        <v>940</v>
      </c>
      <c r="B97" s="81">
        <v>0.1013</v>
      </c>
      <c r="C97" s="83">
        <v>3920</v>
      </c>
      <c r="D97" s="83">
        <v>4477.1000000000004</v>
      </c>
      <c r="E97" s="82">
        <v>7.9992999999999999</v>
      </c>
      <c r="F97" s="82"/>
      <c r="G97" s="28"/>
      <c r="H97" s="28"/>
    </row>
    <row r="98" spans="1:8" ht="18.75" customHeight="1" x14ac:dyDescent="0.25">
      <c r="A98" s="7">
        <v>960</v>
      </c>
      <c r="B98" s="81">
        <v>0.10302</v>
      </c>
      <c r="C98" s="83">
        <v>3960.2</v>
      </c>
      <c r="D98" s="83">
        <v>4526.8</v>
      </c>
      <c r="E98" s="82">
        <v>8.0398999999999994</v>
      </c>
      <c r="F98" s="82"/>
      <c r="G98" s="28"/>
      <c r="H98" s="28"/>
    </row>
    <row r="99" spans="1:8" ht="18.75" customHeight="1" x14ac:dyDescent="0.25">
      <c r="A99" s="7">
        <v>980</v>
      </c>
      <c r="B99" s="81">
        <v>0.10474</v>
      </c>
      <c r="C99" s="83">
        <v>4000.6</v>
      </c>
      <c r="D99" s="83">
        <v>4576.7</v>
      </c>
      <c r="E99" s="82">
        <v>8.0800999999999998</v>
      </c>
      <c r="F99" s="82"/>
      <c r="G99" s="28"/>
      <c r="H99" s="28"/>
    </row>
    <row r="100" spans="1:8" ht="18.75" customHeight="1" x14ac:dyDescent="0.25">
      <c r="A100" s="7">
        <v>1000</v>
      </c>
      <c r="B100" s="81">
        <v>0.10646</v>
      </c>
      <c r="C100" s="83">
        <v>4041.4</v>
      </c>
      <c r="D100" s="83">
        <v>4626.8999999999996</v>
      </c>
      <c r="E100" s="82">
        <v>8.1197999999999997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H100"/>
  <sheetViews>
    <sheetView topLeftCell="A33" workbookViewId="0">
      <selection activeCell="A53" sqref="A53:XFD53"/>
    </sheetView>
  </sheetViews>
  <sheetFormatPr defaultRowHeight="13.2" x14ac:dyDescent="0.25"/>
  <cols>
    <col min="1" max="1" width="9.77734375" customWidth="1"/>
    <col min="2" max="2" width="10.109375" customWidth="1"/>
    <col min="3" max="3" width="7.44140625" customWidth="1"/>
    <col min="4" max="4" width="6" customWidth="1"/>
    <col min="5" max="5" width="8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83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>
        <v>1</v>
      </c>
      <c r="B2" s="90">
        <v>6000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9.9718000000000007E-4</v>
      </c>
      <c r="C5" s="80">
        <v>0.06</v>
      </c>
      <c r="D5" s="80">
        <v>6.04</v>
      </c>
      <c r="E5" s="81">
        <v>1.9000000000000001E-4</v>
      </c>
      <c r="F5" s="81"/>
      <c r="G5" s="28"/>
      <c r="H5" s="28"/>
    </row>
    <row r="6" spans="1:8" ht="18.75" customHeight="1" x14ac:dyDescent="0.25">
      <c r="A6" s="7">
        <v>5</v>
      </c>
      <c r="B6" s="79">
        <v>9.9715999999999997E-4</v>
      </c>
      <c r="C6" s="80">
        <v>20.99</v>
      </c>
      <c r="D6" s="80">
        <v>26.97</v>
      </c>
      <c r="E6" s="81">
        <v>7.6109999999999997E-2</v>
      </c>
      <c r="F6" s="81"/>
      <c r="G6" s="28"/>
      <c r="H6" s="28"/>
    </row>
    <row r="7" spans="1:8" ht="18.75" customHeight="1" x14ac:dyDescent="0.25">
      <c r="A7" s="7">
        <v>10</v>
      </c>
      <c r="B7" s="79">
        <v>9.9749999999999991E-4</v>
      </c>
      <c r="C7" s="80">
        <v>41.86</v>
      </c>
      <c r="D7" s="80">
        <v>47.85</v>
      </c>
      <c r="E7" s="81">
        <v>0.15051999999999999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9.9816000000000011E-4</v>
      </c>
      <c r="C8" s="80">
        <v>62.72</v>
      </c>
      <c r="D8" s="80">
        <v>68.709999999999994</v>
      </c>
      <c r="E8" s="81">
        <v>0.22353000000000001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9.991100000000001E-4</v>
      </c>
      <c r="C9" s="80">
        <v>83.55</v>
      </c>
      <c r="D9" s="80">
        <v>89.54</v>
      </c>
      <c r="E9" s="81">
        <v>0.29521999999999998</v>
      </c>
      <c r="F9" s="81"/>
      <c r="G9" s="28"/>
      <c r="H9" s="28"/>
    </row>
    <row r="10" spans="1:8" ht="18.75" customHeight="1" x14ac:dyDescent="0.25">
      <c r="A10" s="7">
        <v>25</v>
      </c>
      <c r="B10" s="79">
        <v>1.0003099999999999E-3</v>
      </c>
      <c r="C10" s="80">
        <v>104.37</v>
      </c>
      <c r="D10" s="80">
        <v>110.37</v>
      </c>
      <c r="E10" s="81">
        <v>0.36565999999999999</v>
      </c>
      <c r="F10" s="81"/>
      <c r="G10" s="28"/>
      <c r="H10" s="28"/>
    </row>
    <row r="11" spans="1:8" ht="18.75" customHeight="1" x14ac:dyDescent="0.25">
      <c r="A11" s="7">
        <v>30</v>
      </c>
      <c r="B11" s="79">
        <v>1.0017400000000001E-3</v>
      </c>
      <c r="C11" s="80">
        <v>125.18</v>
      </c>
      <c r="D11" s="80">
        <v>131.19</v>
      </c>
      <c r="E11" s="81">
        <v>0.43491999999999997</v>
      </c>
      <c r="F11" s="81"/>
      <c r="G11" s="28"/>
      <c r="H11" s="28"/>
    </row>
    <row r="12" spans="1:8" ht="18.75" customHeight="1" x14ac:dyDescent="0.25">
      <c r="A12" s="7">
        <v>35</v>
      </c>
      <c r="B12" s="79">
        <v>1.0033900000000001E-3</v>
      </c>
      <c r="C12" s="80">
        <v>145.99</v>
      </c>
      <c r="D12" s="80">
        <v>152.01</v>
      </c>
      <c r="E12" s="81">
        <v>0.50304000000000004</v>
      </c>
      <c r="F12" s="81"/>
      <c r="G12" s="28"/>
      <c r="H12" s="28"/>
    </row>
    <row r="13" spans="1:8" ht="18.75" customHeight="1" x14ac:dyDescent="0.25">
      <c r="A13" s="7">
        <v>40</v>
      </c>
      <c r="B13" s="79">
        <v>1.0052399999999999E-3</v>
      </c>
      <c r="C13" s="80">
        <v>166.81</v>
      </c>
      <c r="D13" s="80">
        <v>172.84</v>
      </c>
      <c r="E13" s="81">
        <v>0.57006999999999997</v>
      </c>
      <c r="F13" s="81"/>
      <c r="G13" s="28"/>
      <c r="H13" s="28"/>
    </row>
    <row r="14" spans="1:8" ht="18.75" customHeight="1" x14ac:dyDescent="0.25">
      <c r="A14" s="7">
        <v>45</v>
      </c>
      <c r="B14" s="79">
        <v>1.0072799999999999E-3</v>
      </c>
      <c r="C14" s="80">
        <v>187.62</v>
      </c>
      <c r="D14" s="80">
        <v>193.66</v>
      </c>
      <c r="E14" s="81">
        <v>0.63605999999999996</v>
      </c>
      <c r="F14" s="81"/>
      <c r="G14" s="28"/>
      <c r="H14" s="28"/>
    </row>
    <row r="15" spans="1:8" ht="18.75" customHeight="1" x14ac:dyDescent="0.25">
      <c r="A15" s="7">
        <v>50</v>
      </c>
      <c r="B15" s="79">
        <v>1.0095E-3</v>
      </c>
      <c r="C15" s="80">
        <v>208.44</v>
      </c>
      <c r="D15" s="80">
        <v>214.5</v>
      </c>
      <c r="E15" s="81">
        <v>0.70104</v>
      </c>
      <c r="F15" s="81"/>
      <c r="G15" s="28"/>
      <c r="H15" s="28"/>
    </row>
    <row r="16" spans="1:8" ht="18.75" customHeight="1" x14ac:dyDescent="0.25">
      <c r="A16" s="7">
        <v>55</v>
      </c>
      <c r="B16" s="79">
        <v>1.0118900000000001E-3</v>
      </c>
      <c r="C16" s="80">
        <v>229.27</v>
      </c>
      <c r="D16" s="80">
        <v>235.34</v>
      </c>
      <c r="E16" s="81">
        <v>0.76505000000000001</v>
      </c>
      <c r="F16" s="81"/>
      <c r="G16" s="28"/>
      <c r="H16" s="28"/>
    </row>
    <row r="17" spans="1:8" ht="18.75" customHeight="1" x14ac:dyDescent="0.25">
      <c r="A17" s="7">
        <v>60</v>
      </c>
      <c r="B17" s="79">
        <v>1.0144500000000001E-3</v>
      </c>
      <c r="C17" s="80">
        <v>250.11</v>
      </c>
      <c r="D17" s="80">
        <v>256.2</v>
      </c>
      <c r="E17" s="81">
        <v>0.82811999999999997</v>
      </c>
      <c r="F17" s="81"/>
      <c r="G17" s="28"/>
      <c r="H17" s="28"/>
    </row>
    <row r="18" spans="1:8" ht="18.75" customHeight="1" x14ac:dyDescent="0.25">
      <c r="A18" s="7">
        <v>65</v>
      </c>
      <c r="B18" s="79">
        <v>1.01717E-3</v>
      </c>
      <c r="C18" s="80">
        <v>270.97000000000003</v>
      </c>
      <c r="D18" s="80">
        <v>277.07</v>
      </c>
      <c r="E18" s="81">
        <v>0.89029000000000003</v>
      </c>
      <c r="F18" s="81"/>
      <c r="G18" s="28"/>
      <c r="H18" s="28"/>
    </row>
    <row r="19" spans="1:8" ht="18.75" customHeight="1" x14ac:dyDescent="0.25">
      <c r="A19" s="7">
        <v>70</v>
      </c>
      <c r="B19" s="79">
        <v>1.0200400000000001E-3</v>
      </c>
      <c r="C19" s="80">
        <v>291.83</v>
      </c>
      <c r="D19" s="80">
        <v>297.95</v>
      </c>
      <c r="E19" s="81">
        <v>0.95159000000000005</v>
      </c>
      <c r="F19" s="81"/>
      <c r="G19" s="28"/>
      <c r="H19" s="28"/>
    </row>
    <row r="20" spans="1:8" ht="18.75" customHeight="1" x14ac:dyDescent="0.25">
      <c r="A20" s="7">
        <v>75</v>
      </c>
      <c r="B20" s="79">
        <v>1.0230700000000001E-3</v>
      </c>
      <c r="C20" s="80">
        <v>312.7</v>
      </c>
      <c r="D20" s="80">
        <v>318.83999999999997</v>
      </c>
      <c r="E20" s="82">
        <v>1.012</v>
      </c>
      <c r="F20" s="82"/>
      <c r="G20" s="28"/>
      <c r="H20" s="28"/>
    </row>
    <row r="21" spans="1:8" ht="18.75" customHeight="1" x14ac:dyDescent="0.25">
      <c r="A21" s="7">
        <v>80</v>
      </c>
      <c r="B21" s="79">
        <v>1.02626E-3</v>
      </c>
      <c r="C21" s="80">
        <v>333.59</v>
      </c>
      <c r="D21" s="80">
        <v>339.75</v>
      </c>
      <c r="E21" s="82">
        <v>1.0717000000000001</v>
      </c>
      <c r="F21" s="82"/>
      <c r="G21" s="28"/>
      <c r="H21" s="28"/>
    </row>
    <row r="22" spans="1:8" ht="18.75" customHeight="1" x14ac:dyDescent="0.25">
      <c r="A22" s="7">
        <v>85</v>
      </c>
      <c r="B22" s="79">
        <v>1.0295899999999999E-3</v>
      </c>
      <c r="C22" s="80">
        <v>354.5</v>
      </c>
      <c r="D22" s="80">
        <v>360.68</v>
      </c>
      <c r="E22" s="82">
        <v>1.1305000000000001</v>
      </c>
      <c r="F22" s="82"/>
      <c r="G22" s="28"/>
      <c r="H22" s="28"/>
    </row>
    <row r="23" spans="1:8" ht="18.75" customHeight="1" x14ac:dyDescent="0.25">
      <c r="A23" s="7">
        <v>90</v>
      </c>
      <c r="B23" s="79">
        <v>1.0330700000000001E-3</v>
      </c>
      <c r="C23" s="80">
        <v>375.43</v>
      </c>
      <c r="D23" s="80">
        <v>381.63</v>
      </c>
      <c r="E23" s="82">
        <v>1.1886000000000001</v>
      </c>
      <c r="F23" s="82"/>
      <c r="G23" s="28"/>
      <c r="H23" s="28"/>
    </row>
    <row r="24" spans="1:8" ht="18.75" customHeight="1" x14ac:dyDescent="0.25">
      <c r="A24" s="7">
        <v>95</v>
      </c>
      <c r="B24" s="79">
        <v>1.0367E-3</v>
      </c>
      <c r="C24" s="80">
        <v>396.38</v>
      </c>
      <c r="D24" s="80">
        <v>402.6</v>
      </c>
      <c r="E24" s="82">
        <v>1.246</v>
      </c>
      <c r="F24" s="82"/>
      <c r="G24" s="28"/>
      <c r="H24" s="28"/>
    </row>
    <row r="25" spans="1:8" ht="18.75" customHeight="1" x14ac:dyDescent="0.25">
      <c r="A25" s="7">
        <v>100</v>
      </c>
      <c r="B25" s="79">
        <v>1.0404800000000001E-3</v>
      </c>
      <c r="C25" s="80">
        <v>417.36</v>
      </c>
      <c r="D25" s="80">
        <v>423.6</v>
      </c>
      <c r="E25" s="82">
        <v>1.3026</v>
      </c>
      <c r="F25" s="82"/>
      <c r="G25" s="28"/>
      <c r="H25" s="28"/>
    </row>
    <row r="26" spans="1:8" ht="18.75" customHeight="1" x14ac:dyDescent="0.25">
      <c r="A26" s="7">
        <v>105</v>
      </c>
      <c r="B26" s="79">
        <v>1.04441E-3</v>
      </c>
      <c r="C26" s="80">
        <v>438.36</v>
      </c>
      <c r="D26" s="80">
        <v>444.63</v>
      </c>
      <c r="E26" s="82">
        <v>1.3586</v>
      </c>
      <c r="F26" s="82"/>
      <c r="G26" s="28"/>
      <c r="H26" s="28"/>
    </row>
    <row r="27" spans="1:8" ht="18.75" customHeight="1" x14ac:dyDescent="0.25">
      <c r="A27" s="7">
        <v>110</v>
      </c>
      <c r="B27" s="79">
        <v>1.0484800000000001E-3</v>
      </c>
      <c r="C27" s="80">
        <v>459.39</v>
      </c>
      <c r="D27" s="80">
        <v>465.68</v>
      </c>
      <c r="E27" s="82">
        <v>1.4138999999999999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1.0527100000000001E-3</v>
      </c>
      <c r="C28" s="80">
        <v>480.45</v>
      </c>
      <c r="D28" s="80">
        <v>486.77</v>
      </c>
      <c r="E28" s="82">
        <v>1.4685999999999999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1.0571000000000001E-3</v>
      </c>
      <c r="C29" s="80">
        <v>501.56</v>
      </c>
      <c r="D29" s="80">
        <v>507.9</v>
      </c>
      <c r="E29" s="82">
        <v>1.5226999999999999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1.06164E-3</v>
      </c>
      <c r="C30" s="80">
        <v>522.69000000000005</v>
      </c>
      <c r="D30" s="80">
        <v>529.05999999999995</v>
      </c>
      <c r="E30" s="82">
        <v>1.5762</v>
      </c>
      <c r="F30" s="82"/>
      <c r="G30" s="28"/>
      <c r="H30" s="28"/>
    </row>
    <row r="31" spans="1:8" ht="18.75" customHeight="1" x14ac:dyDescent="0.25">
      <c r="A31" s="7">
        <v>130</v>
      </c>
      <c r="B31" s="79">
        <v>1.06634E-3</v>
      </c>
      <c r="C31" s="80">
        <v>543.87</v>
      </c>
      <c r="D31" s="80">
        <v>550.27</v>
      </c>
      <c r="E31" s="82">
        <v>1.6291</v>
      </c>
      <c r="F31" s="82"/>
      <c r="G31" s="28"/>
      <c r="H31" s="28"/>
    </row>
    <row r="32" spans="1:8" ht="18.75" customHeight="1" x14ac:dyDescent="0.25">
      <c r="A32" s="7">
        <v>135</v>
      </c>
      <c r="B32" s="79">
        <v>1.0712E-3</v>
      </c>
      <c r="C32" s="80">
        <v>565.1</v>
      </c>
      <c r="D32" s="80">
        <v>571.53</v>
      </c>
      <c r="E32" s="82">
        <v>1.6815</v>
      </c>
      <c r="F32" s="82"/>
      <c r="G32" s="28"/>
      <c r="H32" s="28"/>
    </row>
    <row r="33" spans="1:8" ht="18.75" customHeight="1" x14ac:dyDescent="0.25">
      <c r="A33" s="7">
        <v>140</v>
      </c>
      <c r="B33" s="79">
        <v>1.07624E-3</v>
      </c>
      <c r="C33" s="80">
        <v>586.37</v>
      </c>
      <c r="D33" s="80">
        <v>592.83000000000004</v>
      </c>
      <c r="E33" s="82">
        <v>1.7334000000000001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1.0814399999999999E-3</v>
      </c>
      <c r="C34" s="80">
        <v>607.70000000000005</v>
      </c>
      <c r="D34" s="80">
        <v>614.19000000000005</v>
      </c>
      <c r="E34" s="82">
        <v>1.7847999999999999</v>
      </c>
      <c r="F34" s="82"/>
      <c r="G34" s="28"/>
      <c r="H34" s="28"/>
    </row>
    <row r="35" spans="1:8" ht="18.75" customHeight="1" x14ac:dyDescent="0.25">
      <c r="A35" s="7">
        <v>150</v>
      </c>
      <c r="B35" s="79">
        <v>1.0868200000000001E-3</v>
      </c>
      <c r="C35" s="80">
        <v>629.09</v>
      </c>
      <c r="D35" s="80">
        <v>635.61</v>
      </c>
      <c r="E35" s="82">
        <v>1.8357000000000001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1.0923899999999999E-3</v>
      </c>
      <c r="C36" s="80">
        <v>650.54</v>
      </c>
      <c r="D36" s="80">
        <v>657.09</v>
      </c>
      <c r="E36" s="82">
        <v>1.8862000000000001</v>
      </c>
      <c r="F36" s="82"/>
      <c r="G36" s="28"/>
      <c r="H36" s="28"/>
    </row>
    <row r="37" spans="1:8" ht="18.75" customHeight="1" x14ac:dyDescent="0.25">
      <c r="A37" s="7">
        <v>160</v>
      </c>
      <c r="B37" s="79">
        <v>1.0981400000000001E-3</v>
      </c>
      <c r="C37" s="80">
        <v>672.04</v>
      </c>
      <c r="D37" s="80">
        <v>678.63</v>
      </c>
      <c r="E37" s="82">
        <v>1.9361999999999999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1.1040900000000001E-3</v>
      </c>
      <c r="C38" s="80">
        <v>693.63</v>
      </c>
      <c r="D38" s="80">
        <v>700.25</v>
      </c>
      <c r="E38" s="82">
        <v>1.9858</v>
      </c>
      <c r="F38" s="82"/>
      <c r="G38" s="28"/>
      <c r="H38" s="28"/>
    </row>
    <row r="39" spans="1:8" ht="18.75" customHeight="1" x14ac:dyDescent="0.25">
      <c r="A39" s="7">
        <v>170</v>
      </c>
      <c r="B39" s="79">
        <v>1.1102499999999999E-3</v>
      </c>
      <c r="C39" s="80">
        <v>715.29</v>
      </c>
      <c r="D39" s="80">
        <v>721.95</v>
      </c>
      <c r="E39" s="82">
        <v>2.0350999999999999</v>
      </c>
      <c r="F39" s="82"/>
      <c r="G39" s="28"/>
      <c r="H39" s="28"/>
    </row>
    <row r="40" spans="1:8" ht="18.75" customHeight="1" x14ac:dyDescent="0.25">
      <c r="A40" s="7">
        <v>175</v>
      </c>
      <c r="B40" s="79">
        <v>1.11662E-3</v>
      </c>
      <c r="C40" s="80">
        <v>737.03</v>
      </c>
      <c r="D40" s="80">
        <v>743.73</v>
      </c>
      <c r="E40" s="82">
        <v>2.0838999999999999</v>
      </c>
      <c r="F40" s="82"/>
      <c r="G40" s="28"/>
      <c r="H40" s="28"/>
    </row>
    <row r="41" spans="1:8" ht="18.75" customHeight="1" x14ac:dyDescent="0.25">
      <c r="A41" s="7">
        <v>180</v>
      </c>
      <c r="B41" s="79">
        <v>1.1232099999999999E-3</v>
      </c>
      <c r="C41" s="80">
        <v>758.86</v>
      </c>
      <c r="D41" s="80">
        <v>765.6</v>
      </c>
      <c r="E41" s="82">
        <v>2.1324999999999998</v>
      </c>
      <c r="F41" s="82"/>
      <c r="G41" s="28"/>
      <c r="H41" s="28"/>
    </row>
    <row r="42" spans="1:8" ht="18.75" customHeight="1" x14ac:dyDescent="0.25">
      <c r="A42" s="7">
        <v>185</v>
      </c>
      <c r="B42" s="79">
        <v>1.1300399999999999E-3</v>
      </c>
      <c r="C42" s="80">
        <v>780.78</v>
      </c>
      <c r="D42" s="80">
        <v>787.56</v>
      </c>
      <c r="E42" s="82">
        <v>2.1806999999999999</v>
      </c>
      <c r="F42" s="82"/>
      <c r="G42" s="28"/>
      <c r="H42" s="28"/>
    </row>
    <row r="43" spans="1:8" ht="18.75" customHeight="1" x14ac:dyDescent="0.25">
      <c r="A43" s="7">
        <v>190</v>
      </c>
      <c r="B43" s="79">
        <v>1.1371199999999999E-3</v>
      </c>
      <c r="C43" s="80">
        <v>802.81</v>
      </c>
      <c r="D43" s="80">
        <v>809.63</v>
      </c>
      <c r="E43" s="82">
        <v>2.2286000000000001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1.1444599999999999E-3</v>
      </c>
      <c r="C44" s="80">
        <v>824.93</v>
      </c>
      <c r="D44" s="80">
        <v>831.8</v>
      </c>
      <c r="E44" s="82">
        <v>2.2761999999999998</v>
      </c>
      <c r="F44" s="82"/>
      <c r="G44" s="28"/>
      <c r="H44" s="28"/>
    </row>
    <row r="45" spans="1:8" ht="18.75" customHeight="1" x14ac:dyDescent="0.25">
      <c r="A45" s="7">
        <v>200</v>
      </c>
      <c r="B45" s="79">
        <v>1.15207E-3</v>
      </c>
      <c r="C45" s="80">
        <v>847.18</v>
      </c>
      <c r="D45" s="80">
        <v>854.09</v>
      </c>
      <c r="E45" s="82">
        <v>2.3235000000000001</v>
      </c>
      <c r="F45" s="82"/>
      <c r="G45" s="28"/>
      <c r="H45" s="28"/>
    </row>
    <row r="46" spans="1:8" ht="18.75" customHeight="1" x14ac:dyDescent="0.25">
      <c r="A46" s="7">
        <v>210</v>
      </c>
      <c r="B46" s="79">
        <v>1.16818E-3</v>
      </c>
      <c r="C46" s="80">
        <v>892.05</v>
      </c>
      <c r="D46" s="80">
        <v>899.06</v>
      </c>
      <c r="E46" s="82">
        <v>2.4176000000000002</v>
      </c>
      <c r="F46" s="82"/>
      <c r="G46" s="28"/>
      <c r="H46" s="28"/>
    </row>
    <row r="47" spans="1:8" ht="18.75" customHeight="1" x14ac:dyDescent="0.25">
      <c r="A47" s="7">
        <v>220</v>
      </c>
      <c r="B47" s="79">
        <v>1.1856200000000001E-3</v>
      </c>
      <c r="C47" s="80">
        <v>937.5</v>
      </c>
      <c r="D47" s="80">
        <v>944.61</v>
      </c>
      <c r="E47" s="82">
        <v>2.5108999999999999</v>
      </c>
      <c r="F47" s="82"/>
      <c r="G47" s="28"/>
      <c r="H47" s="28"/>
    </row>
    <row r="48" spans="1:8" ht="18.75" customHeight="1" x14ac:dyDescent="0.25">
      <c r="A48" s="7">
        <v>230</v>
      </c>
      <c r="B48" s="79">
        <v>1.2045700000000001E-3</v>
      </c>
      <c r="C48" s="80">
        <v>983.59</v>
      </c>
      <c r="D48" s="80">
        <v>990.82</v>
      </c>
      <c r="E48" s="82">
        <v>2.6036999999999999</v>
      </c>
      <c r="F48" s="82"/>
      <c r="G48" s="28"/>
      <c r="H48" s="28"/>
    </row>
    <row r="49" spans="1:8" ht="18.75" customHeight="1" x14ac:dyDescent="0.25">
      <c r="A49" s="7">
        <v>240</v>
      </c>
      <c r="B49" s="79">
        <v>1.22528E-3</v>
      </c>
      <c r="C49" s="83">
        <v>1030.4000000000001</v>
      </c>
      <c r="D49" s="83">
        <v>1037.8</v>
      </c>
      <c r="E49" s="82">
        <v>2.6960999999999999</v>
      </c>
      <c r="F49" s="82"/>
      <c r="G49" s="28"/>
      <c r="H49" s="28"/>
    </row>
    <row r="50" spans="1:8" ht="18.75" customHeight="1" x14ac:dyDescent="0.25">
      <c r="A50" s="7">
        <v>250</v>
      </c>
      <c r="B50" s="79">
        <v>1.24807E-3</v>
      </c>
      <c r="C50" s="83">
        <v>1078.2</v>
      </c>
      <c r="D50" s="83">
        <v>1085.7</v>
      </c>
      <c r="E50" s="82">
        <v>2.7886000000000002</v>
      </c>
      <c r="F50" s="82"/>
      <c r="G50" s="28"/>
      <c r="H50" s="28"/>
    </row>
    <row r="51" spans="1:8" ht="18.75" customHeight="1" x14ac:dyDescent="0.25">
      <c r="A51" s="7">
        <v>260</v>
      </c>
      <c r="B51" s="79">
        <v>1.27337E-3</v>
      </c>
      <c r="C51" s="83">
        <v>1127.0999999999999</v>
      </c>
      <c r="D51" s="83">
        <v>1134.7</v>
      </c>
      <c r="E51" s="82">
        <v>2.8814000000000002</v>
      </c>
      <c r="F51" s="82"/>
      <c r="G51" s="28"/>
      <c r="H51" s="28"/>
    </row>
    <row r="52" spans="1:8" ht="18.75" customHeight="1" x14ac:dyDescent="0.25">
      <c r="A52" s="7">
        <v>270</v>
      </c>
      <c r="B52" s="79">
        <v>1.3017700000000001E-3</v>
      </c>
      <c r="C52" s="83">
        <v>1177.3</v>
      </c>
      <c r="D52" s="83">
        <v>1185.0999999999999</v>
      </c>
      <c r="E52" s="82">
        <v>2.9750000000000001</v>
      </c>
      <c r="F52" s="82"/>
      <c r="G52" s="28"/>
      <c r="H52" s="28"/>
    </row>
    <row r="53" spans="1:8" ht="18.75" customHeight="1" x14ac:dyDescent="0.25">
      <c r="A53" s="7">
        <v>280</v>
      </c>
      <c r="B53" s="85">
        <v>3.3198999999999999E-2</v>
      </c>
      <c r="C53" s="83">
        <v>2606.1</v>
      </c>
      <c r="D53" s="83">
        <v>2805.3</v>
      </c>
      <c r="E53" s="82">
        <v>5.9276999999999997</v>
      </c>
      <c r="F53" s="82"/>
      <c r="G53" s="28"/>
      <c r="H53" s="28"/>
    </row>
    <row r="54" spans="1:8" ht="18.75" customHeight="1" x14ac:dyDescent="0.25">
      <c r="A54" s="7">
        <v>290</v>
      </c>
      <c r="B54" s="85">
        <v>3.4762000000000001E-2</v>
      </c>
      <c r="C54" s="83">
        <v>2638.9</v>
      </c>
      <c r="D54" s="83">
        <v>2847.5</v>
      </c>
      <c r="E54" s="82">
        <v>6.0034000000000001</v>
      </c>
      <c r="F54" s="82"/>
      <c r="G54" s="28"/>
      <c r="H54" s="28"/>
    </row>
    <row r="55" spans="1:8" ht="18.75" customHeight="1" x14ac:dyDescent="0.25">
      <c r="A55" s="7">
        <v>300</v>
      </c>
      <c r="B55" s="85">
        <v>3.6188999999999999E-2</v>
      </c>
      <c r="C55" s="83">
        <v>2668.4</v>
      </c>
      <c r="D55" s="83">
        <v>2885.5</v>
      </c>
      <c r="E55" s="82">
        <v>6.0702999999999996</v>
      </c>
      <c r="F55" s="82"/>
      <c r="G55" s="28"/>
      <c r="H55" s="28"/>
    </row>
    <row r="56" spans="1:8" ht="18.75" customHeight="1" x14ac:dyDescent="0.25">
      <c r="A56" s="7">
        <v>310</v>
      </c>
      <c r="B56" s="85">
        <v>3.7520999999999999E-2</v>
      </c>
      <c r="C56" s="83">
        <v>2695.5</v>
      </c>
      <c r="D56" s="83">
        <v>2920.6</v>
      </c>
      <c r="E56" s="82">
        <v>6.1310000000000002</v>
      </c>
      <c r="F56" s="82"/>
      <c r="G56" s="28"/>
      <c r="H56" s="28"/>
    </row>
    <row r="57" spans="1:8" ht="18.75" customHeight="1" x14ac:dyDescent="0.25">
      <c r="A57" s="7">
        <v>320</v>
      </c>
      <c r="B57" s="85">
        <v>3.8780000000000002E-2</v>
      </c>
      <c r="C57" s="83">
        <v>2720.9</v>
      </c>
      <c r="D57" s="83">
        <v>2953.6</v>
      </c>
      <c r="E57" s="82">
        <v>6.1871</v>
      </c>
      <c r="F57" s="82"/>
      <c r="G57" s="28"/>
      <c r="H57" s="28"/>
    </row>
    <row r="58" spans="1:8" ht="18.75" customHeight="1" x14ac:dyDescent="0.25">
      <c r="A58" s="7">
        <v>330</v>
      </c>
      <c r="B58" s="85">
        <v>3.9981000000000003E-2</v>
      </c>
      <c r="C58" s="83">
        <v>2745</v>
      </c>
      <c r="D58" s="83">
        <v>2984.9</v>
      </c>
      <c r="E58" s="82">
        <v>6.2394999999999996</v>
      </c>
      <c r="F58" s="82"/>
      <c r="G58" s="28"/>
      <c r="H58" s="28"/>
    </row>
    <row r="59" spans="1:8" ht="18.75" customHeight="1" x14ac:dyDescent="0.25">
      <c r="A59" s="7">
        <v>340</v>
      </c>
      <c r="B59" s="85">
        <v>4.1134999999999998E-2</v>
      </c>
      <c r="C59" s="83">
        <v>2768.1</v>
      </c>
      <c r="D59" s="83">
        <v>3014.9</v>
      </c>
      <c r="E59" s="82">
        <v>6.2888000000000002</v>
      </c>
      <c r="F59" s="82"/>
      <c r="G59" s="28"/>
      <c r="H59" s="28"/>
    </row>
    <row r="60" spans="1:8" ht="18.75" customHeight="1" x14ac:dyDescent="0.25">
      <c r="A60" s="7">
        <v>350</v>
      </c>
      <c r="B60" s="85">
        <v>4.2250999999999997E-2</v>
      </c>
      <c r="C60" s="83">
        <v>2790.4</v>
      </c>
      <c r="D60" s="83">
        <v>3043.9</v>
      </c>
      <c r="E60" s="82">
        <v>6.3357000000000001</v>
      </c>
      <c r="F60" s="82"/>
      <c r="G60" s="28"/>
      <c r="H60" s="28"/>
    </row>
    <row r="61" spans="1:8" ht="18.75" customHeight="1" x14ac:dyDescent="0.25">
      <c r="A61" s="7">
        <v>360</v>
      </c>
      <c r="B61" s="85">
        <v>4.3333000000000003E-2</v>
      </c>
      <c r="C61" s="83">
        <v>2812</v>
      </c>
      <c r="D61" s="83">
        <v>3072</v>
      </c>
      <c r="E61" s="82">
        <v>6.3803999999999998</v>
      </c>
      <c r="F61" s="82"/>
      <c r="G61" s="28"/>
      <c r="H61" s="28"/>
    </row>
    <row r="62" spans="1:8" ht="18.75" customHeight="1" x14ac:dyDescent="0.25">
      <c r="A62" s="7">
        <v>370</v>
      </c>
      <c r="B62" s="85">
        <v>4.4387999999999997E-2</v>
      </c>
      <c r="C62" s="83">
        <v>2833.1</v>
      </c>
      <c r="D62" s="83">
        <v>3099.4</v>
      </c>
      <c r="E62" s="82">
        <v>6.4233000000000002</v>
      </c>
      <c r="F62" s="82"/>
      <c r="G62" s="28"/>
      <c r="H62" s="28"/>
    </row>
    <row r="63" spans="1:8" ht="18.75" customHeight="1" x14ac:dyDescent="0.25">
      <c r="A63" s="7">
        <v>380</v>
      </c>
      <c r="B63" s="85">
        <v>4.5418E-2</v>
      </c>
      <c r="C63" s="83">
        <v>2853.6</v>
      </c>
      <c r="D63" s="83">
        <v>3126.1</v>
      </c>
      <c r="E63" s="82">
        <v>6.4645999999999999</v>
      </c>
      <c r="F63" s="82"/>
      <c r="G63" s="28"/>
      <c r="H63" s="28"/>
    </row>
    <row r="64" spans="1:8" ht="18.75" customHeight="1" x14ac:dyDescent="0.25">
      <c r="A64" s="7">
        <v>390</v>
      </c>
      <c r="B64" s="85">
        <v>4.6427999999999997E-2</v>
      </c>
      <c r="C64" s="83">
        <v>2873.8</v>
      </c>
      <c r="D64" s="83">
        <v>3152.4</v>
      </c>
      <c r="E64" s="82">
        <v>6.5045000000000002</v>
      </c>
      <c r="F64" s="82"/>
      <c r="G64" s="28"/>
      <c r="H64" s="28"/>
    </row>
    <row r="65" spans="1:8" ht="18.75" customHeight="1" x14ac:dyDescent="0.25">
      <c r="A65" s="7">
        <v>400</v>
      </c>
      <c r="B65" s="85">
        <v>4.7419000000000003E-2</v>
      </c>
      <c r="C65" s="83">
        <v>2893.7</v>
      </c>
      <c r="D65" s="83">
        <v>3178.2</v>
      </c>
      <c r="E65" s="82">
        <v>6.5431999999999997</v>
      </c>
      <c r="F65" s="82"/>
      <c r="G65" s="28"/>
      <c r="H65" s="28"/>
    </row>
    <row r="66" spans="1:8" ht="18.75" customHeight="1" x14ac:dyDescent="0.25">
      <c r="A66" s="7">
        <v>410</v>
      </c>
      <c r="B66" s="85">
        <v>4.8395000000000001E-2</v>
      </c>
      <c r="C66" s="83">
        <v>2913.3</v>
      </c>
      <c r="D66" s="83">
        <v>3203.7</v>
      </c>
      <c r="E66" s="82">
        <v>6.5807000000000002</v>
      </c>
      <c r="F66" s="82"/>
      <c r="G66" s="28"/>
      <c r="H66" s="28"/>
    </row>
    <row r="67" spans="1:8" ht="18.75" customHeight="1" x14ac:dyDescent="0.25">
      <c r="A67" s="7">
        <v>420</v>
      </c>
      <c r="B67" s="85">
        <v>4.9355000000000003E-2</v>
      </c>
      <c r="C67" s="83">
        <v>2932.8</v>
      </c>
      <c r="D67" s="83">
        <v>3228.9</v>
      </c>
      <c r="E67" s="82">
        <v>6.6173000000000002</v>
      </c>
      <c r="F67" s="82"/>
      <c r="G67" s="28"/>
      <c r="H67" s="28"/>
    </row>
    <row r="68" spans="1:8" ht="18.75" customHeight="1" x14ac:dyDescent="0.25">
      <c r="A68" s="7">
        <v>430</v>
      </c>
      <c r="B68" s="85">
        <v>5.0303E-2</v>
      </c>
      <c r="C68" s="83">
        <v>2952</v>
      </c>
      <c r="D68" s="83">
        <v>3253.8</v>
      </c>
      <c r="E68" s="82">
        <v>6.6529999999999996</v>
      </c>
      <c r="F68" s="82"/>
      <c r="G68" s="28"/>
      <c r="H68" s="28"/>
    </row>
    <row r="69" spans="1:8" ht="18.75" customHeight="1" x14ac:dyDescent="0.25">
      <c r="A69" s="7">
        <v>440</v>
      </c>
      <c r="B69" s="85">
        <v>5.1240000000000001E-2</v>
      </c>
      <c r="C69" s="83">
        <v>2971</v>
      </c>
      <c r="D69" s="83">
        <v>3278.4</v>
      </c>
      <c r="E69" s="82">
        <v>6.6878000000000002</v>
      </c>
      <c r="F69" s="82"/>
      <c r="G69" s="28"/>
      <c r="H69" s="28"/>
    </row>
    <row r="70" spans="1:8" ht="18.75" customHeight="1" x14ac:dyDescent="0.25">
      <c r="A70" s="7">
        <v>450</v>
      </c>
      <c r="B70" s="85">
        <v>5.2165999999999997E-2</v>
      </c>
      <c r="C70" s="83">
        <v>2989.9</v>
      </c>
      <c r="D70" s="83">
        <v>3302.9</v>
      </c>
      <c r="E70" s="82">
        <v>6.7218999999999998</v>
      </c>
      <c r="F70" s="82"/>
      <c r="G70" s="28"/>
      <c r="H70" s="28"/>
    </row>
    <row r="71" spans="1:8" ht="18.75" customHeight="1" x14ac:dyDescent="0.25">
      <c r="A71" s="7">
        <v>460</v>
      </c>
      <c r="B71" s="85">
        <v>5.3082999999999998E-2</v>
      </c>
      <c r="C71" s="83">
        <v>3008.7</v>
      </c>
      <c r="D71" s="83">
        <v>3327.2</v>
      </c>
      <c r="E71" s="82">
        <v>6.7552000000000003</v>
      </c>
      <c r="F71" s="82"/>
      <c r="G71" s="28"/>
      <c r="H71" s="28"/>
    </row>
    <row r="72" spans="1:8" ht="18.75" customHeight="1" x14ac:dyDescent="0.25">
      <c r="A72" s="7">
        <v>470</v>
      </c>
      <c r="B72" s="85">
        <v>5.3990999999999997E-2</v>
      </c>
      <c r="C72" s="83">
        <v>3027.5</v>
      </c>
      <c r="D72" s="83">
        <v>3351.4</v>
      </c>
      <c r="E72" s="82">
        <v>6.7880000000000003</v>
      </c>
      <c r="F72" s="82"/>
      <c r="G72" s="28"/>
      <c r="H72" s="28"/>
    </row>
    <row r="73" spans="1:8" ht="18.75" customHeight="1" x14ac:dyDescent="0.25">
      <c r="A73" s="7">
        <v>480</v>
      </c>
      <c r="B73" s="85">
        <v>5.4891000000000002E-2</v>
      </c>
      <c r="C73" s="83">
        <v>3046.1</v>
      </c>
      <c r="D73" s="83">
        <v>3375.4</v>
      </c>
      <c r="E73" s="82">
        <v>6.8201000000000001</v>
      </c>
      <c r="F73" s="82"/>
      <c r="G73" s="28"/>
      <c r="H73" s="28"/>
    </row>
    <row r="74" spans="1:8" ht="18.75" customHeight="1" x14ac:dyDescent="0.25">
      <c r="A74" s="7">
        <v>490</v>
      </c>
      <c r="B74" s="85">
        <v>5.5784E-2</v>
      </c>
      <c r="C74" s="83">
        <v>3064.6</v>
      </c>
      <c r="D74" s="83">
        <v>3399.3</v>
      </c>
      <c r="E74" s="82">
        <v>6.8516000000000004</v>
      </c>
      <c r="F74" s="82"/>
      <c r="G74" s="28"/>
      <c r="H74" s="28"/>
    </row>
    <row r="75" spans="1:8" ht="18.75" customHeight="1" x14ac:dyDescent="0.25">
      <c r="A75" s="7">
        <v>500</v>
      </c>
      <c r="B75" s="85">
        <v>5.6670999999999999E-2</v>
      </c>
      <c r="C75" s="83">
        <v>3083.1</v>
      </c>
      <c r="D75" s="83">
        <v>3423.1</v>
      </c>
      <c r="E75" s="82">
        <v>6.8826000000000001</v>
      </c>
      <c r="F75" s="82"/>
      <c r="G75" s="28"/>
      <c r="H75" s="28"/>
    </row>
    <row r="76" spans="1:8" ht="18.75" customHeight="1" x14ac:dyDescent="0.25">
      <c r="A76" s="7">
        <v>520</v>
      </c>
      <c r="B76" s="85">
        <v>5.8425999999999999E-2</v>
      </c>
      <c r="C76" s="83">
        <v>3119.9</v>
      </c>
      <c r="D76" s="83">
        <v>3470.5</v>
      </c>
      <c r="E76" s="82">
        <v>6.9432</v>
      </c>
      <c r="F76" s="82"/>
      <c r="G76" s="28"/>
      <c r="H76" s="28"/>
    </row>
    <row r="77" spans="1:8" ht="18.75" customHeight="1" x14ac:dyDescent="0.25">
      <c r="A77" s="7">
        <v>540</v>
      </c>
      <c r="B77" s="85">
        <v>6.0160999999999999E-2</v>
      </c>
      <c r="C77" s="83">
        <v>3156.7</v>
      </c>
      <c r="D77" s="83">
        <v>3517.7</v>
      </c>
      <c r="E77" s="82">
        <v>7.0019999999999998</v>
      </c>
      <c r="F77" s="82"/>
      <c r="G77" s="28"/>
      <c r="H77" s="28"/>
    </row>
    <row r="78" spans="1:8" ht="18.75" customHeight="1" x14ac:dyDescent="0.25">
      <c r="A78" s="7">
        <v>560</v>
      </c>
      <c r="B78" s="85">
        <v>6.1877000000000001E-2</v>
      </c>
      <c r="C78" s="83">
        <v>3193.5</v>
      </c>
      <c r="D78" s="83">
        <v>3564.8</v>
      </c>
      <c r="E78" s="82">
        <v>7.0590999999999999</v>
      </c>
      <c r="F78" s="82"/>
      <c r="G78" s="28"/>
      <c r="H78" s="28"/>
    </row>
    <row r="79" spans="1:8" ht="18.75" customHeight="1" x14ac:dyDescent="0.25">
      <c r="A79" s="7">
        <v>580</v>
      </c>
      <c r="B79" s="85">
        <v>6.3577999999999996E-2</v>
      </c>
      <c r="C79" s="83">
        <v>3230.3</v>
      </c>
      <c r="D79" s="83">
        <v>3611.8</v>
      </c>
      <c r="E79" s="82">
        <v>7.1148999999999996</v>
      </c>
      <c r="F79" s="82"/>
      <c r="G79" s="28"/>
      <c r="H79" s="28"/>
    </row>
    <row r="80" spans="1:8" ht="18.75" customHeight="1" x14ac:dyDescent="0.25">
      <c r="A80" s="7">
        <v>600</v>
      </c>
      <c r="B80" s="85">
        <v>6.5265000000000004E-2</v>
      </c>
      <c r="C80" s="83">
        <v>3267.1</v>
      </c>
      <c r="D80" s="83">
        <v>3658.7</v>
      </c>
      <c r="E80" s="82">
        <v>7.1692999999999998</v>
      </c>
      <c r="F80" s="82"/>
      <c r="G80" s="28"/>
      <c r="H80" s="28"/>
    </row>
    <row r="81" spans="1:8" ht="18.75" customHeight="1" x14ac:dyDescent="0.25">
      <c r="A81" s="7">
        <v>620</v>
      </c>
      <c r="B81" s="85">
        <v>6.6941000000000001E-2</v>
      </c>
      <c r="C81" s="83">
        <v>3304.1</v>
      </c>
      <c r="D81" s="83">
        <v>3705.7</v>
      </c>
      <c r="E81" s="82">
        <v>7.2224000000000004</v>
      </c>
      <c r="F81" s="82"/>
      <c r="G81" s="28"/>
      <c r="H81" s="28"/>
    </row>
    <row r="82" spans="1:8" ht="18.75" customHeight="1" x14ac:dyDescent="0.25">
      <c r="A82" s="7">
        <v>640</v>
      </c>
      <c r="B82" s="85">
        <v>6.8604999999999999E-2</v>
      </c>
      <c r="C82" s="83">
        <v>3341.1</v>
      </c>
      <c r="D82" s="83">
        <v>3752.7</v>
      </c>
      <c r="E82" s="82">
        <v>7.2744999999999997</v>
      </c>
      <c r="F82" s="82"/>
      <c r="G82" s="28"/>
      <c r="H82" s="28"/>
    </row>
    <row r="83" spans="1:8" ht="18.75" customHeight="1" x14ac:dyDescent="0.25">
      <c r="A83" s="7">
        <v>660</v>
      </c>
      <c r="B83" s="85">
        <v>7.0260000000000003E-2</v>
      </c>
      <c r="C83" s="83">
        <v>3378.2</v>
      </c>
      <c r="D83" s="83">
        <v>3799.8</v>
      </c>
      <c r="E83" s="82">
        <v>7.3254999999999999</v>
      </c>
      <c r="F83" s="82"/>
      <c r="G83" s="28"/>
      <c r="H83" s="28"/>
    </row>
    <row r="84" spans="1:8" ht="18.75" customHeight="1" x14ac:dyDescent="0.25">
      <c r="A84" s="7">
        <v>680</v>
      </c>
      <c r="B84" s="85">
        <v>7.1906999999999999E-2</v>
      </c>
      <c r="C84" s="83">
        <v>3415.6</v>
      </c>
      <c r="D84" s="83">
        <v>3847</v>
      </c>
      <c r="E84" s="82">
        <v>7.3754999999999997</v>
      </c>
      <c r="F84" s="82"/>
      <c r="G84" s="28"/>
      <c r="H84" s="28"/>
    </row>
    <row r="85" spans="1:8" ht="18.75" customHeight="1" x14ac:dyDescent="0.25">
      <c r="A85" s="7">
        <v>700</v>
      </c>
      <c r="B85" s="85">
        <v>7.3544999999999999E-2</v>
      </c>
      <c r="C85" s="83">
        <v>3453</v>
      </c>
      <c r="D85" s="83">
        <v>3894.3</v>
      </c>
      <c r="E85" s="82">
        <v>7.4245999999999999</v>
      </c>
      <c r="F85" s="82"/>
      <c r="G85" s="28"/>
      <c r="H85" s="28"/>
    </row>
    <row r="86" spans="1:8" ht="18.75" customHeight="1" x14ac:dyDescent="0.25">
      <c r="A86" s="7">
        <v>720</v>
      </c>
      <c r="B86" s="85">
        <v>7.5176999999999994E-2</v>
      </c>
      <c r="C86" s="83">
        <v>3490.6</v>
      </c>
      <c r="D86" s="83">
        <v>3941.7</v>
      </c>
      <c r="E86" s="82">
        <v>7.4729000000000001</v>
      </c>
      <c r="F86" s="82"/>
      <c r="G86" s="28"/>
      <c r="H86" s="28"/>
    </row>
    <row r="87" spans="1:8" ht="18.75" customHeight="1" x14ac:dyDescent="0.25">
      <c r="A87" s="7">
        <v>740</v>
      </c>
      <c r="B87" s="85">
        <v>7.6802999999999996E-2</v>
      </c>
      <c r="C87" s="83">
        <v>3528.5</v>
      </c>
      <c r="D87" s="83">
        <v>3989.3</v>
      </c>
      <c r="E87" s="82">
        <v>7.5202999999999998</v>
      </c>
      <c r="F87" s="82"/>
      <c r="G87" s="28"/>
      <c r="H87" s="28"/>
    </row>
    <row r="88" spans="1:8" ht="18.75" customHeight="1" x14ac:dyDescent="0.25">
      <c r="A88" s="7">
        <v>760</v>
      </c>
      <c r="B88" s="85">
        <v>7.8423000000000007E-2</v>
      </c>
      <c r="C88" s="83">
        <v>3566.5</v>
      </c>
      <c r="D88" s="83">
        <v>4037</v>
      </c>
      <c r="E88" s="82">
        <v>7.5670000000000002</v>
      </c>
      <c r="F88" s="82"/>
      <c r="G88" s="28"/>
      <c r="H88" s="28"/>
    </row>
    <row r="89" spans="1:8" ht="18.75" customHeight="1" x14ac:dyDescent="0.25">
      <c r="A89" s="7">
        <v>780</v>
      </c>
      <c r="B89" s="85">
        <v>8.0037999999999998E-2</v>
      </c>
      <c r="C89" s="83">
        <v>3604.8</v>
      </c>
      <c r="D89" s="83">
        <v>4085</v>
      </c>
      <c r="E89" s="82">
        <v>7.6128999999999998</v>
      </c>
      <c r="F89" s="82"/>
      <c r="G89" s="28"/>
      <c r="H89" s="28"/>
    </row>
    <row r="90" spans="1:8" ht="18.75" customHeight="1" x14ac:dyDescent="0.25">
      <c r="A90" s="7">
        <v>800</v>
      </c>
      <c r="B90" s="85">
        <v>8.1647999999999998E-2</v>
      </c>
      <c r="C90" s="83">
        <v>3643.2</v>
      </c>
      <c r="D90" s="83">
        <v>4133.1000000000004</v>
      </c>
      <c r="E90" s="82">
        <v>7.6581999999999999</v>
      </c>
      <c r="F90" s="82"/>
      <c r="G90" s="28"/>
      <c r="H90" s="28"/>
    </row>
    <row r="91" spans="1:8" ht="18.75" customHeight="1" x14ac:dyDescent="0.25">
      <c r="A91" s="7">
        <v>820</v>
      </c>
      <c r="B91" s="85">
        <v>8.3253999999999995E-2</v>
      </c>
      <c r="C91" s="83">
        <v>3681.9</v>
      </c>
      <c r="D91" s="83">
        <v>4181.3999999999996</v>
      </c>
      <c r="E91" s="82">
        <v>7.7027999999999999</v>
      </c>
      <c r="F91" s="82"/>
      <c r="G91" s="28"/>
      <c r="H91" s="28"/>
    </row>
    <row r="92" spans="1:8" ht="18.75" customHeight="1" x14ac:dyDescent="0.25">
      <c r="A92" s="7">
        <v>840</v>
      </c>
      <c r="B92" s="85">
        <v>8.4856000000000001E-2</v>
      </c>
      <c r="C92" s="83">
        <v>3720.8</v>
      </c>
      <c r="D92" s="83">
        <v>4229.8999999999996</v>
      </c>
      <c r="E92" s="82">
        <v>7.7466999999999997</v>
      </c>
      <c r="F92" s="82"/>
      <c r="G92" s="28"/>
      <c r="H92" s="28"/>
    </row>
    <row r="93" spans="1:8" ht="18.75" customHeight="1" x14ac:dyDescent="0.25">
      <c r="A93" s="7">
        <v>860</v>
      </c>
      <c r="B93" s="85">
        <v>8.6454000000000003E-2</v>
      </c>
      <c r="C93" s="83">
        <v>3759.9</v>
      </c>
      <c r="D93" s="83">
        <v>4278.6000000000004</v>
      </c>
      <c r="E93" s="82">
        <v>7.7900999999999998</v>
      </c>
      <c r="F93" s="82"/>
      <c r="G93" s="28"/>
      <c r="H93" s="28"/>
    </row>
    <row r="94" spans="1:8" ht="18.75" customHeight="1" x14ac:dyDescent="0.25">
      <c r="A94" s="7">
        <v>880</v>
      </c>
      <c r="B94" s="85">
        <v>8.8049000000000002E-2</v>
      </c>
      <c r="C94" s="83">
        <v>3799.2</v>
      </c>
      <c r="D94" s="83">
        <v>4327.5</v>
      </c>
      <c r="E94" s="82">
        <v>7.8329000000000004</v>
      </c>
      <c r="F94" s="82"/>
      <c r="G94" s="28"/>
      <c r="H94" s="28"/>
    </row>
    <row r="95" spans="1:8" ht="18.75" customHeight="1" x14ac:dyDescent="0.25">
      <c r="A95" s="7">
        <v>900</v>
      </c>
      <c r="B95" s="85">
        <v>8.9640999999999998E-2</v>
      </c>
      <c r="C95" s="83">
        <v>3838.8</v>
      </c>
      <c r="D95" s="83">
        <v>4376.6000000000004</v>
      </c>
      <c r="E95" s="82">
        <v>7.8750999999999998</v>
      </c>
      <c r="F95" s="82"/>
      <c r="G95" s="28"/>
      <c r="H95" s="28"/>
    </row>
    <row r="96" spans="1:8" ht="18.75" customHeight="1" x14ac:dyDescent="0.25">
      <c r="A96" s="7">
        <v>920</v>
      </c>
      <c r="B96" s="85">
        <v>9.1230000000000006E-2</v>
      </c>
      <c r="C96" s="83">
        <v>3878.5</v>
      </c>
      <c r="D96" s="83">
        <v>4425.8999999999996</v>
      </c>
      <c r="E96" s="82">
        <v>7.9168000000000003</v>
      </c>
      <c r="F96" s="82"/>
      <c r="G96" s="28"/>
      <c r="H96" s="28"/>
    </row>
    <row r="97" spans="1:8" ht="18.75" customHeight="1" x14ac:dyDescent="0.25">
      <c r="A97" s="7">
        <v>940</v>
      </c>
      <c r="B97" s="85">
        <v>9.2815999999999996E-2</v>
      </c>
      <c r="C97" s="83">
        <v>3918.6</v>
      </c>
      <c r="D97" s="83">
        <v>4475.5</v>
      </c>
      <c r="E97" s="82">
        <v>7.9580000000000002</v>
      </c>
      <c r="F97" s="82"/>
      <c r="G97" s="28"/>
      <c r="H97" s="28"/>
    </row>
    <row r="98" spans="1:8" ht="18.75" customHeight="1" x14ac:dyDescent="0.25">
      <c r="A98" s="7">
        <v>960</v>
      </c>
      <c r="B98" s="85">
        <v>9.4399999999999998E-2</v>
      </c>
      <c r="C98" s="83">
        <v>3958.8</v>
      </c>
      <c r="D98" s="83">
        <v>4525.2</v>
      </c>
      <c r="E98" s="82">
        <v>7.9987000000000004</v>
      </c>
      <c r="F98" s="82"/>
      <c r="G98" s="28"/>
      <c r="H98" s="28"/>
    </row>
    <row r="99" spans="1:8" ht="18.75" customHeight="1" x14ac:dyDescent="0.25">
      <c r="A99" s="7">
        <v>980</v>
      </c>
      <c r="B99" s="85">
        <v>9.5980999999999997E-2</v>
      </c>
      <c r="C99" s="83">
        <v>3999.3</v>
      </c>
      <c r="D99" s="83">
        <v>4575.2</v>
      </c>
      <c r="E99" s="82">
        <v>8.0388999999999999</v>
      </c>
      <c r="F99" s="82"/>
      <c r="G99" s="28"/>
      <c r="H99" s="28"/>
    </row>
    <row r="100" spans="1:8" ht="18.75" customHeight="1" x14ac:dyDescent="0.25">
      <c r="A100" s="7">
        <v>1000</v>
      </c>
      <c r="B100" s="85">
        <v>9.7559999999999994E-2</v>
      </c>
      <c r="C100" s="83">
        <v>4040</v>
      </c>
      <c r="D100" s="83">
        <v>4625.3999999999996</v>
      </c>
      <c r="E100" s="82">
        <v>8.0785999999999998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H100"/>
  <sheetViews>
    <sheetView topLeftCell="A36" workbookViewId="0">
      <selection activeCell="A54" sqref="A54:XFD54"/>
    </sheetView>
  </sheetViews>
  <sheetFormatPr defaultRowHeight="13.2" x14ac:dyDescent="0.25"/>
  <cols>
    <col min="1" max="1" width="9.5546875" customWidth="1"/>
    <col min="2" max="2" width="11.77734375" customWidth="1"/>
    <col min="3" max="3" width="6.77734375" customWidth="1"/>
    <col min="4" max="4" width="7.1093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84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6500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9.9693999999999998E-4</v>
      </c>
      <c r="C5" s="80">
        <v>7.0000000000000007E-2</v>
      </c>
      <c r="D5" s="80">
        <v>6.55</v>
      </c>
      <c r="E5" s="81">
        <v>2.1000000000000001E-4</v>
      </c>
      <c r="F5" s="81"/>
      <c r="G5" s="28"/>
      <c r="H5" s="28"/>
    </row>
    <row r="6" spans="1:8" ht="18.75" customHeight="1" x14ac:dyDescent="0.25">
      <c r="A6" s="7">
        <v>5</v>
      </c>
      <c r="B6" s="79">
        <v>9.969200000000001E-4</v>
      </c>
      <c r="C6" s="80">
        <v>20.98</v>
      </c>
      <c r="D6" s="80">
        <v>27.46</v>
      </c>
      <c r="E6" s="81">
        <v>7.6090000000000005E-2</v>
      </c>
      <c r="F6" s="81"/>
      <c r="G6" s="28"/>
      <c r="H6" s="28"/>
    </row>
    <row r="7" spans="1:8" ht="18.75" customHeight="1" x14ac:dyDescent="0.25">
      <c r="A7" s="7">
        <v>10</v>
      </c>
      <c r="B7" s="79">
        <v>9.9726999999999997E-4</v>
      </c>
      <c r="C7" s="80">
        <v>41.86</v>
      </c>
      <c r="D7" s="80">
        <v>48.34</v>
      </c>
      <c r="E7" s="81">
        <v>0.15046999999999999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9.9792999999999995E-4</v>
      </c>
      <c r="C8" s="80">
        <v>62.69</v>
      </c>
      <c r="D8" s="80">
        <v>69.180000000000007</v>
      </c>
      <c r="E8" s="81">
        <v>0.22345000000000001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9.9887999999999995E-4</v>
      </c>
      <c r="C9" s="80">
        <v>83.52</v>
      </c>
      <c r="D9" s="80">
        <v>90.01</v>
      </c>
      <c r="E9" s="81">
        <v>0.29510999999999998</v>
      </c>
      <c r="F9" s="81"/>
      <c r="G9" s="28"/>
      <c r="H9" s="28"/>
    </row>
    <row r="10" spans="1:8" ht="18.75" customHeight="1" x14ac:dyDescent="0.25">
      <c r="A10" s="7">
        <v>25</v>
      </c>
      <c r="B10" s="79">
        <v>1.0000899999999999E-3</v>
      </c>
      <c r="C10" s="80">
        <v>104.33</v>
      </c>
      <c r="D10" s="80">
        <v>110.83</v>
      </c>
      <c r="E10" s="81">
        <v>0.36553000000000002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1.0015200000000001E-3</v>
      </c>
      <c r="C11" s="80">
        <v>125.13</v>
      </c>
      <c r="D11" s="80">
        <v>131.63999999999999</v>
      </c>
      <c r="E11" s="81">
        <v>0.43475999999999998</v>
      </c>
      <c r="F11" s="81"/>
      <c r="G11" s="28"/>
      <c r="H11" s="28"/>
    </row>
    <row r="12" spans="1:8" ht="18.75" customHeight="1" x14ac:dyDescent="0.25">
      <c r="A12" s="7">
        <v>35</v>
      </c>
      <c r="B12" s="79">
        <v>1.0031700000000001E-3</v>
      </c>
      <c r="C12" s="80">
        <v>145.94</v>
      </c>
      <c r="D12" s="80">
        <v>152.46</v>
      </c>
      <c r="E12" s="81">
        <v>0.50285999999999997</v>
      </c>
      <c r="F12" s="81"/>
      <c r="G12" s="28"/>
      <c r="H12" s="28"/>
    </row>
    <row r="13" spans="1:8" ht="18.75" customHeight="1" x14ac:dyDescent="0.25">
      <c r="A13" s="7">
        <v>40</v>
      </c>
      <c r="B13" s="79">
        <v>1.0050199999999999E-3</v>
      </c>
      <c r="C13" s="80">
        <v>166.75</v>
      </c>
      <c r="D13" s="80">
        <v>173.28</v>
      </c>
      <c r="E13" s="81">
        <v>0.56988000000000005</v>
      </c>
      <c r="F13" s="81"/>
      <c r="G13" s="28"/>
      <c r="H13" s="28"/>
    </row>
    <row r="14" spans="1:8" ht="18.75" customHeight="1" x14ac:dyDescent="0.25">
      <c r="A14" s="7">
        <v>45</v>
      </c>
      <c r="B14" s="79">
        <v>1.0070599999999999E-3</v>
      </c>
      <c r="C14" s="80">
        <v>187.55</v>
      </c>
      <c r="D14" s="80">
        <v>194.1</v>
      </c>
      <c r="E14" s="81">
        <v>0.63585000000000003</v>
      </c>
      <c r="F14" s="81"/>
      <c r="G14" s="28"/>
      <c r="H14" s="28"/>
    </row>
    <row r="15" spans="1:8" ht="18.75" customHeight="1" x14ac:dyDescent="0.25">
      <c r="A15" s="7">
        <v>50</v>
      </c>
      <c r="B15" s="79">
        <v>1.00928E-3</v>
      </c>
      <c r="C15" s="80">
        <v>208.37</v>
      </c>
      <c r="D15" s="80">
        <v>214.93</v>
      </c>
      <c r="E15" s="81">
        <v>0.70081000000000004</v>
      </c>
      <c r="F15" s="81"/>
      <c r="G15" s="28"/>
      <c r="H15" s="28"/>
    </row>
    <row r="16" spans="1:8" ht="18.75" customHeight="1" x14ac:dyDescent="0.25">
      <c r="A16" s="7">
        <v>55</v>
      </c>
      <c r="B16" s="79">
        <v>1.0116700000000001E-3</v>
      </c>
      <c r="C16" s="80">
        <v>229.19</v>
      </c>
      <c r="D16" s="80">
        <v>235.77</v>
      </c>
      <c r="E16" s="81">
        <v>0.76480000000000004</v>
      </c>
      <c r="F16" s="81"/>
      <c r="G16" s="28"/>
      <c r="H16" s="28"/>
    </row>
    <row r="17" spans="1:8" ht="18.75" customHeight="1" x14ac:dyDescent="0.25">
      <c r="A17" s="7">
        <v>60</v>
      </c>
      <c r="B17" s="79">
        <v>1.0142199999999999E-3</v>
      </c>
      <c r="C17" s="80">
        <v>250.03</v>
      </c>
      <c r="D17" s="80">
        <v>256.62</v>
      </c>
      <c r="E17" s="81">
        <v>0.82786000000000004</v>
      </c>
      <c r="F17" s="81"/>
      <c r="G17" s="28"/>
      <c r="H17" s="28"/>
    </row>
    <row r="18" spans="1:8" ht="18.75" customHeight="1" x14ac:dyDescent="0.25">
      <c r="A18" s="7">
        <v>65</v>
      </c>
      <c r="B18" s="79">
        <v>1.01694E-3</v>
      </c>
      <c r="C18" s="80">
        <v>270.87</v>
      </c>
      <c r="D18" s="80">
        <v>277.48</v>
      </c>
      <c r="E18" s="81">
        <v>0.89000999999999997</v>
      </c>
      <c r="F18" s="81"/>
      <c r="G18" s="28"/>
      <c r="H18" s="28"/>
    </row>
    <row r="19" spans="1:8" ht="18.75" customHeight="1" x14ac:dyDescent="0.25">
      <c r="A19" s="7">
        <v>70</v>
      </c>
      <c r="B19" s="79">
        <v>1.0198200000000001E-3</v>
      </c>
      <c r="C19" s="80">
        <v>291.72000000000003</v>
      </c>
      <c r="D19" s="80">
        <v>298.35000000000002</v>
      </c>
      <c r="E19" s="81">
        <v>0.95128999999999997</v>
      </c>
      <c r="F19" s="81"/>
      <c r="G19" s="28"/>
      <c r="H19" s="28"/>
    </row>
    <row r="20" spans="1:8" ht="18.75" customHeight="1" x14ac:dyDescent="0.25">
      <c r="A20" s="7">
        <v>75</v>
      </c>
      <c r="B20" s="79">
        <v>1.0228399999999999E-3</v>
      </c>
      <c r="C20" s="80">
        <v>312.58999999999997</v>
      </c>
      <c r="D20" s="80">
        <v>319.24</v>
      </c>
      <c r="E20" s="82">
        <v>1.0117</v>
      </c>
      <c r="F20" s="82"/>
      <c r="G20" s="28"/>
      <c r="H20" s="28"/>
    </row>
    <row r="21" spans="1:8" ht="18.75" customHeight="1" x14ac:dyDescent="0.25">
      <c r="A21" s="7">
        <v>80</v>
      </c>
      <c r="B21" s="79">
        <v>1.0260200000000001E-3</v>
      </c>
      <c r="C21" s="80">
        <v>333.48</v>
      </c>
      <c r="D21" s="80">
        <v>340.15</v>
      </c>
      <c r="E21" s="82">
        <v>1.0712999999999999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1.0293500000000001E-3</v>
      </c>
      <c r="C22" s="80">
        <v>354.38</v>
      </c>
      <c r="D22" s="80">
        <v>361.07</v>
      </c>
      <c r="E22" s="82">
        <v>1.1302000000000001</v>
      </c>
      <c r="F22" s="82"/>
      <c r="G22" s="28"/>
      <c r="H22" s="28"/>
    </row>
    <row r="23" spans="1:8" ht="18.75" customHeight="1" x14ac:dyDescent="0.25">
      <c r="A23" s="7">
        <v>90</v>
      </c>
      <c r="B23" s="79">
        <v>1.03283E-3</v>
      </c>
      <c r="C23" s="80">
        <v>375.31</v>
      </c>
      <c r="D23" s="80">
        <v>382.02</v>
      </c>
      <c r="E23" s="82">
        <v>1.1882999999999999</v>
      </c>
      <c r="F23" s="82"/>
      <c r="G23" s="28"/>
      <c r="H23" s="28"/>
    </row>
    <row r="24" spans="1:8" ht="18.75" customHeight="1" x14ac:dyDescent="0.25">
      <c r="A24" s="7">
        <v>95</v>
      </c>
      <c r="B24" s="79">
        <v>1.03645E-3</v>
      </c>
      <c r="C24" s="80">
        <v>396.25</v>
      </c>
      <c r="D24" s="80">
        <v>402.99</v>
      </c>
      <c r="E24" s="82">
        <v>1.2456</v>
      </c>
      <c r="F24" s="82"/>
      <c r="G24" s="28"/>
      <c r="H24" s="28"/>
    </row>
    <row r="25" spans="1:8" ht="18.75" customHeight="1" x14ac:dyDescent="0.25">
      <c r="A25" s="7">
        <v>100</v>
      </c>
      <c r="B25" s="79">
        <v>1.0402300000000001E-3</v>
      </c>
      <c r="C25" s="80">
        <v>417.22</v>
      </c>
      <c r="D25" s="80">
        <v>423.98</v>
      </c>
      <c r="E25" s="82">
        <v>1.3022</v>
      </c>
      <c r="F25" s="82"/>
      <c r="G25" s="28"/>
      <c r="H25" s="28"/>
    </row>
    <row r="26" spans="1:8" ht="18.75" customHeight="1" x14ac:dyDescent="0.25">
      <c r="A26" s="7">
        <v>105</v>
      </c>
      <c r="B26" s="79">
        <v>1.04415E-3</v>
      </c>
      <c r="C26" s="80">
        <v>438.21</v>
      </c>
      <c r="D26" s="80">
        <v>445</v>
      </c>
      <c r="E26" s="82">
        <v>1.3582000000000001</v>
      </c>
      <c r="F26" s="82"/>
      <c r="G26" s="28"/>
      <c r="H26" s="28"/>
    </row>
    <row r="27" spans="1:8" ht="18.75" customHeight="1" x14ac:dyDescent="0.25">
      <c r="A27" s="7">
        <v>110</v>
      </c>
      <c r="B27" s="79">
        <v>1.0482200000000001E-3</v>
      </c>
      <c r="C27" s="80">
        <v>459.24</v>
      </c>
      <c r="D27" s="80">
        <v>466.05</v>
      </c>
      <c r="E27" s="82">
        <v>1.4135</v>
      </c>
      <c r="F27" s="82"/>
      <c r="G27" s="28"/>
      <c r="H27" s="28"/>
    </row>
    <row r="28" spans="1:8" ht="18.75" customHeight="1" x14ac:dyDescent="0.25">
      <c r="A28" s="7">
        <v>115</v>
      </c>
      <c r="B28" s="79">
        <v>1.0524499999999999E-3</v>
      </c>
      <c r="C28" s="80">
        <v>480.29</v>
      </c>
      <c r="D28" s="80">
        <v>487.13</v>
      </c>
      <c r="E28" s="82">
        <v>1.4681999999999999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1.05682E-3</v>
      </c>
      <c r="C29" s="80">
        <v>501.38</v>
      </c>
      <c r="D29" s="80">
        <v>508.25</v>
      </c>
      <c r="E29" s="82">
        <v>1.5222</v>
      </c>
      <c r="F29" s="82"/>
      <c r="G29" s="28"/>
      <c r="H29" s="28"/>
    </row>
    <row r="30" spans="1:8" ht="18.75" customHeight="1" x14ac:dyDescent="0.25">
      <c r="A30" s="7">
        <v>125</v>
      </c>
      <c r="B30" s="79">
        <v>1.0613599999999999E-3</v>
      </c>
      <c r="C30" s="80">
        <v>522.51</v>
      </c>
      <c r="D30" s="80">
        <v>529.41</v>
      </c>
      <c r="E30" s="82">
        <v>1.5757000000000001</v>
      </c>
      <c r="F30" s="82"/>
      <c r="G30" s="28"/>
      <c r="H30" s="28"/>
    </row>
    <row r="31" spans="1:8" ht="18.75" customHeight="1" x14ac:dyDescent="0.25">
      <c r="A31" s="7">
        <v>130</v>
      </c>
      <c r="B31" s="79">
        <v>1.06605E-3</v>
      </c>
      <c r="C31" s="80">
        <v>543.67999999999995</v>
      </c>
      <c r="D31" s="80">
        <v>550.61</v>
      </c>
      <c r="E31" s="82">
        <v>1.6286</v>
      </c>
      <c r="F31" s="82"/>
      <c r="G31" s="28"/>
      <c r="H31" s="28"/>
    </row>
    <row r="32" spans="1:8" ht="18.75" customHeight="1" x14ac:dyDescent="0.25">
      <c r="A32" s="7">
        <v>135</v>
      </c>
      <c r="B32" s="79">
        <v>1.07091E-3</v>
      </c>
      <c r="C32" s="80">
        <v>564.9</v>
      </c>
      <c r="D32" s="80">
        <v>571.86</v>
      </c>
      <c r="E32" s="82">
        <v>1.681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1.0759299999999999E-3</v>
      </c>
      <c r="C33" s="80">
        <v>586.16999999999996</v>
      </c>
      <c r="D33" s="80">
        <v>593.16</v>
      </c>
      <c r="E33" s="82">
        <v>1.7329000000000001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1.0811200000000001E-3</v>
      </c>
      <c r="C34" s="80">
        <v>607.48</v>
      </c>
      <c r="D34" s="80">
        <v>614.51</v>
      </c>
      <c r="E34" s="82">
        <v>1.7842</v>
      </c>
      <c r="F34" s="82"/>
      <c r="G34" s="28"/>
      <c r="H34" s="28"/>
    </row>
    <row r="35" spans="1:8" ht="18.75" customHeight="1" x14ac:dyDescent="0.25">
      <c r="A35" s="7">
        <v>150</v>
      </c>
      <c r="B35" s="79">
        <v>1.0864900000000001E-3</v>
      </c>
      <c r="C35" s="80">
        <v>628.86</v>
      </c>
      <c r="D35" s="80">
        <v>635.91999999999996</v>
      </c>
      <c r="E35" s="82">
        <v>1.8351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1.09205E-3</v>
      </c>
      <c r="C36" s="80">
        <v>650.29</v>
      </c>
      <c r="D36" s="80">
        <v>657.39</v>
      </c>
      <c r="E36" s="82">
        <v>1.8855999999999999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1.09779E-3</v>
      </c>
      <c r="C37" s="80">
        <v>671.79</v>
      </c>
      <c r="D37" s="80">
        <v>678.93</v>
      </c>
      <c r="E37" s="82">
        <v>1.9356</v>
      </c>
      <c r="F37" s="82"/>
      <c r="G37" s="28"/>
      <c r="H37" s="28"/>
    </row>
    <row r="38" spans="1:8" ht="18.75" customHeight="1" x14ac:dyDescent="0.25">
      <c r="A38" s="7">
        <v>165</v>
      </c>
      <c r="B38" s="79">
        <v>1.10373E-3</v>
      </c>
      <c r="C38" s="80">
        <v>693.37</v>
      </c>
      <c r="D38" s="80">
        <v>700.54</v>
      </c>
      <c r="E38" s="82">
        <v>1.9852000000000001</v>
      </c>
      <c r="F38" s="82"/>
      <c r="G38" s="28"/>
      <c r="H38" s="28"/>
    </row>
    <row r="39" spans="1:8" ht="18.75" customHeight="1" x14ac:dyDescent="0.25">
      <c r="A39" s="7">
        <v>170</v>
      </c>
      <c r="B39" s="79">
        <v>1.10987E-3</v>
      </c>
      <c r="C39" s="80">
        <v>715.02</v>
      </c>
      <c r="D39" s="80">
        <v>722.23</v>
      </c>
      <c r="E39" s="82">
        <v>2.0344000000000002</v>
      </c>
      <c r="F39" s="82"/>
      <c r="G39" s="28"/>
      <c r="H39" s="28"/>
    </row>
    <row r="40" spans="1:8" ht="18.75" customHeight="1" x14ac:dyDescent="0.25">
      <c r="A40" s="7">
        <v>175</v>
      </c>
      <c r="B40" s="79">
        <v>1.11623E-3</v>
      </c>
      <c r="C40" s="80">
        <v>736.74</v>
      </c>
      <c r="D40" s="80">
        <v>744</v>
      </c>
      <c r="E40" s="82">
        <v>2.0832999999999999</v>
      </c>
      <c r="F40" s="82"/>
      <c r="G40" s="28"/>
      <c r="H40" s="28"/>
    </row>
    <row r="41" spans="1:8" ht="18.75" customHeight="1" x14ac:dyDescent="0.25">
      <c r="A41" s="7">
        <v>180</v>
      </c>
      <c r="B41" s="79">
        <v>1.1228E-3</v>
      </c>
      <c r="C41" s="80">
        <v>758.56</v>
      </c>
      <c r="D41" s="80">
        <v>765.86</v>
      </c>
      <c r="E41" s="82">
        <v>2.1318000000000001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1.12962E-3</v>
      </c>
      <c r="C42" s="80">
        <v>780.47</v>
      </c>
      <c r="D42" s="80">
        <v>787.81</v>
      </c>
      <c r="E42" s="82">
        <v>2.1800000000000002</v>
      </c>
      <c r="F42" s="82"/>
      <c r="G42" s="28"/>
      <c r="H42" s="28"/>
    </row>
    <row r="43" spans="1:8" ht="18.75" customHeight="1" x14ac:dyDescent="0.25">
      <c r="A43" s="7">
        <v>190</v>
      </c>
      <c r="B43" s="79">
        <v>1.13667E-3</v>
      </c>
      <c r="C43" s="80">
        <v>802.47</v>
      </c>
      <c r="D43" s="80">
        <v>809.86</v>
      </c>
      <c r="E43" s="82">
        <v>2.2277999999999998</v>
      </c>
      <c r="F43" s="82"/>
      <c r="G43" s="28"/>
      <c r="H43" s="28"/>
    </row>
    <row r="44" spans="1:8" ht="18.75" customHeight="1" x14ac:dyDescent="0.25">
      <c r="A44" s="7">
        <v>195</v>
      </c>
      <c r="B44" s="79">
        <v>1.1439899999999999E-3</v>
      </c>
      <c r="C44" s="80">
        <v>824.59</v>
      </c>
      <c r="D44" s="80">
        <v>832.03</v>
      </c>
      <c r="E44" s="82">
        <v>2.2753999999999999</v>
      </c>
      <c r="F44" s="82"/>
      <c r="G44" s="28"/>
      <c r="H44" s="28"/>
    </row>
    <row r="45" spans="1:8" ht="18.75" customHeight="1" x14ac:dyDescent="0.25">
      <c r="A45" s="7">
        <v>200</v>
      </c>
      <c r="B45" s="79">
        <v>1.1515799999999999E-3</v>
      </c>
      <c r="C45" s="80">
        <v>846.81</v>
      </c>
      <c r="D45" s="80">
        <v>854.3</v>
      </c>
      <c r="E45" s="82">
        <v>2.3228</v>
      </c>
      <c r="F45" s="82"/>
      <c r="G45" s="28"/>
      <c r="H45" s="28"/>
    </row>
    <row r="46" spans="1:8" ht="18.75" customHeight="1" x14ac:dyDescent="0.25">
      <c r="A46" s="7">
        <v>210</v>
      </c>
      <c r="B46" s="79">
        <v>1.16764E-3</v>
      </c>
      <c r="C46" s="80">
        <v>891.65</v>
      </c>
      <c r="D46" s="80">
        <v>899.24</v>
      </c>
      <c r="E46" s="82">
        <v>2.4167999999999998</v>
      </c>
      <c r="F46" s="82"/>
      <c r="G46" s="28"/>
      <c r="H46" s="28"/>
    </row>
    <row r="47" spans="1:8" ht="18.75" customHeight="1" x14ac:dyDescent="0.25">
      <c r="A47" s="7">
        <v>220</v>
      </c>
      <c r="B47" s="79">
        <v>1.18501E-3</v>
      </c>
      <c r="C47" s="80">
        <v>937.05</v>
      </c>
      <c r="D47" s="80">
        <v>944.75</v>
      </c>
      <c r="E47" s="82">
        <v>2.5099999999999998</v>
      </c>
      <c r="F47" s="82"/>
      <c r="G47" s="28"/>
      <c r="H47" s="28"/>
    </row>
    <row r="48" spans="1:8" ht="18.75" customHeight="1" x14ac:dyDescent="0.25">
      <c r="A48" s="7">
        <v>230</v>
      </c>
      <c r="B48" s="79">
        <v>1.20389E-3</v>
      </c>
      <c r="C48" s="80">
        <v>983.1</v>
      </c>
      <c r="D48" s="80">
        <v>990.93</v>
      </c>
      <c r="E48" s="82">
        <v>2.6027</v>
      </c>
      <c r="F48" s="82"/>
      <c r="G48" s="28"/>
      <c r="H48" s="28"/>
    </row>
    <row r="49" spans="1:8" ht="18.75" customHeight="1" x14ac:dyDescent="0.25">
      <c r="A49" s="7">
        <v>240</v>
      </c>
      <c r="B49" s="79">
        <v>1.2245100000000001E-3</v>
      </c>
      <c r="C49" s="83">
        <v>1029.9000000000001</v>
      </c>
      <c r="D49" s="83">
        <v>1037.9000000000001</v>
      </c>
      <c r="E49" s="82">
        <v>2.6951000000000001</v>
      </c>
      <c r="F49" s="82"/>
      <c r="G49" s="28"/>
      <c r="H49" s="28"/>
    </row>
    <row r="50" spans="1:8" ht="18.75" customHeight="1" x14ac:dyDescent="0.25">
      <c r="A50" s="7">
        <v>250</v>
      </c>
      <c r="B50" s="79">
        <v>1.24719E-3</v>
      </c>
      <c r="C50" s="83">
        <v>1077.5999999999999</v>
      </c>
      <c r="D50" s="83">
        <v>1085.7</v>
      </c>
      <c r="E50" s="82">
        <v>2.7873999999999999</v>
      </c>
      <c r="F50" s="82"/>
      <c r="G50" s="28"/>
      <c r="H50" s="28"/>
    </row>
    <row r="51" spans="1:8" ht="18.75" customHeight="1" x14ac:dyDescent="0.25">
      <c r="A51" s="7">
        <v>260</v>
      </c>
      <c r="B51" s="79">
        <v>1.2723400000000001E-3</v>
      </c>
      <c r="C51" s="83">
        <v>1126.4000000000001</v>
      </c>
      <c r="D51" s="83">
        <v>1134.7</v>
      </c>
      <c r="E51" s="82">
        <v>2.8801000000000001</v>
      </c>
      <c r="F51" s="82"/>
      <c r="G51" s="28"/>
      <c r="H51" s="28"/>
    </row>
    <row r="52" spans="1:8" ht="18.75" customHeight="1" x14ac:dyDescent="0.25">
      <c r="A52" s="7">
        <v>270</v>
      </c>
      <c r="B52" s="79">
        <v>1.30054E-3</v>
      </c>
      <c r="C52" s="83">
        <v>1176.4000000000001</v>
      </c>
      <c r="D52" s="83">
        <v>1184.9000000000001</v>
      </c>
      <c r="E52" s="82">
        <v>2.9735</v>
      </c>
      <c r="F52" s="82"/>
      <c r="G52" s="28"/>
      <c r="H52" s="28"/>
    </row>
    <row r="53" spans="1:8" ht="18.75" customHeight="1" x14ac:dyDescent="0.25">
      <c r="A53" s="7">
        <v>280</v>
      </c>
      <c r="B53" s="79">
        <v>1.3326E-3</v>
      </c>
      <c r="C53" s="83">
        <v>1228.0999999999999</v>
      </c>
      <c r="D53" s="83">
        <v>1236.8</v>
      </c>
      <c r="E53" s="82">
        <v>3.0682</v>
      </c>
      <c r="F53" s="82"/>
      <c r="G53" s="28"/>
      <c r="H53" s="28"/>
    </row>
    <row r="54" spans="1:8" ht="18.75" customHeight="1" x14ac:dyDescent="0.25">
      <c r="A54" s="7">
        <v>290</v>
      </c>
      <c r="B54" s="85">
        <v>3.1179999999999999E-2</v>
      </c>
      <c r="C54" s="83">
        <v>2619.3000000000002</v>
      </c>
      <c r="D54" s="83">
        <v>2822</v>
      </c>
      <c r="E54" s="82">
        <v>5.9288999999999996</v>
      </c>
      <c r="F54" s="82"/>
      <c r="G54" s="28"/>
      <c r="H54" s="28"/>
    </row>
    <row r="55" spans="1:8" ht="18.75" customHeight="1" x14ac:dyDescent="0.25">
      <c r="A55" s="7">
        <v>300</v>
      </c>
      <c r="B55" s="85">
        <v>3.2606999999999997E-2</v>
      </c>
      <c r="C55" s="83">
        <v>2651.6</v>
      </c>
      <c r="D55" s="83">
        <v>2863.5</v>
      </c>
      <c r="E55" s="82">
        <v>6.0019</v>
      </c>
      <c r="F55" s="82"/>
      <c r="G55" s="28"/>
      <c r="H55" s="28"/>
    </row>
    <row r="56" spans="1:8" ht="18.75" customHeight="1" x14ac:dyDescent="0.25">
      <c r="A56" s="7">
        <v>310</v>
      </c>
      <c r="B56" s="85">
        <v>3.3919999999999999E-2</v>
      </c>
      <c r="C56" s="83">
        <v>2680.7</v>
      </c>
      <c r="D56" s="83">
        <v>2901.2</v>
      </c>
      <c r="E56" s="82">
        <v>6.0670999999999999</v>
      </c>
      <c r="F56" s="82"/>
      <c r="G56" s="28"/>
      <c r="H56" s="28"/>
    </row>
    <row r="57" spans="1:8" ht="18.75" customHeight="1" x14ac:dyDescent="0.25">
      <c r="A57" s="7">
        <v>320</v>
      </c>
      <c r="B57" s="85">
        <v>3.5149E-2</v>
      </c>
      <c r="C57" s="83">
        <v>2707.7</v>
      </c>
      <c r="D57" s="83">
        <v>2936.2</v>
      </c>
      <c r="E57" s="82">
        <v>6.1265999999999998</v>
      </c>
      <c r="F57" s="82"/>
      <c r="G57" s="28"/>
      <c r="H57" s="28"/>
    </row>
    <row r="58" spans="1:8" ht="18.75" customHeight="1" x14ac:dyDescent="0.25">
      <c r="A58" s="7">
        <v>330</v>
      </c>
      <c r="B58" s="85">
        <v>3.6312999999999998E-2</v>
      </c>
      <c r="C58" s="83">
        <v>2733.1</v>
      </c>
      <c r="D58" s="83">
        <v>2969.1</v>
      </c>
      <c r="E58" s="82">
        <v>6.1817000000000002</v>
      </c>
      <c r="F58" s="82"/>
      <c r="G58" s="28"/>
      <c r="H58" s="28"/>
    </row>
    <row r="59" spans="1:8" ht="18.75" customHeight="1" x14ac:dyDescent="0.25">
      <c r="A59" s="7">
        <v>340</v>
      </c>
      <c r="B59" s="85">
        <v>3.7425E-2</v>
      </c>
      <c r="C59" s="83">
        <v>2757.2</v>
      </c>
      <c r="D59" s="83">
        <v>3000.5</v>
      </c>
      <c r="E59" s="82">
        <v>6.2332999999999998</v>
      </c>
      <c r="F59" s="82"/>
      <c r="G59" s="28"/>
      <c r="H59" s="28"/>
    </row>
    <row r="60" spans="1:8" ht="18.75" customHeight="1" x14ac:dyDescent="0.25">
      <c r="A60" s="7">
        <v>350</v>
      </c>
      <c r="B60" s="85">
        <v>3.8494E-2</v>
      </c>
      <c r="C60" s="83">
        <v>2780.4</v>
      </c>
      <c r="D60" s="83">
        <v>3030.6</v>
      </c>
      <c r="E60" s="82">
        <v>6.282</v>
      </c>
      <c r="F60" s="82"/>
      <c r="G60" s="28"/>
      <c r="H60" s="28"/>
    </row>
    <row r="61" spans="1:8" ht="18.75" customHeight="1" x14ac:dyDescent="0.25">
      <c r="A61" s="7">
        <v>360</v>
      </c>
      <c r="B61" s="85">
        <v>3.9528000000000001E-2</v>
      </c>
      <c r="C61" s="83">
        <v>2802.8</v>
      </c>
      <c r="D61" s="83">
        <v>3059.7</v>
      </c>
      <c r="E61" s="82">
        <v>6.3282999999999996</v>
      </c>
      <c r="F61" s="82"/>
      <c r="G61" s="28"/>
      <c r="H61" s="28"/>
    </row>
    <row r="62" spans="1:8" ht="18.75" customHeight="1" x14ac:dyDescent="0.25">
      <c r="A62" s="7">
        <v>370</v>
      </c>
      <c r="B62" s="85">
        <v>4.0531999999999999E-2</v>
      </c>
      <c r="C62" s="83">
        <v>2824.4</v>
      </c>
      <c r="D62" s="83">
        <v>3087.9</v>
      </c>
      <c r="E62" s="82">
        <v>6.3724999999999996</v>
      </c>
      <c r="F62" s="82"/>
      <c r="G62" s="28"/>
      <c r="H62" s="28"/>
    </row>
    <row r="63" spans="1:8" ht="18.75" customHeight="1" x14ac:dyDescent="0.25">
      <c r="A63" s="7">
        <v>380</v>
      </c>
      <c r="B63" s="85">
        <v>4.1510999999999999E-2</v>
      </c>
      <c r="C63" s="83">
        <v>2845.6</v>
      </c>
      <c r="D63" s="83">
        <v>3115.4</v>
      </c>
      <c r="E63" s="82">
        <v>6.415</v>
      </c>
      <c r="F63" s="82"/>
      <c r="G63" s="28"/>
      <c r="H63" s="28"/>
    </row>
    <row r="64" spans="1:8" ht="18.75" customHeight="1" x14ac:dyDescent="0.25">
      <c r="A64" s="7">
        <v>390</v>
      </c>
      <c r="B64" s="85">
        <v>4.2466999999999998E-2</v>
      </c>
      <c r="C64" s="83">
        <v>2866.4</v>
      </c>
      <c r="D64" s="83">
        <v>3142.4</v>
      </c>
      <c r="E64" s="82">
        <v>6.4558999999999997</v>
      </c>
      <c r="F64" s="82"/>
      <c r="G64" s="28"/>
      <c r="H64" s="28"/>
    </row>
    <row r="65" spans="1:8" ht="18.75" customHeight="1" x14ac:dyDescent="0.25">
      <c r="A65" s="7">
        <v>400</v>
      </c>
      <c r="B65" s="85">
        <v>4.3403999999999998E-2</v>
      </c>
      <c r="C65" s="83">
        <v>2886.7</v>
      </c>
      <c r="D65" s="83">
        <v>3168.8</v>
      </c>
      <c r="E65" s="82">
        <v>6.4954000000000001</v>
      </c>
      <c r="F65" s="82"/>
      <c r="G65" s="28"/>
      <c r="H65" s="28"/>
    </row>
    <row r="66" spans="1:8" ht="18.75" customHeight="1" x14ac:dyDescent="0.25">
      <c r="A66" s="7">
        <v>410</v>
      </c>
      <c r="B66" s="85">
        <v>4.4325000000000003E-2</v>
      </c>
      <c r="C66" s="83">
        <v>2906.7</v>
      </c>
      <c r="D66" s="83">
        <v>3194.8</v>
      </c>
      <c r="E66" s="82">
        <v>6.5338000000000003</v>
      </c>
      <c r="F66" s="82"/>
      <c r="G66" s="28"/>
      <c r="H66" s="28"/>
    </row>
    <row r="67" spans="1:8" ht="18.75" customHeight="1" x14ac:dyDescent="0.25">
      <c r="A67" s="7">
        <v>420</v>
      </c>
      <c r="B67" s="85">
        <v>4.5229999999999999E-2</v>
      </c>
      <c r="C67" s="83">
        <v>2926.4</v>
      </c>
      <c r="D67" s="83">
        <v>3220.4</v>
      </c>
      <c r="E67" s="82">
        <v>6.5709999999999997</v>
      </c>
      <c r="F67" s="82"/>
      <c r="G67" s="28"/>
      <c r="H67" s="28"/>
    </row>
    <row r="68" spans="1:8" ht="18.75" customHeight="1" x14ac:dyDescent="0.25">
      <c r="A68" s="7">
        <v>430</v>
      </c>
      <c r="B68" s="85">
        <v>4.6122000000000003E-2</v>
      </c>
      <c r="C68" s="83">
        <v>2946</v>
      </c>
      <c r="D68" s="83">
        <v>3245.8</v>
      </c>
      <c r="E68" s="82">
        <v>6.6073000000000004</v>
      </c>
      <c r="F68" s="82"/>
      <c r="G68" s="28"/>
      <c r="H68" s="28"/>
    </row>
    <row r="69" spans="1:8" ht="18.75" customHeight="1" x14ac:dyDescent="0.25">
      <c r="A69" s="7">
        <v>440</v>
      </c>
      <c r="B69" s="85">
        <v>4.7002000000000002E-2</v>
      </c>
      <c r="C69" s="83">
        <v>2965.3</v>
      </c>
      <c r="D69" s="83">
        <v>3270.8</v>
      </c>
      <c r="E69" s="82">
        <v>6.6426999999999996</v>
      </c>
      <c r="F69" s="82"/>
      <c r="G69" s="28"/>
      <c r="H69" s="28"/>
    </row>
    <row r="70" spans="1:8" ht="18.75" customHeight="1" x14ac:dyDescent="0.25">
      <c r="A70" s="7">
        <v>450</v>
      </c>
      <c r="B70" s="85">
        <v>4.7870999999999997E-2</v>
      </c>
      <c r="C70" s="83">
        <v>2984.4</v>
      </c>
      <c r="D70" s="83">
        <v>3295.6</v>
      </c>
      <c r="E70" s="82">
        <v>6.6772999999999998</v>
      </c>
      <c r="F70" s="82"/>
      <c r="G70" s="28"/>
      <c r="H70" s="28"/>
    </row>
    <row r="71" spans="1:8" ht="18.75" customHeight="1" x14ac:dyDescent="0.25">
      <c r="A71" s="7">
        <v>460</v>
      </c>
      <c r="B71" s="85">
        <v>4.8730000000000002E-2</v>
      </c>
      <c r="C71" s="83">
        <v>3003.6</v>
      </c>
      <c r="D71" s="83">
        <v>3320.3</v>
      </c>
      <c r="E71" s="82">
        <v>6.7111000000000001</v>
      </c>
      <c r="F71" s="82"/>
      <c r="G71" s="28"/>
      <c r="H71" s="28"/>
    </row>
    <row r="72" spans="1:8" ht="18.75" customHeight="1" x14ac:dyDescent="0.25">
      <c r="A72" s="7">
        <v>470</v>
      </c>
      <c r="B72" s="85">
        <v>4.9581E-2</v>
      </c>
      <c r="C72" s="83">
        <v>3022.4</v>
      </c>
      <c r="D72" s="83">
        <v>3344.7</v>
      </c>
      <c r="E72" s="82">
        <v>6.7442000000000002</v>
      </c>
      <c r="F72" s="82"/>
      <c r="G72" s="28"/>
      <c r="H72" s="28"/>
    </row>
    <row r="73" spans="1:8" ht="18.75" customHeight="1" x14ac:dyDescent="0.25">
      <c r="A73" s="7">
        <v>480</v>
      </c>
      <c r="B73" s="85">
        <v>5.0423000000000003E-2</v>
      </c>
      <c r="C73" s="83">
        <v>3041.3</v>
      </c>
      <c r="D73" s="83">
        <v>3369</v>
      </c>
      <c r="E73" s="82">
        <v>6.7766999999999999</v>
      </c>
      <c r="F73" s="82"/>
      <c r="G73" s="28"/>
      <c r="H73" s="28"/>
    </row>
    <row r="74" spans="1:8" ht="18.75" customHeight="1" x14ac:dyDescent="0.25">
      <c r="A74" s="7">
        <v>490</v>
      </c>
      <c r="B74" s="85">
        <v>5.1258999999999999E-2</v>
      </c>
      <c r="C74" s="83">
        <v>3060</v>
      </c>
      <c r="D74" s="83">
        <v>3393.2</v>
      </c>
      <c r="E74" s="82">
        <v>6.8086000000000002</v>
      </c>
      <c r="F74" s="82"/>
      <c r="G74" s="28"/>
      <c r="H74" s="28"/>
    </row>
    <row r="75" spans="1:8" ht="18.75" customHeight="1" x14ac:dyDescent="0.25">
      <c r="A75" s="7">
        <v>500</v>
      </c>
      <c r="B75" s="85">
        <v>5.2087000000000001E-2</v>
      </c>
      <c r="C75" s="83">
        <v>3078.7</v>
      </c>
      <c r="D75" s="83">
        <v>3417.3</v>
      </c>
      <c r="E75" s="82">
        <v>6.8399000000000001</v>
      </c>
      <c r="F75" s="82"/>
      <c r="G75" s="28"/>
      <c r="H75" s="28"/>
    </row>
    <row r="76" spans="1:8" ht="18.75" customHeight="1" x14ac:dyDescent="0.25">
      <c r="A76" s="7">
        <v>520</v>
      </c>
      <c r="B76" s="85">
        <v>5.3726000000000003E-2</v>
      </c>
      <c r="C76" s="83">
        <v>3115.9</v>
      </c>
      <c r="D76" s="83">
        <v>3465.1</v>
      </c>
      <c r="E76" s="82">
        <v>6.9010999999999996</v>
      </c>
      <c r="F76" s="82"/>
      <c r="G76" s="28"/>
      <c r="H76" s="28"/>
    </row>
    <row r="77" spans="1:8" ht="18.75" customHeight="1" x14ac:dyDescent="0.25">
      <c r="A77" s="7">
        <v>540</v>
      </c>
      <c r="B77" s="85">
        <v>5.5343999999999997E-2</v>
      </c>
      <c r="C77" s="83">
        <v>3153</v>
      </c>
      <c r="D77" s="83">
        <v>3512.7</v>
      </c>
      <c r="E77" s="82">
        <v>6.9603000000000002</v>
      </c>
      <c r="F77" s="82"/>
      <c r="G77" s="28"/>
      <c r="H77" s="28"/>
    </row>
    <row r="78" spans="1:8" ht="18.75" customHeight="1" x14ac:dyDescent="0.25">
      <c r="A78" s="7">
        <v>560</v>
      </c>
      <c r="B78" s="85">
        <v>5.6943000000000001E-2</v>
      </c>
      <c r="C78" s="83">
        <v>3190.1</v>
      </c>
      <c r="D78" s="83">
        <v>3560.2</v>
      </c>
      <c r="E78" s="82">
        <v>7.0179</v>
      </c>
      <c r="F78" s="82"/>
      <c r="G78" s="28"/>
      <c r="H78" s="28"/>
    </row>
    <row r="79" spans="1:8" ht="18.75" customHeight="1" x14ac:dyDescent="0.25">
      <c r="A79" s="7">
        <v>580</v>
      </c>
      <c r="B79" s="85">
        <v>5.8526000000000002E-2</v>
      </c>
      <c r="C79" s="83">
        <v>3227</v>
      </c>
      <c r="D79" s="83">
        <v>3607.4</v>
      </c>
      <c r="E79" s="82">
        <v>7.0739999999999998</v>
      </c>
      <c r="F79" s="82"/>
      <c r="G79" s="28"/>
      <c r="H79" s="28"/>
    </row>
    <row r="80" spans="1:8" ht="18.75" customHeight="1" x14ac:dyDescent="0.25">
      <c r="A80" s="7">
        <v>600</v>
      </c>
      <c r="B80" s="85">
        <v>6.0095999999999997E-2</v>
      </c>
      <c r="C80" s="83">
        <v>3264.1</v>
      </c>
      <c r="D80" s="83">
        <v>3654.7</v>
      </c>
      <c r="E80" s="82">
        <v>7.1288</v>
      </c>
      <c r="F80" s="82"/>
      <c r="G80" s="28"/>
      <c r="H80" s="28"/>
    </row>
    <row r="81" spans="1:8" ht="18.75" customHeight="1" x14ac:dyDescent="0.25">
      <c r="A81" s="7">
        <v>620</v>
      </c>
      <c r="B81" s="85">
        <v>6.1652999999999999E-2</v>
      </c>
      <c r="C81" s="83">
        <v>3301.2</v>
      </c>
      <c r="D81" s="83">
        <v>3701.9</v>
      </c>
      <c r="E81" s="82">
        <v>7.1821999999999999</v>
      </c>
      <c r="F81" s="82"/>
      <c r="G81" s="28"/>
      <c r="H81" s="28"/>
    </row>
    <row r="82" spans="1:8" ht="18.75" customHeight="1" x14ac:dyDescent="0.25">
      <c r="A82" s="7">
        <v>640</v>
      </c>
      <c r="B82" s="85">
        <v>6.3200000000000006E-2</v>
      </c>
      <c r="C82" s="83">
        <v>3338.3</v>
      </c>
      <c r="D82" s="83">
        <v>3749.1</v>
      </c>
      <c r="E82" s="82">
        <v>7.2344999999999997</v>
      </c>
      <c r="F82" s="82"/>
      <c r="G82" s="28"/>
      <c r="H82" s="28"/>
    </row>
    <row r="83" spans="1:8" ht="18.75" customHeight="1" x14ac:dyDescent="0.25">
      <c r="A83" s="7">
        <v>660</v>
      </c>
      <c r="B83" s="85">
        <v>6.4737000000000003E-2</v>
      </c>
      <c r="C83" s="83">
        <v>3375.6</v>
      </c>
      <c r="D83" s="83">
        <v>3796.4</v>
      </c>
      <c r="E83" s="82">
        <v>7.2858000000000001</v>
      </c>
      <c r="F83" s="82"/>
      <c r="G83" s="28"/>
      <c r="H83" s="28"/>
    </row>
    <row r="84" spans="1:8" ht="18.75" customHeight="1" x14ac:dyDescent="0.25">
      <c r="A84" s="7">
        <v>680</v>
      </c>
      <c r="B84" s="85">
        <v>6.6266000000000005E-2</v>
      </c>
      <c r="C84" s="83">
        <v>3413.1</v>
      </c>
      <c r="D84" s="83">
        <v>3843.8</v>
      </c>
      <c r="E84" s="82">
        <v>7.3360000000000003</v>
      </c>
      <c r="F84" s="82"/>
      <c r="G84" s="28"/>
      <c r="H84" s="28"/>
    </row>
    <row r="85" spans="1:8" ht="18.75" customHeight="1" x14ac:dyDescent="0.25">
      <c r="A85" s="7">
        <v>700</v>
      </c>
      <c r="B85" s="85">
        <v>6.7785999999999999E-2</v>
      </c>
      <c r="C85" s="83">
        <v>3450.7</v>
      </c>
      <c r="D85" s="83">
        <v>3891.3</v>
      </c>
      <c r="E85" s="82">
        <v>7.3853</v>
      </c>
      <c r="F85" s="82"/>
      <c r="G85" s="28"/>
      <c r="H85" s="28"/>
    </row>
    <row r="86" spans="1:8" ht="18.75" customHeight="1" x14ac:dyDescent="0.25">
      <c r="A86" s="7">
        <v>720</v>
      </c>
      <c r="B86" s="85">
        <v>6.93E-2</v>
      </c>
      <c r="C86" s="83">
        <v>3488.4</v>
      </c>
      <c r="D86" s="83">
        <v>3938.9</v>
      </c>
      <c r="E86" s="82">
        <v>7.4337</v>
      </c>
      <c r="F86" s="82"/>
      <c r="G86" s="28"/>
      <c r="H86" s="28"/>
    </row>
    <row r="87" spans="1:8" ht="18.75" customHeight="1" x14ac:dyDescent="0.25">
      <c r="A87" s="7">
        <v>740</v>
      </c>
      <c r="B87" s="85">
        <v>7.0807999999999996E-2</v>
      </c>
      <c r="C87" s="83">
        <v>3526.3</v>
      </c>
      <c r="D87" s="83">
        <v>3986.6</v>
      </c>
      <c r="E87" s="82">
        <v>7.4813000000000001</v>
      </c>
      <c r="F87" s="82"/>
      <c r="G87" s="28"/>
      <c r="H87" s="28"/>
    </row>
    <row r="88" spans="1:8" ht="18.75" customHeight="1" x14ac:dyDescent="0.25">
      <c r="A88" s="7">
        <v>760</v>
      </c>
      <c r="B88" s="85">
        <v>7.2309999999999999E-2</v>
      </c>
      <c r="C88" s="83">
        <v>3564.5</v>
      </c>
      <c r="D88" s="83">
        <v>4034.5</v>
      </c>
      <c r="E88" s="82">
        <v>7.5281000000000002</v>
      </c>
      <c r="F88" s="82"/>
      <c r="G88" s="28"/>
      <c r="H88" s="28"/>
    </row>
    <row r="89" spans="1:8" ht="18.75" customHeight="1" x14ac:dyDescent="0.25">
      <c r="A89" s="7">
        <v>780</v>
      </c>
      <c r="B89" s="85">
        <v>7.3805999999999997E-2</v>
      </c>
      <c r="C89" s="83">
        <v>3602.8</v>
      </c>
      <c r="D89" s="83">
        <v>4082.5</v>
      </c>
      <c r="E89" s="82">
        <v>7.5740999999999996</v>
      </c>
      <c r="F89" s="82"/>
      <c r="G89" s="28"/>
      <c r="H89" s="28"/>
    </row>
    <row r="90" spans="1:8" ht="18.75" customHeight="1" x14ac:dyDescent="0.25">
      <c r="A90" s="7">
        <v>800</v>
      </c>
      <c r="B90" s="85">
        <v>7.5298000000000004E-2</v>
      </c>
      <c r="C90" s="83">
        <v>3641.4</v>
      </c>
      <c r="D90" s="83">
        <v>4130.8</v>
      </c>
      <c r="E90" s="82">
        <v>7.6195000000000004</v>
      </c>
      <c r="F90" s="82"/>
      <c r="G90" s="28"/>
      <c r="H90" s="28"/>
    </row>
    <row r="91" spans="1:8" ht="18.75" customHeight="1" x14ac:dyDescent="0.25">
      <c r="A91" s="7">
        <v>820</v>
      </c>
      <c r="B91" s="85">
        <v>7.6785999999999993E-2</v>
      </c>
      <c r="C91" s="83">
        <v>3680.1</v>
      </c>
      <c r="D91" s="83">
        <v>4179.2</v>
      </c>
      <c r="E91" s="82">
        <v>7.6642000000000001</v>
      </c>
      <c r="F91" s="82"/>
      <c r="G91" s="28"/>
      <c r="H91" s="28"/>
    </row>
    <row r="92" spans="1:8" ht="18.75" customHeight="1" x14ac:dyDescent="0.25">
      <c r="A92" s="7">
        <v>840</v>
      </c>
      <c r="B92" s="85">
        <v>7.8269000000000005E-2</v>
      </c>
      <c r="C92" s="83">
        <v>3719.1</v>
      </c>
      <c r="D92" s="83">
        <v>4227.8</v>
      </c>
      <c r="E92" s="82">
        <v>7.7083000000000004</v>
      </c>
      <c r="F92" s="82"/>
      <c r="G92" s="28"/>
      <c r="H92" s="28"/>
    </row>
    <row r="93" spans="1:8" ht="18.75" customHeight="1" x14ac:dyDescent="0.25">
      <c r="A93" s="7">
        <v>860</v>
      </c>
      <c r="B93" s="85">
        <v>7.9749E-2</v>
      </c>
      <c r="C93" s="83">
        <v>3758.2</v>
      </c>
      <c r="D93" s="83">
        <v>4276.6000000000004</v>
      </c>
      <c r="E93" s="82">
        <v>7.7516999999999996</v>
      </c>
      <c r="F93" s="82"/>
      <c r="G93" s="28"/>
      <c r="H93" s="28"/>
    </row>
    <row r="94" spans="1:8" ht="18.75" customHeight="1" x14ac:dyDescent="0.25">
      <c r="A94" s="7">
        <v>880</v>
      </c>
      <c r="B94" s="85">
        <v>8.1226000000000007E-2</v>
      </c>
      <c r="C94" s="83">
        <v>3797.6</v>
      </c>
      <c r="D94" s="83">
        <v>4325.6000000000004</v>
      </c>
      <c r="E94" s="82">
        <v>7.7946</v>
      </c>
      <c r="F94" s="82"/>
      <c r="G94" s="28"/>
      <c r="H94" s="28"/>
    </row>
    <row r="95" spans="1:8" ht="18.75" customHeight="1" x14ac:dyDescent="0.25">
      <c r="A95" s="7">
        <v>900</v>
      </c>
      <c r="B95" s="85">
        <v>8.2698999999999995E-2</v>
      </c>
      <c r="C95" s="83">
        <v>3837.3</v>
      </c>
      <c r="D95" s="83">
        <v>4374.8</v>
      </c>
      <c r="E95" s="82">
        <v>7.8369</v>
      </c>
      <c r="F95" s="82"/>
      <c r="G95" s="28"/>
      <c r="H95" s="28"/>
    </row>
    <row r="96" spans="1:8" ht="18.75" customHeight="1" x14ac:dyDescent="0.25">
      <c r="A96" s="7">
        <v>920</v>
      </c>
      <c r="B96" s="85">
        <v>8.4169999999999995E-2</v>
      </c>
      <c r="C96" s="83">
        <v>3877.1</v>
      </c>
      <c r="D96" s="83">
        <v>4424.2</v>
      </c>
      <c r="E96" s="82">
        <v>7.8785999999999996</v>
      </c>
      <c r="F96" s="82"/>
      <c r="G96" s="28"/>
      <c r="H96" s="28"/>
    </row>
    <row r="97" spans="1:8" ht="18.75" customHeight="1" x14ac:dyDescent="0.25">
      <c r="A97" s="7">
        <v>940</v>
      </c>
      <c r="B97" s="85">
        <v>8.5638000000000006E-2</v>
      </c>
      <c r="C97" s="83">
        <v>3917.2</v>
      </c>
      <c r="D97" s="83">
        <v>4473.8</v>
      </c>
      <c r="E97" s="82">
        <v>7.9199000000000002</v>
      </c>
      <c r="F97" s="82"/>
      <c r="G97" s="28"/>
      <c r="H97" s="28"/>
    </row>
    <row r="98" spans="1:8" ht="18.75" customHeight="1" x14ac:dyDescent="0.25">
      <c r="A98" s="7">
        <v>960</v>
      </c>
      <c r="B98" s="85">
        <v>8.7103E-2</v>
      </c>
      <c r="C98" s="83">
        <v>3957.4</v>
      </c>
      <c r="D98" s="83">
        <v>4523.6000000000004</v>
      </c>
      <c r="E98" s="82">
        <v>7.9606000000000003</v>
      </c>
      <c r="F98" s="82"/>
      <c r="G98" s="28"/>
      <c r="H98" s="28"/>
    </row>
    <row r="99" spans="1:8" ht="18.75" customHeight="1" x14ac:dyDescent="0.25">
      <c r="A99" s="7">
        <v>980</v>
      </c>
      <c r="B99" s="85">
        <v>8.8566000000000006E-2</v>
      </c>
      <c r="C99" s="83">
        <v>3998</v>
      </c>
      <c r="D99" s="83">
        <v>4573.7</v>
      </c>
      <c r="E99" s="82">
        <v>8.0008999999999997</v>
      </c>
      <c r="F99" s="82"/>
      <c r="G99" s="28"/>
      <c r="H99" s="28"/>
    </row>
    <row r="100" spans="1:8" ht="18.75" customHeight="1" x14ac:dyDescent="0.25">
      <c r="A100" s="7">
        <v>1000</v>
      </c>
      <c r="B100" s="85">
        <v>9.0026999999999996E-2</v>
      </c>
      <c r="C100" s="83">
        <v>4038.8</v>
      </c>
      <c r="D100" s="83">
        <v>4624</v>
      </c>
      <c r="E100" s="82">
        <v>8.0406999999999993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H100"/>
  <sheetViews>
    <sheetView topLeftCell="A38" workbookViewId="0">
      <selection activeCell="A54" sqref="A54:XFD54"/>
    </sheetView>
  </sheetViews>
  <sheetFormatPr defaultRowHeight="13.2" x14ac:dyDescent="0.25"/>
  <cols>
    <col min="1" max="1" width="9.44140625" customWidth="1"/>
    <col min="2" max="2" width="10.5546875" customWidth="1"/>
    <col min="3" max="3" width="8.44140625" customWidth="1"/>
    <col min="4" max="4" width="7.21875" customWidth="1"/>
    <col min="5" max="5" width="8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206" t="s">
        <v>85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7000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9.9668999999999995E-4</v>
      </c>
      <c r="C5" s="80">
        <v>7.0000000000000007E-2</v>
      </c>
      <c r="D5" s="80">
        <v>7.05</v>
      </c>
      <c r="E5" s="81">
        <v>2.3000000000000001E-4</v>
      </c>
      <c r="F5" s="81"/>
      <c r="G5" s="47"/>
      <c r="H5" s="47"/>
    </row>
    <row r="6" spans="1:8" ht="18.75" customHeight="1" x14ac:dyDescent="0.25">
      <c r="A6" s="45">
        <v>5</v>
      </c>
      <c r="B6" s="79">
        <v>9.9668000000000001E-4</v>
      </c>
      <c r="C6" s="80">
        <v>20.98</v>
      </c>
      <c r="D6" s="80">
        <v>27.96</v>
      </c>
      <c r="E6" s="81">
        <v>7.6069999999999999E-2</v>
      </c>
      <c r="F6" s="81"/>
      <c r="G6" s="47"/>
      <c r="H6" s="47"/>
    </row>
    <row r="7" spans="1:8" ht="18.75" customHeight="1" x14ac:dyDescent="0.25">
      <c r="A7" s="45">
        <v>10</v>
      </c>
      <c r="B7" s="79">
        <v>9.9703000000000009E-4</v>
      </c>
      <c r="C7" s="80">
        <v>41.84</v>
      </c>
      <c r="D7" s="80">
        <v>48.82</v>
      </c>
      <c r="E7" s="81">
        <v>0.15040999999999999</v>
      </c>
      <c r="F7" s="81"/>
      <c r="G7" s="47"/>
      <c r="H7" s="47"/>
    </row>
    <row r="8" spans="1:8" ht="18.75" customHeight="1" x14ac:dyDescent="0.25">
      <c r="A8" s="45">
        <v>15</v>
      </c>
      <c r="B8" s="79">
        <v>9.9770999999999996E-4</v>
      </c>
      <c r="C8" s="80">
        <v>62.68</v>
      </c>
      <c r="D8" s="80">
        <v>69.66</v>
      </c>
      <c r="E8" s="81">
        <v>0.22336</v>
      </c>
      <c r="F8" s="81"/>
      <c r="G8" s="47"/>
      <c r="H8" s="47"/>
    </row>
    <row r="9" spans="1:8" ht="18.75" customHeight="1" x14ac:dyDescent="0.25">
      <c r="A9" s="45">
        <v>20</v>
      </c>
      <c r="B9" s="79">
        <v>9.9865999999999996E-4</v>
      </c>
      <c r="C9" s="80">
        <v>83.49</v>
      </c>
      <c r="D9" s="80">
        <v>90.48</v>
      </c>
      <c r="E9" s="81">
        <v>0.29499999999999998</v>
      </c>
      <c r="F9" s="81"/>
      <c r="G9" s="47"/>
      <c r="H9" s="47"/>
    </row>
    <row r="10" spans="1:8" ht="18.75" customHeight="1" x14ac:dyDescent="0.25">
      <c r="A10" s="45">
        <v>25</v>
      </c>
      <c r="B10" s="79">
        <v>9.9985999999999998E-4</v>
      </c>
      <c r="C10" s="80">
        <v>104.29</v>
      </c>
      <c r="D10" s="80">
        <v>111.29</v>
      </c>
      <c r="E10" s="81">
        <v>0.3654</v>
      </c>
      <c r="F10" s="81"/>
      <c r="G10" s="47"/>
      <c r="H10" s="47"/>
    </row>
    <row r="11" spans="1:8" ht="18.75" customHeight="1" x14ac:dyDescent="0.25">
      <c r="A11" s="45">
        <v>30</v>
      </c>
      <c r="B11" s="79">
        <v>1.0013000000000001E-3</v>
      </c>
      <c r="C11" s="80">
        <v>125.09</v>
      </c>
      <c r="D11" s="80">
        <v>132.1</v>
      </c>
      <c r="E11" s="81">
        <v>0.43461</v>
      </c>
      <c r="F11" s="81"/>
      <c r="G11" s="47"/>
      <c r="H11" s="47"/>
    </row>
    <row r="12" spans="1:8" ht="18.75" customHeight="1" x14ac:dyDescent="0.25">
      <c r="A12" s="45">
        <v>35</v>
      </c>
      <c r="B12" s="79">
        <v>1.0029500000000001E-3</v>
      </c>
      <c r="C12" s="80">
        <v>145.88999999999999</v>
      </c>
      <c r="D12" s="80">
        <v>152.91</v>
      </c>
      <c r="E12" s="81">
        <v>0.50268999999999997</v>
      </c>
      <c r="F12" s="81"/>
      <c r="G12" s="47"/>
      <c r="H12" s="47"/>
    </row>
    <row r="13" spans="1:8" ht="18.75" customHeight="1" x14ac:dyDescent="0.25">
      <c r="A13" s="45">
        <v>40</v>
      </c>
      <c r="B13" s="79">
        <v>1.0047999999999999E-3</v>
      </c>
      <c r="C13" s="80">
        <v>166.69</v>
      </c>
      <c r="D13" s="80">
        <v>173.72</v>
      </c>
      <c r="E13" s="81">
        <v>0.56967999999999996</v>
      </c>
      <c r="F13" s="81"/>
      <c r="G13" s="47"/>
      <c r="H13" s="47"/>
    </row>
    <row r="14" spans="1:8" ht="18.75" customHeight="1" x14ac:dyDescent="0.25">
      <c r="A14" s="45">
        <v>45</v>
      </c>
      <c r="B14" s="79">
        <v>1.0068399999999999E-3</v>
      </c>
      <c r="C14" s="80">
        <v>187.49</v>
      </c>
      <c r="D14" s="80">
        <v>194.54</v>
      </c>
      <c r="E14" s="81">
        <v>0.63563000000000003</v>
      </c>
      <c r="F14" s="81"/>
      <c r="G14" s="47"/>
      <c r="H14" s="47"/>
    </row>
    <row r="15" spans="1:8" ht="18.75" customHeight="1" x14ac:dyDescent="0.25">
      <c r="A15" s="45">
        <v>50</v>
      </c>
      <c r="B15" s="79">
        <v>1.00906E-3</v>
      </c>
      <c r="C15" s="80">
        <v>208.3</v>
      </c>
      <c r="D15" s="80">
        <v>215.36</v>
      </c>
      <c r="E15" s="81">
        <v>0.70057999999999998</v>
      </c>
      <c r="F15" s="81"/>
      <c r="G15" s="47"/>
      <c r="H15" s="47"/>
    </row>
    <row r="16" spans="1:8" ht="18.75" customHeight="1" x14ac:dyDescent="0.25">
      <c r="A16" s="45">
        <v>55</v>
      </c>
      <c r="B16" s="79">
        <v>1.0114499999999999E-3</v>
      </c>
      <c r="C16" s="80">
        <v>229.11</v>
      </c>
      <c r="D16" s="80">
        <v>236.19</v>
      </c>
      <c r="E16" s="81">
        <v>0.76456000000000002</v>
      </c>
      <c r="F16" s="81"/>
      <c r="G16" s="47"/>
      <c r="H16" s="47"/>
    </row>
    <row r="17" spans="1:8" ht="18.75" customHeight="1" x14ac:dyDescent="0.25">
      <c r="A17" s="45">
        <v>60</v>
      </c>
      <c r="B17" s="79">
        <v>1.0139999999999999E-3</v>
      </c>
      <c r="C17" s="80">
        <v>249.94</v>
      </c>
      <c r="D17" s="80">
        <v>257.04000000000002</v>
      </c>
      <c r="E17" s="81">
        <v>0.8276</v>
      </c>
      <c r="F17" s="81"/>
      <c r="G17" s="47"/>
      <c r="H17" s="47"/>
    </row>
    <row r="18" spans="1:8" ht="18.75" customHeight="1" x14ac:dyDescent="0.25">
      <c r="A18" s="45">
        <v>65</v>
      </c>
      <c r="B18" s="79">
        <v>1.01672E-3</v>
      </c>
      <c r="C18" s="80">
        <v>270.77</v>
      </c>
      <c r="D18" s="80">
        <v>277.89</v>
      </c>
      <c r="E18" s="81">
        <v>0.88973000000000002</v>
      </c>
      <c r="F18" s="81"/>
      <c r="G18" s="47"/>
      <c r="H18" s="47"/>
    </row>
    <row r="19" spans="1:8" ht="18.75" customHeight="1" x14ac:dyDescent="0.25">
      <c r="A19" s="45">
        <v>70</v>
      </c>
      <c r="B19" s="79">
        <v>1.0195899999999999E-3</v>
      </c>
      <c r="C19" s="80">
        <v>291.62</v>
      </c>
      <c r="D19" s="80">
        <v>298.76</v>
      </c>
      <c r="E19" s="81">
        <v>0.95099999999999996</v>
      </c>
      <c r="F19" s="81"/>
      <c r="G19" s="47"/>
      <c r="H19" s="47"/>
    </row>
    <row r="20" spans="1:8" ht="18.75" customHeight="1" x14ac:dyDescent="0.25">
      <c r="A20" s="45">
        <v>75</v>
      </c>
      <c r="B20" s="79">
        <v>1.0226199999999999E-3</v>
      </c>
      <c r="C20" s="80">
        <v>312.49</v>
      </c>
      <c r="D20" s="80">
        <v>319.64999999999998</v>
      </c>
      <c r="E20" s="82">
        <v>1.0114000000000001</v>
      </c>
      <c r="F20" s="82"/>
      <c r="G20" s="47"/>
      <c r="H20" s="47"/>
    </row>
    <row r="21" spans="1:8" ht="18.75" customHeight="1" x14ac:dyDescent="0.25">
      <c r="A21" s="45">
        <v>80</v>
      </c>
      <c r="B21" s="79">
        <v>1.0257899999999999E-3</v>
      </c>
      <c r="C21" s="80">
        <v>333.37</v>
      </c>
      <c r="D21" s="80">
        <v>340.55</v>
      </c>
      <c r="E21" s="82">
        <v>1.071</v>
      </c>
      <c r="F21" s="82"/>
      <c r="G21" s="47"/>
      <c r="H21" s="47"/>
    </row>
    <row r="22" spans="1:8" ht="18.75" customHeight="1" x14ac:dyDescent="0.25">
      <c r="A22" s="45">
        <v>85</v>
      </c>
      <c r="B22" s="79">
        <v>1.0291199999999999E-3</v>
      </c>
      <c r="C22" s="80">
        <v>354.27</v>
      </c>
      <c r="D22" s="80">
        <v>361.47</v>
      </c>
      <c r="E22" s="82">
        <v>1.1297999999999999</v>
      </c>
      <c r="F22" s="82"/>
      <c r="G22" s="47"/>
      <c r="H22" s="47"/>
    </row>
    <row r="23" spans="1:8" ht="18.75" customHeight="1" x14ac:dyDescent="0.25">
      <c r="A23" s="45">
        <v>90</v>
      </c>
      <c r="B23" s="79">
        <v>1.0325899999999999E-3</v>
      </c>
      <c r="C23" s="80">
        <v>375.18</v>
      </c>
      <c r="D23" s="80">
        <v>382.41</v>
      </c>
      <c r="E23" s="82">
        <v>1.1879</v>
      </c>
      <c r="F23" s="82"/>
      <c r="G23" s="47"/>
      <c r="H23" s="47"/>
    </row>
    <row r="24" spans="1:8" ht="18.75" customHeight="1" x14ac:dyDescent="0.25">
      <c r="A24" s="45">
        <v>95</v>
      </c>
      <c r="B24" s="79">
        <v>1.0362100000000001E-3</v>
      </c>
      <c r="C24" s="80">
        <v>396.12</v>
      </c>
      <c r="D24" s="80">
        <v>403.37</v>
      </c>
      <c r="E24" s="82">
        <v>1.2452000000000001</v>
      </c>
      <c r="F24" s="82"/>
      <c r="G24" s="47"/>
      <c r="H24" s="47"/>
    </row>
    <row r="25" spans="1:8" ht="18.75" customHeight="1" x14ac:dyDescent="0.25">
      <c r="A25" s="45">
        <v>100</v>
      </c>
      <c r="B25" s="79">
        <v>1.03998E-3</v>
      </c>
      <c r="C25" s="80">
        <v>417.08</v>
      </c>
      <c r="D25" s="80">
        <v>424.36</v>
      </c>
      <c r="E25" s="82">
        <v>1.3019000000000001</v>
      </c>
      <c r="F25" s="82"/>
      <c r="G25" s="47"/>
      <c r="H25" s="47"/>
    </row>
    <row r="26" spans="1:8" ht="18.75" customHeight="1" x14ac:dyDescent="0.25">
      <c r="A26" s="45">
        <v>105</v>
      </c>
      <c r="B26" s="79">
        <v>1.0438999999999999E-3</v>
      </c>
      <c r="C26" s="80">
        <v>438.06</v>
      </c>
      <c r="D26" s="80">
        <v>445.37</v>
      </c>
      <c r="E26" s="82">
        <v>1.3577999999999999</v>
      </c>
      <c r="F26" s="82"/>
      <c r="G26" s="47"/>
      <c r="H26" s="47"/>
    </row>
    <row r="27" spans="1:8" ht="18.75" customHeight="1" x14ac:dyDescent="0.25">
      <c r="A27" s="45">
        <v>110</v>
      </c>
      <c r="B27" s="79">
        <v>1.0479599999999999E-3</v>
      </c>
      <c r="C27" s="80">
        <v>459.07</v>
      </c>
      <c r="D27" s="80">
        <v>466.41</v>
      </c>
      <c r="E27" s="82">
        <v>1.4131</v>
      </c>
      <c r="F27" s="82"/>
      <c r="G27" s="47"/>
      <c r="H27" s="47"/>
    </row>
    <row r="28" spans="1:8" ht="18.75" customHeight="1" x14ac:dyDescent="0.25">
      <c r="A28" s="45">
        <v>115</v>
      </c>
      <c r="B28" s="79">
        <v>1.05218E-3</v>
      </c>
      <c r="C28" s="80">
        <v>480.12</v>
      </c>
      <c r="D28" s="80">
        <v>487.49</v>
      </c>
      <c r="E28" s="82">
        <v>1.4677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1.0565500000000001E-3</v>
      </c>
      <c r="C29" s="80">
        <v>501.21</v>
      </c>
      <c r="D29" s="80">
        <v>508.61</v>
      </c>
      <c r="E29" s="82">
        <v>1.5218</v>
      </c>
      <c r="F29" s="82"/>
      <c r="G29" s="47"/>
      <c r="H29" s="47"/>
    </row>
    <row r="30" spans="1:8" ht="18.75" customHeight="1" x14ac:dyDescent="0.25">
      <c r="A30" s="45">
        <v>125</v>
      </c>
      <c r="B30" s="79">
        <v>1.0610800000000001E-3</v>
      </c>
      <c r="C30" s="80">
        <v>522.33000000000004</v>
      </c>
      <c r="D30" s="80">
        <v>529.76</v>
      </c>
      <c r="E30" s="82">
        <v>1.5752999999999999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1.06576E-3</v>
      </c>
      <c r="C31" s="80">
        <v>543.49</v>
      </c>
      <c r="D31" s="80">
        <v>550.95000000000005</v>
      </c>
      <c r="E31" s="82">
        <v>1.6282000000000001</v>
      </c>
      <c r="F31" s="82"/>
      <c r="G31" s="47"/>
      <c r="H31" s="47"/>
    </row>
    <row r="32" spans="1:8" ht="18.75" customHeight="1" x14ac:dyDescent="0.25">
      <c r="A32" s="45">
        <v>135</v>
      </c>
      <c r="B32" s="79">
        <v>1.0706100000000001E-3</v>
      </c>
      <c r="C32" s="80">
        <v>564.70000000000005</v>
      </c>
      <c r="D32" s="80">
        <v>572.19000000000005</v>
      </c>
      <c r="E32" s="82">
        <v>1.6805000000000001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1.07562E-3</v>
      </c>
      <c r="C33" s="80">
        <v>585.95000000000005</v>
      </c>
      <c r="D33" s="80">
        <v>593.48</v>
      </c>
      <c r="E33" s="82">
        <v>1.7323999999999999</v>
      </c>
      <c r="F33" s="82"/>
      <c r="G33" s="47"/>
      <c r="H33" s="47"/>
    </row>
    <row r="34" spans="1:8" ht="18.75" customHeight="1" x14ac:dyDescent="0.25">
      <c r="A34" s="45">
        <v>145</v>
      </c>
      <c r="B34" s="79">
        <v>1.08081E-3</v>
      </c>
      <c r="C34" s="80">
        <v>607.26</v>
      </c>
      <c r="D34" s="80">
        <v>614.83000000000004</v>
      </c>
      <c r="E34" s="82">
        <v>1.7837000000000001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1.08617E-3</v>
      </c>
      <c r="C35" s="80">
        <v>628.63</v>
      </c>
      <c r="D35" s="80">
        <v>636.23</v>
      </c>
      <c r="E35" s="82">
        <v>1.8346</v>
      </c>
      <c r="F35" s="82"/>
      <c r="G35" s="47"/>
      <c r="H35" s="47"/>
    </row>
    <row r="36" spans="1:8" ht="18.75" customHeight="1" x14ac:dyDescent="0.25">
      <c r="A36" s="45">
        <v>155</v>
      </c>
      <c r="B36" s="79">
        <v>1.0917100000000001E-3</v>
      </c>
      <c r="C36" s="80">
        <v>650.04999999999995</v>
      </c>
      <c r="D36" s="80">
        <v>657.69</v>
      </c>
      <c r="E36" s="82">
        <v>1.885</v>
      </c>
      <c r="F36" s="82"/>
      <c r="G36" s="47"/>
      <c r="H36" s="47"/>
    </row>
    <row r="37" spans="1:8" ht="18.75" customHeight="1" x14ac:dyDescent="0.25">
      <c r="A37" s="45">
        <v>160</v>
      </c>
      <c r="B37" s="79">
        <v>1.0974400000000001E-3</v>
      </c>
      <c r="C37" s="80">
        <v>671.54</v>
      </c>
      <c r="D37" s="80">
        <v>679.22</v>
      </c>
      <c r="E37" s="82">
        <v>1.9350000000000001</v>
      </c>
      <c r="F37" s="82"/>
      <c r="G37" s="47"/>
      <c r="H37" s="47"/>
    </row>
    <row r="38" spans="1:8" ht="18.75" customHeight="1" x14ac:dyDescent="0.25">
      <c r="A38" s="45">
        <v>165</v>
      </c>
      <c r="B38" s="79">
        <v>1.1033600000000001E-3</v>
      </c>
      <c r="C38" s="80">
        <v>693.11</v>
      </c>
      <c r="D38" s="80">
        <v>700.83</v>
      </c>
      <c r="E38" s="82">
        <v>1.9845999999999999</v>
      </c>
      <c r="F38" s="82"/>
      <c r="G38" s="47"/>
      <c r="H38" s="47"/>
    </row>
    <row r="39" spans="1:8" ht="18.75" customHeight="1" x14ac:dyDescent="0.25">
      <c r="A39" s="45">
        <v>170</v>
      </c>
      <c r="B39" s="79">
        <v>1.1094900000000001E-3</v>
      </c>
      <c r="C39" s="80">
        <v>714.74</v>
      </c>
      <c r="D39" s="80">
        <v>722.51</v>
      </c>
      <c r="E39" s="82">
        <v>2.0337999999999998</v>
      </c>
      <c r="F39" s="82"/>
      <c r="G39" s="47"/>
      <c r="H39" s="47"/>
    </row>
    <row r="40" spans="1:8" ht="18.75" customHeight="1" x14ac:dyDescent="0.25">
      <c r="A40" s="45">
        <v>175</v>
      </c>
      <c r="B40" s="79">
        <v>1.1158299999999999E-3</v>
      </c>
      <c r="C40" s="80">
        <v>736.46</v>
      </c>
      <c r="D40" s="80">
        <v>744.27</v>
      </c>
      <c r="E40" s="82">
        <v>2.0825999999999998</v>
      </c>
      <c r="F40" s="82"/>
      <c r="G40" s="47"/>
      <c r="H40" s="47"/>
    </row>
    <row r="41" spans="1:8" ht="18.75" customHeight="1" x14ac:dyDescent="0.25">
      <c r="A41" s="45">
        <v>180</v>
      </c>
      <c r="B41" s="79">
        <v>1.12239E-3</v>
      </c>
      <c r="C41" s="80">
        <v>758.25</v>
      </c>
      <c r="D41" s="80">
        <v>766.11</v>
      </c>
      <c r="E41" s="82">
        <v>2.1311</v>
      </c>
      <c r="F41" s="82"/>
      <c r="G41" s="47"/>
      <c r="H41" s="47"/>
    </row>
    <row r="42" spans="1:8" ht="18.75" customHeight="1" x14ac:dyDescent="0.25">
      <c r="A42" s="45">
        <v>185</v>
      </c>
      <c r="B42" s="79">
        <v>1.12919E-3</v>
      </c>
      <c r="C42" s="80">
        <v>780.16</v>
      </c>
      <c r="D42" s="80">
        <v>788.06</v>
      </c>
      <c r="E42" s="82">
        <v>2.1793</v>
      </c>
      <c r="F42" s="82"/>
      <c r="G42" s="47"/>
      <c r="H42" s="47"/>
    </row>
    <row r="43" spans="1:8" ht="18.75" customHeight="1" x14ac:dyDescent="0.25">
      <c r="A43" s="45">
        <v>190</v>
      </c>
      <c r="B43" s="79">
        <v>1.13623E-3</v>
      </c>
      <c r="C43" s="80">
        <v>802.15</v>
      </c>
      <c r="D43" s="80">
        <v>810.1</v>
      </c>
      <c r="E43" s="82">
        <v>2.2271000000000001</v>
      </c>
      <c r="F43" s="82"/>
      <c r="G43" s="47"/>
      <c r="H43" s="47"/>
    </row>
    <row r="44" spans="1:8" ht="18.75" customHeight="1" x14ac:dyDescent="0.25">
      <c r="A44" s="45">
        <v>195</v>
      </c>
      <c r="B44" s="79">
        <v>1.1435200000000001E-3</v>
      </c>
      <c r="C44" s="80">
        <v>824.25</v>
      </c>
      <c r="D44" s="80">
        <v>832.25</v>
      </c>
      <c r="E44" s="82">
        <v>2.2747000000000002</v>
      </c>
      <c r="F44" s="82"/>
      <c r="G44" s="47"/>
      <c r="H44" s="47"/>
    </row>
    <row r="45" spans="1:8" ht="18.75" customHeight="1" x14ac:dyDescent="0.25">
      <c r="A45" s="45">
        <v>200</v>
      </c>
      <c r="B45" s="79">
        <v>1.15109E-3</v>
      </c>
      <c r="C45" s="80">
        <v>846.45</v>
      </c>
      <c r="D45" s="80">
        <v>854.51</v>
      </c>
      <c r="E45" s="82">
        <v>2.3220000000000001</v>
      </c>
      <c r="F45" s="82"/>
      <c r="G45" s="47"/>
      <c r="H45" s="47"/>
    </row>
    <row r="46" spans="1:8" ht="18.75" customHeight="1" x14ac:dyDescent="0.25">
      <c r="A46" s="45">
        <v>210</v>
      </c>
      <c r="B46" s="79">
        <v>1.1670999999999999E-3</v>
      </c>
      <c r="C46" s="80">
        <v>891.25</v>
      </c>
      <c r="D46" s="80">
        <v>899.42</v>
      </c>
      <c r="E46" s="82">
        <v>2.4159000000000002</v>
      </c>
      <c r="F46" s="82"/>
      <c r="G46" s="47"/>
      <c r="H46" s="47"/>
    </row>
    <row r="47" spans="1:8" ht="18.75" customHeight="1" x14ac:dyDescent="0.25">
      <c r="A47" s="45">
        <v>220</v>
      </c>
      <c r="B47" s="79">
        <v>1.1844100000000001E-3</v>
      </c>
      <c r="C47" s="80">
        <v>936.61</v>
      </c>
      <c r="D47" s="80">
        <v>944.9</v>
      </c>
      <c r="E47" s="82">
        <v>2.5091000000000001</v>
      </c>
      <c r="F47" s="82"/>
      <c r="G47" s="47"/>
      <c r="H47" s="47"/>
    </row>
    <row r="48" spans="1:8" ht="18.75" customHeight="1" x14ac:dyDescent="0.25">
      <c r="A48" s="45">
        <v>230</v>
      </c>
      <c r="B48" s="79">
        <v>1.2032099999999999E-3</v>
      </c>
      <c r="C48" s="80">
        <v>982.62</v>
      </c>
      <c r="D48" s="80">
        <v>991.04</v>
      </c>
      <c r="E48" s="82">
        <v>2.6017000000000001</v>
      </c>
      <c r="F48" s="82"/>
      <c r="G48" s="47"/>
      <c r="H48" s="47"/>
    </row>
    <row r="49" spans="1:8" ht="18.75" customHeight="1" x14ac:dyDescent="0.25">
      <c r="A49" s="45">
        <v>240</v>
      </c>
      <c r="B49" s="79">
        <v>1.2237400000000001E-3</v>
      </c>
      <c r="C49" s="83">
        <v>1029.3</v>
      </c>
      <c r="D49" s="83">
        <v>1037.9000000000001</v>
      </c>
      <c r="E49" s="82">
        <v>2.694</v>
      </c>
      <c r="F49" s="82"/>
      <c r="G49" s="47"/>
      <c r="H49" s="47"/>
    </row>
    <row r="50" spans="1:8" ht="18.75" customHeight="1" x14ac:dyDescent="0.25">
      <c r="A50" s="45">
        <v>250</v>
      </c>
      <c r="B50" s="79">
        <v>1.24631E-3</v>
      </c>
      <c r="C50" s="83">
        <v>1077</v>
      </c>
      <c r="D50" s="83">
        <v>1085.7</v>
      </c>
      <c r="E50" s="82">
        <v>2.7862</v>
      </c>
      <c r="F50" s="82"/>
      <c r="G50" s="47"/>
      <c r="H50" s="47"/>
    </row>
    <row r="51" spans="1:8" ht="18.75" customHeight="1" x14ac:dyDescent="0.25">
      <c r="A51" s="45">
        <v>260</v>
      </c>
      <c r="B51" s="79">
        <v>1.2713100000000001E-3</v>
      </c>
      <c r="C51" s="83">
        <v>1125.7</v>
      </c>
      <c r="D51" s="83">
        <v>1134.5999999999999</v>
      </c>
      <c r="E51" s="82">
        <v>2.8788</v>
      </c>
      <c r="F51" s="82"/>
      <c r="G51" s="47"/>
      <c r="H51" s="47"/>
    </row>
    <row r="52" spans="1:8" ht="18.75" customHeight="1" x14ac:dyDescent="0.25">
      <c r="A52" s="45">
        <v>270</v>
      </c>
      <c r="B52" s="79">
        <v>1.2993200000000001E-3</v>
      </c>
      <c r="C52" s="83">
        <v>1175.7</v>
      </c>
      <c r="D52" s="83">
        <v>1184.8</v>
      </c>
      <c r="E52" s="82">
        <v>2.972</v>
      </c>
      <c r="F52" s="82"/>
      <c r="G52" s="47"/>
      <c r="H52" s="47"/>
    </row>
    <row r="53" spans="1:8" ht="18.75" customHeight="1" x14ac:dyDescent="0.25">
      <c r="A53" s="45">
        <v>280</v>
      </c>
      <c r="B53" s="79">
        <v>1.3311200000000001E-3</v>
      </c>
      <c r="C53" s="83">
        <v>1227.3</v>
      </c>
      <c r="D53" s="83">
        <v>1236.5999999999999</v>
      </c>
      <c r="E53" s="82">
        <v>3.0665</v>
      </c>
      <c r="F53" s="82"/>
      <c r="G53" s="47"/>
      <c r="H53" s="47"/>
    </row>
    <row r="54" spans="1:8" ht="18.75" customHeight="1" x14ac:dyDescent="0.25">
      <c r="A54" s="45">
        <v>290</v>
      </c>
      <c r="B54" s="85">
        <v>2.8042999999999998E-2</v>
      </c>
      <c r="C54" s="83">
        <v>2597.8000000000002</v>
      </c>
      <c r="D54" s="83">
        <v>2794.1</v>
      </c>
      <c r="E54" s="82">
        <v>5.8529</v>
      </c>
      <c r="F54" s="82"/>
      <c r="G54" s="47"/>
      <c r="H54" s="47"/>
    </row>
    <row r="55" spans="1:8" ht="18.75" customHeight="1" x14ac:dyDescent="0.25">
      <c r="A55" s="45">
        <v>300</v>
      </c>
      <c r="B55" s="85">
        <v>2.9492000000000001E-2</v>
      </c>
      <c r="C55" s="83">
        <v>2633.5</v>
      </c>
      <c r="D55" s="83">
        <v>2839.9</v>
      </c>
      <c r="E55" s="82">
        <v>5.9337</v>
      </c>
      <c r="F55" s="82"/>
      <c r="G55" s="47"/>
      <c r="H55" s="47"/>
    </row>
    <row r="56" spans="1:8" ht="18.75" customHeight="1" x14ac:dyDescent="0.25">
      <c r="A56" s="45">
        <v>310</v>
      </c>
      <c r="B56" s="85">
        <v>3.0800999999999999E-2</v>
      </c>
      <c r="C56" s="83">
        <v>2665</v>
      </c>
      <c r="D56" s="83">
        <v>2880.6</v>
      </c>
      <c r="E56" s="82">
        <v>6.0041000000000002</v>
      </c>
      <c r="F56" s="82"/>
      <c r="G56" s="47"/>
      <c r="H56" s="47"/>
    </row>
    <row r="57" spans="1:8" ht="18.75" customHeight="1" x14ac:dyDescent="0.25">
      <c r="A57" s="45">
        <v>320</v>
      </c>
      <c r="B57" s="85">
        <v>3.2011999999999999E-2</v>
      </c>
      <c r="C57" s="83">
        <v>2693.8</v>
      </c>
      <c r="D57" s="83">
        <v>2917.9</v>
      </c>
      <c r="E57" s="82">
        <v>6.0674999999999999</v>
      </c>
      <c r="F57" s="82"/>
      <c r="G57" s="47"/>
      <c r="H57" s="47"/>
    </row>
    <row r="58" spans="1:8" ht="18.75" customHeight="1" x14ac:dyDescent="0.25">
      <c r="A58" s="45">
        <v>330</v>
      </c>
      <c r="B58" s="85">
        <v>3.3148999999999998E-2</v>
      </c>
      <c r="C58" s="83">
        <v>2720.7</v>
      </c>
      <c r="D58" s="83">
        <v>2952.7</v>
      </c>
      <c r="E58" s="82">
        <v>6.1257000000000001</v>
      </c>
      <c r="F58" s="82"/>
      <c r="G58" s="47"/>
      <c r="H58" s="47"/>
    </row>
    <row r="59" spans="1:8" ht="18.75" customHeight="1" x14ac:dyDescent="0.25">
      <c r="A59" s="45">
        <v>340</v>
      </c>
      <c r="B59" s="85">
        <v>3.4229000000000002E-2</v>
      </c>
      <c r="C59" s="83">
        <v>2746</v>
      </c>
      <c r="D59" s="83">
        <v>2985.6</v>
      </c>
      <c r="E59" s="82">
        <v>6.1797000000000004</v>
      </c>
      <c r="F59" s="82"/>
      <c r="G59" s="47"/>
      <c r="H59" s="47"/>
    </row>
    <row r="60" spans="1:8" ht="18.75" customHeight="1" x14ac:dyDescent="0.25">
      <c r="A60" s="45">
        <v>350</v>
      </c>
      <c r="B60" s="85">
        <v>3.5262000000000002E-2</v>
      </c>
      <c r="C60" s="83">
        <v>2770.1</v>
      </c>
      <c r="D60" s="83">
        <v>3016.9</v>
      </c>
      <c r="E60" s="82">
        <v>6.2304000000000004</v>
      </c>
      <c r="F60" s="82"/>
      <c r="G60" s="47"/>
      <c r="H60" s="47"/>
    </row>
    <row r="61" spans="1:8" ht="18.75" customHeight="1" x14ac:dyDescent="0.25">
      <c r="A61" s="45">
        <v>360</v>
      </c>
      <c r="B61" s="85">
        <v>3.6256999999999998E-2</v>
      </c>
      <c r="C61" s="83">
        <v>2793.2</v>
      </c>
      <c r="D61" s="83">
        <v>3047</v>
      </c>
      <c r="E61" s="82">
        <v>6.2784000000000004</v>
      </c>
      <c r="F61" s="82"/>
      <c r="G61" s="47"/>
      <c r="H61" s="47"/>
    </row>
    <row r="62" spans="1:8" ht="18.75" customHeight="1" x14ac:dyDescent="0.25">
      <c r="A62" s="45">
        <v>370</v>
      </c>
      <c r="B62" s="85">
        <v>3.7219000000000002E-2</v>
      </c>
      <c r="C62" s="83">
        <v>2815.7</v>
      </c>
      <c r="D62" s="83">
        <v>3076.2</v>
      </c>
      <c r="E62" s="82">
        <v>6.3240999999999996</v>
      </c>
      <c r="F62" s="82"/>
      <c r="G62" s="47"/>
      <c r="H62" s="47"/>
    </row>
    <row r="63" spans="1:8" ht="18.75" customHeight="1" x14ac:dyDescent="0.25">
      <c r="A63" s="45">
        <v>380</v>
      </c>
      <c r="B63" s="85">
        <v>3.8155000000000001E-2</v>
      </c>
      <c r="C63" s="83">
        <v>2837.4</v>
      </c>
      <c r="D63" s="83">
        <v>3104.5</v>
      </c>
      <c r="E63" s="82">
        <v>6.3677000000000001</v>
      </c>
      <c r="F63" s="82"/>
      <c r="G63" s="47"/>
      <c r="H63" s="47"/>
    </row>
    <row r="64" spans="1:8" ht="18.75" customHeight="1" x14ac:dyDescent="0.25">
      <c r="A64" s="45">
        <v>390</v>
      </c>
      <c r="B64" s="85">
        <v>3.9066999999999998E-2</v>
      </c>
      <c r="C64" s="83">
        <v>2858.6</v>
      </c>
      <c r="D64" s="83">
        <v>3132.1</v>
      </c>
      <c r="E64" s="82">
        <v>6.4097</v>
      </c>
      <c r="F64" s="82"/>
      <c r="G64" s="47"/>
      <c r="H64" s="47"/>
    </row>
    <row r="65" spans="1:8" ht="18.75" customHeight="1" x14ac:dyDescent="0.25">
      <c r="A65" s="45">
        <v>400</v>
      </c>
      <c r="B65" s="85">
        <v>3.9958E-2</v>
      </c>
      <c r="C65" s="83">
        <v>2879.5</v>
      </c>
      <c r="D65" s="83">
        <v>3159.2</v>
      </c>
      <c r="E65" s="82">
        <v>6.4501999999999997</v>
      </c>
      <c r="F65" s="82"/>
      <c r="G65" s="47"/>
      <c r="H65" s="47"/>
    </row>
    <row r="66" spans="1:8" ht="18.75" customHeight="1" x14ac:dyDescent="0.25">
      <c r="A66" s="45">
        <v>410</v>
      </c>
      <c r="B66" s="85">
        <v>4.0832E-2</v>
      </c>
      <c r="C66" s="83">
        <v>2899.9</v>
      </c>
      <c r="D66" s="83">
        <v>3185.7</v>
      </c>
      <c r="E66" s="82">
        <v>6.4893999999999998</v>
      </c>
      <c r="F66" s="82"/>
      <c r="G66" s="47"/>
      <c r="H66" s="47"/>
    </row>
    <row r="67" spans="1:8" ht="18.75" customHeight="1" x14ac:dyDescent="0.25">
      <c r="A67" s="45">
        <v>420</v>
      </c>
      <c r="B67" s="85">
        <v>4.1689999999999998E-2</v>
      </c>
      <c r="C67" s="83">
        <v>2920</v>
      </c>
      <c r="D67" s="83">
        <v>3211.8</v>
      </c>
      <c r="E67" s="82">
        <v>6.5273000000000003</v>
      </c>
      <c r="F67" s="82"/>
      <c r="G67" s="47"/>
      <c r="H67" s="47"/>
    </row>
    <row r="68" spans="1:8" ht="18.75" customHeight="1" x14ac:dyDescent="0.25">
      <c r="A68" s="45">
        <v>430</v>
      </c>
      <c r="B68" s="85">
        <v>4.2534000000000002E-2</v>
      </c>
      <c r="C68" s="83">
        <v>2939.9</v>
      </c>
      <c r="D68" s="83">
        <v>3237.6</v>
      </c>
      <c r="E68" s="82">
        <v>6.5643000000000002</v>
      </c>
      <c r="F68" s="82"/>
      <c r="G68" s="47"/>
      <c r="H68" s="47"/>
    </row>
    <row r="69" spans="1:8" ht="18.75" customHeight="1" x14ac:dyDescent="0.25">
      <c r="A69" s="45">
        <v>440</v>
      </c>
      <c r="B69" s="85">
        <v>4.3366000000000002E-2</v>
      </c>
      <c r="C69" s="83">
        <v>2959.5</v>
      </c>
      <c r="D69" s="83">
        <v>3263.1</v>
      </c>
      <c r="E69" s="82">
        <v>6.6002000000000001</v>
      </c>
      <c r="F69" s="82"/>
      <c r="G69" s="47"/>
      <c r="H69" s="47"/>
    </row>
    <row r="70" spans="1:8" ht="18.75" customHeight="1" x14ac:dyDescent="0.25">
      <c r="A70" s="45">
        <v>450</v>
      </c>
      <c r="B70" s="85">
        <v>4.4186999999999997E-2</v>
      </c>
      <c r="C70" s="83">
        <v>2979</v>
      </c>
      <c r="D70" s="83">
        <v>3288.3</v>
      </c>
      <c r="E70" s="82">
        <v>6.6353</v>
      </c>
      <c r="F70" s="82"/>
      <c r="G70" s="47"/>
      <c r="H70" s="47"/>
    </row>
    <row r="71" spans="1:8" ht="18.75" customHeight="1" x14ac:dyDescent="0.25">
      <c r="A71" s="45">
        <v>460</v>
      </c>
      <c r="B71" s="85">
        <v>4.4997000000000002E-2</v>
      </c>
      <c r="C71" s="83">
        <v>2998.3</v>
      </c>
      <c r="D71" s="83">
        <v>3313.3</v>
      </c>
      <c r="E71" s="82">
        <v>6.6696</v>
      </c>
      <c r="F71" s="82"/>
      <c r="G71" s="47"/>
      <c r="H71" s="47"/>
    </row>
    <row r="72" spans="1:8" ht="18.75" customHeight="1" x14ac:dyDescent="0.25">
      <c r="A72" s="45">
        <v>470</v>
      </c>
      <c r="B72" s="85">
        <v>4.5798999999999999E-2</v>
      </c>
      <c r="C72" s="83">
        <v>3017.4</v>
      </c>
      <c r="D72" s="83">
        <v>3338</v>
      </c>
      <c r="E72" s="82">
        <v>6.7031999999999998</v>
      </c>
      <c r="F72" s="82"/>
      <c r="G72" s="47"/>
      <c r="H72" s="47"/>
    </row>
    <row r="73" spans="1:8" ht="18.75" customHeight="1" x14ac:dyDescent="0.25">
      <c r="A73" s="45">
        <v>480</v>
      </c>
      <c r="B73" s="85">
        <v>4.6592000000000001E-2</v>
      </c>
      <c r="C73" s="83">
        <v>3036.5</v>
      </c>
      <c r="D73" s="83">
        <v>3362.6</v>
      </c>
      <c r="E73" s="82">
        <v>6.7359999999999998</v>
      </c>
      <c r="F73" s="82"/>
      <c r="G73" s="47"/>
      <c r="H73" s="47"/>
    </row>
    <row r="74" spans="1:8" ht="18.75" customHeight="1" x14ac:dyDescent="0.25">
      <c r="A74" s="45">
        <v>490</v>
      </c>
      <c r="B74" s="85">
        <v>4.7378000000000003E-2</v>
      </c>
      <c r="C74" s="83">
        <v>3055.5</v>
      </c>
      <c r="D74" s="83">
        <v>3387.1</v>
      </c>
      <c r="E74" s="82">
        <v>6.7683</v>
      </c>
      <c r="F74" s="82"/>
      <c r="G74" s="47"/>
      <c r="H74" s="47"/>
    </row>
    <row r="75" spans="1:8" ht="18.75" customHeight="1" x14ac:dyDescent="0.25">
      <c r="A75" s="45">
        <v>500</v>
      </c>
      <c r="B75" s="85">
        <v>4.8156999999999998E-2</v>
      </c>
      <c r="C75" s="83">
        <v>3074.3</v>
      </c>
      <c r="D75" s="83">
        <v>3411.4</v>
      </c>
      <c r="E75" s="82">
        <v>6.8</v>
      </c>
      <c r="F75" s="82"/>
      <c r="G75" s="47"/>
      <c r="H75" s="47"/>
    </row>
    <row r="76" spans="1:8" ht="18.75" customHeight="1" x14ac:dyDescent="0.25">
      <c r="A76" s="45">
        <v>520</v>
      </c>
      <c r="B76" s="85">
        <v>4.9695999999999997E-2</v>
      </c>
      <c r="C76" s="83">
        <v>3111.8</v>
      </c>
      <c r="D76" s="83">
        <v>3459.7</v>
      </c>
      <c r="E76" s="82">
        <v>6.8616999999999999</v>
      </c>
      <c r="F76" s="82"/>
      <c r="G76" s="47"/>
      <c r="H76" s="47"/>
    </row>
    <row r="77" spans="1:8" ht="18.75" customHeight="1" x14ac:dyDescent="0.25">
      <c r="A77" s="45">
        <v>540</v>
      </c>
      <c r="B77" s="85">
        <v>5.1214000000000003E-2</v>
      </c>
      <c r="C77" s="83">
        <v>3149.2</v>
      </c>
      <c r="D77" s="83">
        <v>3507.7</v>
      </c>
      <c r="E77" s="82">
        <v>6.9214000000000002</v>
      </c>
      <c r="F77" s="82"/>
      <c r="G77" s="47"/>
      <c r="H77" s="47"/>
    </row>
    <row r="78" spans="1:8" ht="18.75" customHeight="1" x14ac:dyDescent="0.25">
      <c r="A78" s="45">
        <v>560</v>
      </c>
      <c r="B78" s="85">
        <v>5.2713000000000003E-2</v>
      </c>
      <c r="C78" s="83">
        <v>3186.5</v>
      </c>
      <c r="D78" s="83">
        <v>3555.5</v>
      </c>
      <c r="E78" s="82">
        <v>6.9794</v>
      </c>
      <c r="F78" s="82"/>
      <c r="G78" s="47"/>
      <c r="H78" s="47"/>
    </row>
    <row r="79" spans="1:8" ht="18.75" customHeight="1" x14ac:dyDescent="0.25">
      <c r="A79" s="45">
        <v>580</v>
      </c>
      <c r="B79" s="85">
        <v>5.4196000000000001E-2</v>
      </c>
      <c r="C79" s="83">
        <v>3223.7</v>
      </c>
      <c r="D79" s="83">
        <v>3603.1</v>
      </c>
      <c r="E79" s="82">
        <v>7.0358999999999998</v>
      </c>
      <c r="F79" s="82"/>
      <c r="G79" s="47"/>
      <c r="H79" s="47"/>
    </row>
    <row r="80" spans="1:8" ht="18.75" customHeight="1" x14ac:dyDescent="0.25">
      <c r="A80" s="45">
        <v>600</v>
      </c>
      <c r="B80" s="85">
        <v>5.5664999999999999E-2</v>
      </c>
      <c r="C80" s="83">
        <v>3260.9</v>
      </c>
      <c r="D80" s="83">
        <v>3650.6</v>
      </c>
      <c r="E80" s="82">
        <v>7.0910000000000002</v>
      </c>
      <c r="F80" s="82"/>
      <c r="G80" s="47"/>
      <c r="H80" s="47"/>
    </row>
    <row r="81" spans="1:8" ht="18.75" customHeight="1" x14ac:dyDescent="0.25">
      <c r="A81" s="45">
        <v>620</v>
      </c>
      <c r="B81" s="85">
        <v>5.7120999999999998E-2</v>
      </c>
      <c r="C81" s="83">
        <v>3298.3</v>
      </c>
      <c r="D81" s="83">
        <v>3698.1</v>
      </c>
      <c r="E81" s="82">
        <v>7.1447000000000003</v>
      </c>
      <c r="F81" s="82"/>
      <c r="G81" s="47"/>
      <c r="H81" s="47"/>
    </row>
    <row r="82" spans="1:8" ht="18.75" customHeight="1" x14ac:dyDescent="0.25">
      <c r="A82" s="45">
        <v>640</v>
      </c>
      <c r="B82" s="85">
        <v>5.8567000000000001E-2</v>
      </c>
      <c r="C82" s="83">
        <v>3335.5</v>
      </c>
      <c r="D82" s="83">
        <v>3745.5</v>
      </c>
      <c r="E82" s="82">
        <v>7.1973000000000003</v>
      </c>
      <c r="F82" s="82"/>
      <c r="G82" s="47"/>
      <c r="H82" s="47"/>
    </row>
    <row r="83" spans="1:8" ht="18.75" customHeight="1" x14ac:dyDescent="0.25">
      <c r="A83" s="45">
        <v>660</v>
      </c>
      <c r="B83" s="85">
        <v>6.0003000000000001E-2</v>
      </c>
      <c r="C83" s="83">
        <v>3373</v>
      </c>
      <c r="D83" s="83">
        <v>3793</v>
      </c>
      <c r="E83" s="82">
        <v>7.2487000000000004</v>
      </c>
      <c r="F83" s="82"/>
      <c r="G83" s="47"/>
      <c r="H83" s="47"/>
    </row>
    <row r="84" spans="1:8" ht="18.75" customHeight="1" x14ac:dyDescent="0.25">
      <c r="A84" s="45">
        <v>680</v>
      </c>
      <c r="B84" s="85">
        <v>6.1430999999999999E-2</v>
      </c>
      <c r="C84" s="83">
        <v>3410.6</v>
      </c>
      <c r="D84" s="83">
        <v>3840.6</v>
      </c>
      <c r="E84" s="82">
        <v>7.2991999999999999</v>
      </c>
      <c r="F84" s="82"/>
      <c r="G84" s="47"/>
      <c r="H84" s="47"/>
    </row>
    <row r="85" spans="1:8" ht="18.75" customHeight="1" x14ac:dyDescent="0.25">
      <c r="A85" s="45">
        <v>700</v>
      </c>
      <c r="B85" s="85">
        <v>6.2850000000000003E-2</v>
      </c>
      <c r="C85" s="83">
        <v>3448.3</v>
      </c>
      <c r="D85" s="83">
        <v>3888.2</v>
      </c>
      <c r="E85" s="82">
        <v>7.3486000000000002</v>
      </c>
      <c r="F85" s="82"/>
      <c r="G85" s="47"/>
      <c r="H85" s="47"/>
    </row>
    <row r="86" spans="1:8" ht="18.75" customHeight="1" x14ac:dyDescent="0.25">
      <c r="A86" s="45">
        <v>720</v>
      </c>
      <c r="B86" s="85">
        <v>6.4263000000000001E-2</v>
      </c>
      <c r="C86" s="83">
        <v>3486.2</v>
      </c>
      <c r="D86" s="83">
        <v>3936</v>
      </c>
      <c r="E86" s="82">
        <v>7.3971999999999998</v>
      </c>
      <c r="F86" s="82"/>
      <c r="G86" s="47"/>
      <c r="H86" s="47"/>
    </row>
    <row r="87" spans="1:8" ht="18.75" customHeight="1" x14ac:dyDescent="0.25">
      <c r="A87" s="45">
        <v>740</v>
      </c>
      <c r="B87" s="85">
        <v>6.5669000000000005E-2</v>
      </c>
      <c r="C87" s="83">
        <v>3524.2</v>
      </c>
      <c r="D87" s="83">
        <v>3983.9</v>
      </c>
      <c r="E87" s="82">
        <v>7.4450000000000003</v>
      </c>
      <c r="F87" s="82"/>
      <c r="G87" s="47"/>
      <c r="H87" s="47"/>
    </row>
    <row r="88" spans="1:8" ht="18.75" customHeight="1" x14ac:dyDescent="0.25">
      <c r="A88" s="45">
        <v>760</v>
      </c>
      <c r="B88" s="85">
        <v>6.7070000000000005E-2</v>
      </c>
      <c r="C88" s="83">
        <v>3562.4</v>
      </c>
      <c r="D88" s="83">
        <v>4031.9</v>
      </c>
      <c r="E88" s="82">
        <v>7.4919000000000002</v>
      </c>
      <c r="F88" s="82"/>
      <c r="G88" s="47"/>
      <c r="H88" s="47"/>
    </row>
    <row r="89" spans="1:8" ht="18.75" customHeight="1" x14ac:dyDescent="0.25">
      <c r="A89" s="45">
        <v>780</v>
      </c>
      <c r="B89" s="85">
        <v>6.8464999999999998E-2</v>
      </c>
      <c r="C89" s="83">
        <v>3600.8</v>
      </c>
      <c r="D89" s="83">
        <v>4080.1</v>
      </c>
      <c r="E89" s="82">
        <v>7.5381</v>
      </c>
      <c r="F89" s="82"/>
      <c r="G89" s="47"/>
      <c r="H89" s="47"/>
    </row>
    <row r="90" spans="1:8" ht="18.75" customHeight="1" x14ac:dyDescent="0.25">
      <c r="A90" s="45">
        <v>800</v>
      </c>
      <c r="B90" s="85">
        <v>6.9855E-2</v>
      </c>
      <c r="C90" s="83">
        <v>3639.4</v>
      </c>
      <c r="D90" s="83">
        <v>4128.3999999999996</v>
      </c>
      <c r="E90" s="82">
        <v>7.5835999999999997</v>
      </c>
      <c r="F90" s="82"/>
      <c r="G90" s="47"/>
      <c r="H90" s="47"/>
    </row>
    <row r="91" spans="1:8" ht="18.75" customHeight="1" x14ac:dyDescent="0.25">
      <c r="A91" s="45">
        <v>820</v>
      </c>
      <c r="B91" s="85">
        <v>7.1242E-2</v>
      </c>
      <c r="C91" s="83">
        <v>3678.3</v>
      </c>
      <c r="D91" s="83">
        <v>4177</v>
      </c>
      <c r="E91" s="82">
        <v>7.6284000000000001</v>
      </c>
      <c r="F91" s="82"/>
      <c r="G91" s="47"/>
      <c r="H91" s="47"/>
    </row>
    <row r="92" spans="1:8" ht="18.75" customHeight="1" x14ac:dyDescent="0.25">
      <c r="A92" s="45">
        <v>840</v>
      </c>
      <c r="B92" s="85">
        <v>7.2623999999999994E-2</v>
      </c>
      <c r="C92" s="83">
        <v>3717.3</v>
      </c>
      <c r="D92" s="83">
        <v>4225.7</v>
      </c>
      <c r="E92" s="82">
        <v>7.6725000000000003</v>
      </c>
      <c r="F92" s="82"/>
      <c r="G92" s="47"/>
      <c r="H92" s="47"/>
    </row>
    <row r="93" spans="1:8" ht="18.75" customHeight="1" x14ac:dyDescent="0.25">
      <c r="A93" s="45">
        <v>860</v>
      </c>
      <c r="B93" s="85">
        <v>7.4002999999999999E-2</v>
      </c>
      <c r="C93" s="83">
        <v>3756.6</v>
      </c>
      <c r="D93" s="83">
        <v>4274.6000000000004</v>
      </c>
      <c r="E93" s="82">
        <v>7.7160000000000002</v>
      </c>
      <c r="F93" s="82"/>
      <c r="G93" s="47"/>
      <c r="H93" s="47"/>
    </row>
    <row r="94" spans="1:8" ht="18.75" customHeight="1" x14ac:dyDescent="0.25">
      <c r="A94" s="45">
        <v>880</v>
      </c>
      <c r="B94" s="85">
        <v>7.5378000000000001E-2</v>
      </c>
      <c r="C94" s="83">
        <v>3796.1</v>
      </c>
      <c r="D94" s="83">
        <v>4323.7</v>
      </c>
      <c r="E94" s="82">
        <v>7.7590000000000003</v>
      </c>
      <c r="F94" s="82"/>
      <c r="G94" s="47"/>
      <c r="H94" s="47"/>
    </row>
    <row r="95" spans="1:8" ht="18.75" customHeight="1" x14ac:dyDescent="0.25">
      <c r="A95" s="45">
        <v>900</v>
      </c>
      <c r="B95" s="85">
        <v>7.6749999999999999E-2</v>
      </c>
      <c r="C95" s="83">
        <v>3835.8</v>
      </c>
      <c r="D95" s="83">
        <v>4373</v>
      </c>
      <c r="E95" s="82">
        <v>7.8014000000000001</v>
      </c>
      <c r="F95" s="82"/>
      <c r="G95" s="47"/>
      <c r="H95" s="47"/>
    </row>
    <row r="96" spans="1:8" ht="18.75" customHeight="1" x14ac:dyDescent="0.25">
      <c r="A96" s="45">
        <v>920</v>
      </c>
      <c r="B96" s="85">
        <v>7.8118999999999994E-2</v>
      </c>
      <c r="C96" s="83">
        <v>3875.6</v>
      </c>
      <c r="D96" s="83">
        <v>4422.3999999999996</v>
      </c>
      <c r="E96" s="82">
        <v>7.8432000000000004</v>
      </c>
      <c r="F96" s="82"/>
      <c r="G96" s="47"/>
      <c r="H96" s="47"/>
    </row>
    <row r="97" spans="1:8" ht="18.75" customHeight="1" x14ac:dyDescent="0.25">
      <c r="A97" s="45">
        <v>940</v>
      </c>
      <c r="B97" s="85">
        <v>7.9485E-2</v>
      </c>
      <c r="C97" s="83">
        <v>3915.7</v>
      </c>
      <c r="D97" s="83">
        <v>4472.1000000000004</v>
      </c>
      <c r="E97" s="82">
        <v>7.8845000000000001</v>
      </c>
      <c r="F97" s="82"/>
      <c r="G97" s="47"/>
      <c r="H97" s="47"/>
    </row>
    <row r="98" spans="1:8" ht="18.75" customHeight="1" x14ac:dyDescent="0.25">
      <c r="A98" s="45">
        <v>960</v>
      </c>
      <c r="B98" s="85">
        <v>8.0849000000000004E-2</v>
      </c>
      <c r="C98" s="83">
        <v>3956.2</v>
      </c>
      <c r="D98" s="83">
        <v>4522.1000000000004</v>
      </c>
      <c r="E98" s="82">
        <v>7.9253</v>
      </c>
      <c r="F98" s="82"/>
      <c r="G98" s="47"/>
      <c r="H98" s="47"/>
    </row>
    <row r="99" spans="1:8" ht="18.75" customHeight="1" x14ac:dyDescent="0.25">
      <c r="A99" s="45">
        <v>980</v>
      </c>
      <c r="B99" s="85">
        <v>8.2211000000000006E-2</v>
      </c>
      <c r="C99" s="83">
        <v>3996.7</v>
      </c>
      <c r="D99" s="83">
        <v>4572.2</v>
      </c>
      <c r="E99" s="82">
        <v>7.9656000000000002</v>
      </c>
      <c r="F99" s="82"/>
      <c r="G99" s="47"/>
      <c r="H99" s="47"/>
    </row>
    <row r="100" spans="1:8" ht="18.75" customHeight="1" x14ac:dyDescent="0.25">
      <c r="A100" s="45">
        <v>1000</v>
      </c>
      <c r="B100" s="85">
        <v>8.3571000000000006E-2</v>
      </c>
      <c r="C100" s="83">
        <v>4037.5</v>
      </c>
      <c r="D100" s="83">
        <v>4622.5</v>
      </c>
      <c r="E100" s="82">
        <v>8.0054999999999996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H100"/>
  <sheetViews>
    <sheetView topLeftCell="A43" workbookViewId="0">
      <selection activeCell="A55" sqref="A55:XFD55"/>
    </sheetView>
  </sheetViews>
  <sheetFormatPr defaultRowHeight="13.2" x14ac:dyDescent="0.25"/>
  <cols>
    <col min="1" max="1" width="10" customWidth="1"/>
    <col min="2" max="2" width="10.5546875" customWidth="1"/>
    <col min="3" max="3" width="6.44140625" customWidth="1"/>
    <col min="4" max="4" width="7.21875" customWidth="1"/>
    <col min="5" max="5" width="7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86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7500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9.9643999999999991E-4</v>
      </c>
      <c r="C5" s="80">
        <v>0.09</v>
      </c>
      <c r="D5" s="80">
        <v>7.56</v>
      </c>
      <c r="E5" s="81">
        <v>2.5000000000000001E-4</v>
      </c>
      <c r="F5" s="81"/>
      <c r="G5" s="28"/>
      <c r="H5" s="28"/>
    </row>
    <row r="6" spans="1:8" ht="18.75" customHeight="1" x14ac:dyDescent="0.25">
      <c r="A6" s="7">
        <v>5</v>
      </c>
      <c r="B6" s="79">
        <v>9.9643999999999991E-4</v>
      </c>
      <c r="C6" s="80">
        <v>20.98</v>
      </c>
      <c r="D6" s="80">
        <v>28.45</v>
      </c>
      <c r="E6" s="81">
        <v>7.6050000000000006E-2</v>
      </c>
      <c r="F6" s="81"/>
      <c r="G6" s="28"/>
      <c r="H6" s="28"/>
    </row>
    <row r="7" spans="1:8" ht="18.75" customHeight="1" x14ac:dyDescent="0.25">
      <c r="A7" s="7">
        <v>10</v>
      </c>
      <c r="B7" s="79">
        <v>9.9679999999999994E-4</v>
      </c>
      <c r="C7" s="80">
        <v>41.82</v>
      </c>
      <c r="D7" s="80">
        <v>49.3</v>
      </c>
      <c r="E7" s="81">
        <v>0.15035999999999999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9.9748000000000002E-4</v>
      </c>
      <c r="C8" s="80">
        <v>62.65</v>
      </c>
      <c r="D8" s="80">
        <v>70.13</v>
      </c>
      <c r="E8" s="81">
        <v>0.22328000000000001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9.9843000000000002E-4</v>
      </c>
      <c r="C9" s="80">
        <v>83.46</v>
      </c>
      <c r="D9" s="80">
        <v>90.95</v>
      </c>
      <c r="E9" s="81">
        <v>0.29488999999999999</v>
      </c>
      <c r="F9" s="81"/>
      <c r="G9" s="28"/>
      <c r="H9" s="28"/>
    </row>
    <row r="10" spans="1:8" ht="18.75" customHeight="1" x14ac:dyDescent="0.25">
      <c r="A10" s="7">
        <v>25</v>
      </c>
      <c r="B10" s="79">
        <v>9.9963999999999999E-4</v>
      </c>
      <c r="C10" s="80">
        <v>104.25</v>
      </c>
      <c r="D10" s="80">
        <v>111.75</v>
      </c>
      <c r="E10" s="81">
        <v>0.36525999999999997</v>
      </c>
      <c r="F10" s="81"/>
      <c r="G10" s="28"/>
      <c r="H10" s="28"/>
    </row>
    <row r="11" spans="1:8" ht="18.75" customHeight="1" x14ac:dyDescent="0.25">
      <c r="A11" s="7">
        <v>30</v>
      </c>
      <c r="B11" s="79">
        <v>1.0010799999999999E-3</v>
      </c>
      <c r="C11" s="80">
        <v>125.04</v>
      </c>
      <c r="D11" s="80">
        <v>132.55000000000001</v>
      </c>
      <c r="E11" s="81">
        <v>0.43445</v>
      </c>
      <c r="F11" s="81"/>
      <c r="G11" s="28"/>
      <c r="H11" s="28"/>
    </row>
    <row r="12" spans="1:8" ht="18.75" customHeight="1" x14ac:dyDescent="0.25">
      <c r="A12" s="7">
        <v>35</v>
      </c>
      <c r="B12" s="79">
        <v>1.0027300000000001E-3</v>
      </c>
      <c r="C12" s="80">
        <v>145.83000000000001</v>
      </c>
      <c r="D12" s="80">
        <v>153.35</v>
      </c>
      <c r="E12" s="81">
        <v>0.50251000000000001</v>
      </c>
      <c r="F12" s="81"/>
      <c r="G12" s="28"/>
      <c r="H12" s="28"/>
    </row>
    <row r="13" spans="1:8" ht="18.75" customHeight="1" x14ac:dyDescent="0.25">
      <c r="A13" s="7">
        <v>40</v>
      </c>
      <c r="B13" s="79">
        <v>1.0045799999999999E-3</v>
      </c>
      <c r="C13" s="80">
        <v>166.63</v>
      </c>
      <c r="D13" s="80">
        <v>174.16</v>
      </c>
      <c r="E13" s="81">
        <v>0.56949000000000005</v>
      </c>
      <c r="F13" s="81"/>
      <c r="G13" s="28"/>
      <c r="H13" s="28"/>
    </row>
    <row r="14" spans="1:8" ht="18.75" customHeight="1" x14ac:dyDescent="0.25">
      <c r="A14" s="7">
        <v>45</v>
      </c>
      <c r="B14" s="79">
        <v>1.00662E-3</v>
      </c>
      <c r="C14" s="80">
        <v>187.42</v>
      </c>
      <c r="D14" s="80">
        <v>194.97</v>
      </c>
      <c r="E14" s="81">
        <v>0.63541999999999998</v>
      </c>
      <c r="F14" s="81"/>
      <c r="G14" s="28"/>
      <c r="H14" s="28"/>
    </row>
    <row r="15" spans="1:8" ht="18.75" customHeight="1" x14ac:dyDescent="0.25">
      <c r="A15" s="7">
        <v>50</v>
      </c>
      <c r="B15" s="79">
        <v>1.00884E-3</v>
      </c>
      <c r="C15" s="80">
        <v>208.22</v>
      </c>
      <c r="D15" s="80">
        <v>215.79</v>
      </c>
      <c r="E15" s="81">
        <v>0.70035000000000003</v>
      </c>
      <c r="F15" s="81"/>
      <c r="G15" s="28"/>
      <c r="H15" s="28"/>
    </row>
    <row r="16" spans="1:8" ht="18.75" customHeight="1" x14ac:dyDescent="0.25">
      <c r="A16" s="7">
        <v>55</v>
      </c>
      <c r="B16" s="79">
        <v>1.0112299999999999E-3</v>
      </c>
      <c r="C16" s="80">
        <v>229.04</v>
      </c>
      <c r="D16" s="80">
        <v>236.62</v>
      </c>
      <c r="E16" s="81">
        <v>0.76431000000000004</v>
      </c>
      <c r="F16" s="81"/>
      <c r="G16" s="28"/>
      <c r="H16" s="28"/>
    </row>
    <row r="17" spans="1:8" ht="18.75" customHeight="1" x14ac:dyDescent="0.25">
      <c r="A17" s="7">
        <v>60</v>
      </c>
      <c r="B17" s="79">
        <v>1.0137799999999999E-3</v>
      </c>
      <c r="C17" s="80">
        <v>249.86</v>
      </c>
      <c r="D17" s="80">
        <v>257.45999999999998</v>
      </c>
      <c r="E17" s="81">
        <v>0.82733000000000001</v>
      </c>
      <c r="F17" s="81"/>
      <c r="G17" s="28"/>
      <c r="H17" s="28"/>
    </row>
    <row r="18" spans="1:8" ht="18.75" customHeight="1" x14ac:dyDescent="0.25">
      <c r="A18" s="7">
        <v>65</v>
      </c>
      <c r="B18" s="79">
        <v>1.0165E-3</v>
      </c>
      <c r="C18" s="80">
        <v>270.69</v>
      </c>
      <c r="D18" s="80">
        <v>278.31</v>
      </c>
      <c r="E18" s="81">
        <v>0.88944999999999996</v>
      </c>
      <c r="F18" s="81"/>
      <c r="G18" s="28"/>
      <c r="H18" s="28"/>
    </row>
    <row r="19" spans="1:8" ht="18.75" customHeight="1" x14ac:dyDescent="0.25">
      <c r="A19" s="7">
        <v>70</v>
      </c>
      <c r="B19" s="79">
        <v>1.0193699999999999E-3</v>
      </c>
      <c r="C19" s="80">
        <v>291.52</v>
      </c>
      <c r="D19" s="80">
        <v>299.17</v>
      </c>
      <c r="E19" s="81">
        <v>0.95069999999999999</v>
      </c>
      <c r="F19" s="81"/>
      <c r="G19" s="28"/>
      <c r="H19" s="28"/>
    </row>
    <row r="20" spans="1:8" ht="18.75" customHeight="1" x14ac:dyDescent="0.25">
      <c r="A20" s="7">
        <v>75</v>
      </c>
      <c r="B20" s="79">
        <v>1.02239E-3</v>
      </c>
      <c r="C20" s="80">
        <v>312.38</v>
      </c>
      <c r="D20" s="80">
        <v>320.05</v>
      </c>
      <c r="E20" s="82">
        <v>1.0111000000000001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1.02556E-3</v>
      </c>
      <c r="C21" s="80">
        <v>333.26</v>
      </c>
      <c r="D21" s="80">
        <v>340.95</v>
      </c>
      <c r="E21" s="82">
        <v>1.0707</v>
      </c>
      <c r="F21" s="82"/>
      <c r="G21" s="28"/>
      <c r="H21" s="28"/>
    </row>
    <row r="22" spans="1:8" ht="18.75" customHeight="1" x14ac:dyDescent="0.25">
      <c r="A22" s="7">
        <v>85</v>
      </c>
      <c r="B22" s="79">
        <v>1.02888E-3</v>
      </c>
      <c r="C22" s="80">
        <v>354.14</v>
      </c>
      <c r="D22" s="80">
        <v>361.86</v>
      </c>
      <c r="E22" s="82">
        <v>1.1294999999999999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1.03235E-3</v>
      </c>
      <c r="C23" s="80">
        <v>375.05</v>
      </c>
      <c r="D23" s="80">
        <v>382.79</v>
      </c>
      <c r="E23" s="82">
        <v>1.1876</v>
      </c>
      <c r="F23" s="82"/>
      <c r="G23" s="28"/>
      <c r="H23" s="28"/>
    </row>
    <row r="24" spans="1:8" ht="18.75" customHeight="1" x14ac:dyDescent="0.25">
      <c r="A24" s="7">
        <v>95</v>
      </c>
      <c r="B24" s="79">
        <v>1.03597E-3</v>
      </c>
      <c r="C24" s="80">
        <v>395.98</v>
      </c>
      <c r="D24" s="80">
        <v>403.75</v>
      </c>
      <c r="E24" s="82">
        <v>1.2448999999999999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1.03973E-3</v>
      </c>
      <c r="C25" s="80">
        <v>416.93</v>
      </c>
      <c r="D25" s="80">
        <v>424.73</v>
      </c>
      <c r="E25" s="82">
        <v>1.3015000000000001</v>
      </c>
      <c r="F25" s="82"/>
      <c r="G25" s="28"/>
      <c r="H25" s="28"/>
    </row>
    <row r="26" spans="1:8" ht="18.75" customHeight="1" x14ac:dyDescent="0.25">
      <c r="A26" s="7">
        <v>105</v>
      </c>
      <c r="B26" s="79">
        <v>1.04364E-3</v>
      </c>
      <c r="C26" s="80">
        <v>437.91</v>
      </c>
      <c r="D26" s="80">
        <v>445.74</v>
      </c>
      <c r="E26" s="82">
        <v>1.3573999999999999</v>
      </c>
      <c r="F26" s="82"/>
      <c r="G26" s="28"/>
      <c r="H26" s="28"/>
    </row>
    <row r="27" spans="1:8" ht="18.75" customHeight="1" x14ac:dyDescent="0.25">
      <c r="A27" s="7">
        <v>110</v>
      </c>
      <c r="B27" s="79">
        <v>1.0476999999999999E-3</v>
      </c>
      <c r="C27" s="80">
        <v>458.92</v>
      </c>
      <c r="D27" s="80">
        <v>466.78</v>
      </c>
      <c r="E27" s="82">
        <v>1.4127000000000001</v>
      </c>
      <c r="F27" s="82"/>
      <c r="G27" s="28"/>
      <c r="H27" s="28"/>
    </row>
    <row r="28" spans="1:8" ht="18.75" customHeight="1" x14ac:dyDescent="0.25">
      <c r="A28" s="7">
        <v>115</v>
      </c>
      <c r="B28" s="79">
        <v>1.0519100000000001E-3</v>
      </c>
      <c r="C28" s="80">
        <v>479.96</v>
      </c>
      <c r="D28" s="80">
        <v>487.85</v>
      </c>
      <c r="E28" s="82">
        <v>1.4673</v>
      </c>
      <c r="F28" s="82"/>
      <c r="G28" s="28"/>
      <c r="H28" s="28"/>
    </row>
    <row r="29" spans="1:8" ht="18.75" customHeight="1" x14ac:dyDescent="0.25">
      <c r="A29" s="7">
        <v>120</v>
      </c>
      <c r="B29" s="79">
        <v>1.0562799999999999E-3</v>
      </c>
      <c r="C29" s="80">
        <v>501.04</v>
      </c>
      <c r="D29" s="80">
        <v>508.96</v>
      </c>
      <c r="E29" s="82">
        <v>1.5213000000000001</v>
      </c>
      <c r="F29" s="82"/>
      <c r="G29" s="28"/>
      <c r="H29" s="28"/>
    </row>
    <row r="30" spans="1:8" ht="18.75" customHeight="1" x14ac:dyDescent="0.25">
      <c r="A30" s="7">
        <v>125</v>
      </c>
      <c r="B30" s="79">
        <v>1.0608E-3</v>
      </c>
      <c r="C30" s="80">
        <v>522.15</v>
      </c>
      <c r="D30" s="80">
        <v>530.11</v>
      </c>
      <c r="E30" s="82">
        <v>1.5748</v>
      </c>
      <c r="F30" s="82"/>
      <c r="G30" s="28"/>
      <c r="H30" s="28"/>
    </row>
    <row r="31" spans="1:8" ht="18.75" customHeight="1" x14ac:dyDescent="0.25">
      <c r="A31" s="7">
        <v>130</v>
      </c>
      <c r="B31" s="79">
        <v>1.06547E-3</v>
      </c>
      <c r="C31" s="80">
        <v>543.29999999999995</v>
      </c>
      <c r="D31" s="80">
        <v>551.29</v>
      </c>
      <c r="E31" s="82">
        <v>1.6276999999999999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1.0703100000000001E-3</v>
      </c>
      <c r="C32" s="80">
        <v>564.5</v>
      </c>
      <c r="D32" s="80">
        <v>572.53</v>
      </c>
      <c r="E32" s="82">
        <v>1.68</v>
      </c>
      <c r="F32" s="82"/>
      <c r="G32" s="28"/>
      <c r="H32" s="28"/>
    </row>
    <row r="33" spans="1:8" ht="18.75" customHeight="1" x14ac:dyDescent="0.25">
      <c r="A33" s="7">
        <v>140</v>
      </c>
      <c r="B33" s="79">
        <v>1.0753200000000001E-3</v>
      </c>
      <c r="C33" s="80">
        <v>585.75</v>
      </c>
      <c r="D33" s="80">
        <v>593.80999999999995</v>
      </c>
      <c r="E33" s="82">
        <v>1.7319</v>
      </c>
      <c r="F33" s="82"/>
      <c r="G33" s="28"/>
      <c r="H33" s="28"/>
    </row>
    <row r="34" spans="1:8" ht="18.75" customHeight="1" x14ac:dyDescent="0.25">
      <c r="A34" s="7">
        <v>145</v>
      </c>
      <c r="B34" s="79">
        <v>1.0804899999999999E-3</v>
      </c>
      <c r="C34" s="80">
        <v>607.04999999999995</v>
      </c>
      <c r="D34" s="80">
        <v>615.15</v>
      </c>
      <c r="E34" s="82">
        <v>1.7831999999999999</v>
      </c>
      <c r="F34" s="82"/>
      <c r="G34" s="28"/>
      <c r="H34" s="28"/>
    </row>
    <row r="35" spans="1:8" ht="18.75" customHeight="1" x14ac:dyDescent="0.25">
      <c r="A35" s="7">
        <v>150</v>
      </c>
      <c r="B35" s="79">
        <v>1.08584E-3</v>
      </c>
      <c r="C35" s="80">
        <v>628.4</v>
      </c>
      <c r="D35" s="80">
        <v>636.54</v>
      </c>
      <c r="E35" s="82">
        <v>1.8341000000000001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1.0913699999999999E-3</v>
      </c>
      <c r="C36" s="80">
        <v>649.80999999999995</v>
      </c>
      <c r="D36" s="80">
        <v>658</v>
      </c>
      <c r="E36" s="82">
        <v>1.8845000000000001</v>
      </c>
      <c r="F36" s="82"/>
      <c r="G36" s="28"/>
      <c r="H36" s="28"/>
    </row>
    <row r="37" spans="1:8" ht="18.75" customHeight="1" x14ac:dyDescent="0.25">
      <c r="A37" s="7">
        <v>160</v>
      </c>
      <c r="B37" s="79">
        <v>1.09709E-3</v>
      </c>
      <c r="C37" s="80">
        <v>671.29</v>
      </c>
      <c r="D37" s="80">
        <v>679.52</v>
      </c>
      <c r="E37" s="82">
        <v>1.9343999999999999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1.103E-3</v>
      </c>
      <c r="C38" s="80">
        <v>692.84</v>
      </c>
      <c r="D38" s="80">
        <v>701.11</v>
      </c>
      <c r="E38" s="82">
        <v>1.984</v>
      </c>
      <c r="F38" s="82"/>
      <c r="G38" s="28"/>
      <c r="H38" s="28"/>
    </row>
    <row r="39" spans="1:8" ht="18.75" customHeight="1" x14ac:dyDescent="0.25">
      <c r="A39" s="7">
        <v>170</v>
      </c>
      <c r="B39" s="79">
        <v>1.10911E-3</v>
      </c>
      <c r="C39" s="80">
        <v>714.46</v>
      </c>
      <c r="D39" s="80">
        <v>722.78</v>
      </c>
      <c r="E39" s="82">
        <v>2.0331999999999999</v>
      </c>
      <c r="F39" s="82"/>
      <c r="G39" s="28"/>
      <c r="H39" s="28"/>
    </row>
    <row r="40" spans="1:8" ht="18.75" customHeight="1" x14ac:dyDescent="0.25">
      <c r="A40" s="7">
        <v>175</v>
      </c>
      <c r="B40" s="79">
        <v>1.1154400000000001E-3</v>
      </c>
      <c r="C40" s="80">
        <v>736.17</v>
      </c>
      <c r="D40" s="80">
        <v>744.54</v>
      </c>
      <c r="E40" s="82">
        <v>2.0819999999999999</v>
      </c>
      <c r="F40" s="82"/>
      <c r="G40" s="28"/>
      <c r="H40" s="28"/>
    </row>
    <row r="41" spans="1:8" ht="18.75" customHeight="1" x14ac:dyDescent="0.25">
      <c r="A41" s="7">
        <v>180</v>
      </c>
      <c r="B41" s="79">
        <v>1.12199E-3</v>
      </c>
      <c r="C41" s="80">
        <v>757.96</v>
      </c>
      <c r="D41" s="80">
        <v>766.37</v>
      </c>
      <c r="E41" s="82">
        <v>2.1303999999999998</v>
      </c>
      <c r="F41" s="82"/>
      <c r="G41" s="28"/>
      <c r="H41" s="28"/>
    </row>
    <row r="42" spans="1:8" ht="18.75" customHeight="1" x14ac:dyDescent="0.25">
      <c r="A42" s="7">
        <v>185</v>
      </c>
      <c r="B42" s="79">
        <v>1.1287599999999999E-3</v>
      </c>
      <c r="C42" s="80">
        <v>779.83</v>
      </c>
      <c r="D42" s="80">
        <v>788.3</v>
      </c>
      <c r="E42" s="82">
        <v>2.1785999999999999</v>
      </c>
      <c r="F42" s="82"/>
      <c r="G42" s="28"/>
      <c r="H42" s="28"/>
    </row>
    <row r="43" spans="1:8" ht="18.75" customHeight="1" x14ac:dyDescent="0.25">
      <c r="A43" s="7">
        <v>190</v>
      </c>
      <c r="B43" s="79">
        <v>1.1357800000000001E-3</v>
      </c>
      <c r="C43" s="80">
        <v>801.82</v>
      </c>
      <c r="D43" s="80">
        <v>810.34</v>
      </c>
      <c r="E43" s="82">
        <v>2.2263999999999999</v>
      </c>
      <c r="F43" s="82"/>
      <c r="G43" s="28"/>
      <c r="H43" s="28"/>
    </row>
    <row r="44" spans="1:8" ht="18.75" customHeight="1" x14ac:dyDescent="0.25">
      <c r="A44" s="7">
        <v>195</v>
      </c>
      <c r="B44" s="79">
        <v>1.14306E-3</v>
      </c>
      <c r="C44" s="80">
        <v>823.9</v>
      </c>
      <c r="D44" s="80">
        <v>832.47</v>
      </c>
      <c r="E44" s="82">
        <v>2.2738999999999998</v>
      </c>
      <c r="F44" s="82"/>
      <c r="G44" s="28"/>
      <c r="H44" s="28"/>
    </row>
    <row r="45" spans="1:8" ht="18.75" customHeight="1" x14ac:dyDescent="0.25">
      <c r="A45" s="7">
        <v>200</v>
      </c>
      <c r="B45" s="79">
        <v>1.1506000000000001E-3</v>
      </c>
      <c r="C45" s="80">
        <v>846.1</v>
      </c>
      <c r="D45" s="80">
        <v>854.73</v>
      </c>
      <c r="E45" s="82">
        <v>2.3212000000000002</v>
      </c>
      <c r="F45" s="82"/>
      <c r="G45" s="28"/>
      <c r="H45" s="28"/>
    </row>
    <row r="46" spans="1:8" ht="18.75" customHeight="1" x14ac:dyDescent="0.25">
      <c r="A46" s="7">
        <v>210</v>
      </c>
      <c r="B46" s="79">
        <v>1.1665600000000001E-3</v>
      </c>
      <c r="C46" s="80">
        <v>890.86</v>
      </c>
      <c r="D46" s="80">
        <v>899.61</v>
      </c>
      <c r="E46" s="82">
        <v>2.4150999999999998</v>
      </c>
      <c r="F46" s="82"/>
      <c r="G46" s="28"/>
      <c r="H46" s="28"/>
    </row>
    <row r="47" spans="1:8" ht="18.75" customHeight="1" x14ac:dyDescent="0.25">
      <c r="A47" s="7">
        <v>220</v>
      </c>
      <c r="B47" s="79">
        <v>1.18381E-3</v>
      </c>
      <c r="C47" s="80">
        <v>936.17</v>
      </c>
      <c r="D47" s="80">
        <v>945.05</v>
      </c>
      <c r="E47" s="82">
        <v>2.5082</v>
      </c>
      <c r="F47" s="82"/>
      <c r="G47" s="28"/>
      <c r="H47" s="28"/>
    </row>
    <row r="48" spans="1:8" ht="18.75" customHeight="1" x14ac:dyDescent="0.25">
      <c r="A48" s="7">
        <v>230</v>
      </c>
      <c r="B48" s="79">
        <v>1.20254E-3</v>
      </c>
      <c r="C48" s="80">
        <v>982.12</v>
      </c>
      <c r="D48" s="80">
        <v>991.14</v>
      </c>
      <c r="E48" s="82">
        <v>2.6006999999999998</v>
      </c>
      <c r="F48" s="82"/>
      <c r="G48" s="28"/>
      <c r="H48" s="28"/>
    </row>
    <row r="49" spans="1:8" ht="18.75" customHeight="1" x14ac:dyDescent="0.25">
      <c r="A49" s="7">
        <v>240</v>
      </c>
      <c r="B49" s="79">
        <v>1.22298E-3</v>
      </c>
      <c r="C49" s="83">
        <v>1028.8</v>
      </c>
      <c r="D49" s="83">
        <v>1038</v>
      </c>
      <c r="E49" s="82">
        <v>2.6928999999999998</v>
      </c>
      <c r="F49" s="82"/>
      <c r="G49" s="28"/>
      <c r="H49" s="28"/>
    </row>
    <row r="50" spans="1:8" ht="18.75" customHeight="1" x14ac:dyDescent="0.25">
      <c r="A50" s="7">
        <v>250</v>
      </c>
      <c r="B50" s="79">
        <v>1.2454300000000001E-3</v>
      </c>
      <c r="C50" s="83">
        <v>1076.4000000000001</v>
      </c>
      <c r="D50" s="83">
        <v>1085.7</v>
      </c>
      <c r="E50" s="82">
        <v>2.7850999999999999</v>
      </c>
      <c r="F50" s="82"/>
      <c r="G50" s="28"/>
      <c r="H50" s="28"/>
    </row>
    <row r="51" spans="1:8" ht="18.75" customHeight="1" x14ac:dyDescent="0.25">
      <c r="A51" s="7">
        <v>260</v>
      </c>
      <c r="B51" s="79">
        <v>1.2703E-3</v>
      </c>
      <c r="C51" s="83">
        <v>1125</v>
      </c>
      <c r="D51" s="83">
        <v>1134.5</v>
      </c>
      <c r="E51" s="82">
        <v>2.8774999999999999</v>
      </c>
      <c r="F51" s="82"/>
      <c r="G51" s="28"/>
      <c r="H51" s="28"/>
    </row>
    <row r="52" spans="1:8" ht="18.75" customHeight="1" x14ac:dyDescent="0.25">
      <c r="A52" s="7">
        <v>270</v>
      </c>
      <c r="B52" s="79">
        <v>1.29812E-3</v>
      </c>
      <c r="C52" s="83">
        <v>1174.9000000000001</v>
      </c>
      <c r="D52" s="83">
        <v>1184.5999999999999</v>
      </c>
      <c r="E52" s="82">
        <v>2.9704999999999999</v>
      </c>
      <c r="F52" s="82"/>
      <c r="G52" s="28"/>
      <c r="H52" s="28"/>
    </row>
    <row r="53" spans="1:8" ht="18.75" customHeight="1" x14ac:dyDescent="0.25">
      <c r="A53" s="7">
        <v>280</v>
      </c>
      <c r="B53" s="79">
        <v>1.32967E-3</v>
      </c>
      <c r="C53" s="83">
        <v>1226.3</v>
      </c>
      <c r="D53" s="83">
        <v>1236.3</v>
      </c>
      <c r="E53" s="82">
        <v>3.0648</v>
      </c>
      <c r="F53" s="82"/>
      <c r="G53" s="28"/>
      <c r="H53" s="28"/>
    </row>
    <row r="54" spans="1:8" ht="18.75" customHeight="1" x14ac:dyDescent="0.25">
      <c r="A54" s="7">
        <v>290</v>
      </c>
      <c r="B54" s="79">
        <v>1.3660899999999999E-3</v>
      </c>
      <c r="C54" s="83">
        <v>1279.8</v>
      </c>
      <c r="D54" s="83">
        <v>1290</v>
      </c>
      <c r="E54" s="82">
        <v>3.161</v>
      </c>
      <c r="F54" s="82"/>
      <c r="G54" s="28"/>
      <c r="H54" s="28"/>
    </row>
    <row r="55" spans="1:8" ht="18.75" customHeight="1" x14ac:dyDescent="0.25">
      <c r="A55" s="7">
        <v>300</v>
      </c>
      <c r="B55" s="85">
        <v>2.6741999999999998E-2</v>
      </c>
      <c r="C55" s="83">
        <v>2613.8000000000002</v>
      </c>
      <c r="D55" s="83">
        <v>2814.4</v>
      </c>
      <c r="E55" s="82">
        <v>5.8646000000000003</v>
      </c>
      <c r="F55" s="82"/>
      <c r="G55" s="28"/>
      <c r="H55" s="28"/>
    </row>
    <row r="56" spans="1:8" ht="18.75" customHeight="1" x14ac:dyDescent="0.25">
      <c r="A56" s="7">
        <v>310</v>
      </c>
      <c r="B56" s="85">
        <v>2.8063000000000001E-2</v>
      </c>
      <c r="C56" s="83">
        <v>2648.3</v>
      </c>
      <c r="D56" s="83">
        <v>2858.8</v>
      </c>
      <c r="E56" s="82">
        <v>5.9413999999999998</v>
      </c>
      <c r="F56" s="82"/>
      <c r="G56" s="28"/>
      <c r="H56" s="28"/>
    </row>
    <row r="57" spans="1:8" ht="18.75" customHeight="1" x14ac:dyDescent="0.25">
      <c r="A57" s="7">
        <v>320</v>
      </c>
      <c r="B57" s="85">
        <v>2.9267999999999999E-2</v>
      </c>
      <c r="C57" s="83">
        <v>2679.2</v>
      </c>
      <c r="D57" s="83">
        <v>2898.7</v>
      </c>
      <c r="E57" s="82">
        <v>6.0092999999999996</v>
      </c>
      <c r="F57" s="82"/>
      <c r="G57" s="28"/>
      <c r="H57" s="28"/>
    </row>
    <row r="58" spans="1:8" ht="18.75" customHeight="1" x14ac:dyDescent="0.25">
      <c r="A58" s="7">
        <v>330</v>
      </c>
      <c r="B58" s="85">
        <v>3.0387999999999998E-2</v>
      </c>
      <c r="C58" s="83">
        <v>2707.6</v>
      </c>
      <c r="D58" s="83">
        <v>2935.5</v>
      </c>
      <c r="E58" s="82">
        <v>6.0709</v>
      </c>
      <c r="F58" s="82"/>
      <c r="G58" s="28"/>
      <c r="H58" s="28"/>
    </row>
    <row r="59" spans="1:8" ht="18.75" customHeight="1" x14ac:dyDescent="0.25">
      <c r="A59" s="7">
        <v>340</v>
      </c>
      <c r="B59" s="85">
        <v>3.1444E-2</v>
      </c>
      <c r="C59" s="83">
        <v>2734.3</v>
      </c>
      <c r="D59" s="83">
        <v>2970.1</v>
      </c>
      <c r="E59" s="82">
        <v>6.1276999999999999</v>
      </c>
      <c r="F59" s="82"/>
      <c r="G59" s="28"/>
      <c r="H59" s="28"/>
    </row>
    <row r="60" spans="1:8" ht="18.75" customHeight="1" x14ac:dyDescent="0.25">
      <c r="A60" s="7">
        <v>350</v>
      </c>
      <c r="B60" s="85">
        <v>3.2448999999999999E-2</v>
      </c>
      <c r="C60" s="83">
        <v>2759.4</v>
      </c>
      <c r="D60" s="83">
        <v>3002.8</v>
      </c>
      <c r="E60" s="82">
        <v>6.1806000000000001</v>
      </c>
      <c r="F60" s="82"/>
      <c r="G60" s="28"/>
      <c r="H60" s="28"/>
    </row>
    <row r="61" spans="1:8" ht="18.75" customHeight="1" x14ac:dyDescent="0.25">
      <c r="A61" s="7">
        <v>360</v>
      </c>
      <c r="B61" s="85">
        <v>3.3411999999999997E-2</v>
      </c>
      <c r="C61" s="83">
        <v>2783.4</v>
      </c>
      <c r="D61" s="83">
        <v>3034</v>
      </c>
      <c r="E61" s="82">
        <v>6.2304000000000004</v>
      </c>
      <c r="F61" s="82"/>
      <c r="G61" s="28"/>
      <c r="H61" s="28"/>
    </row>
    <row r="62" spans="1:8" ht="18.75" customHeight="1" x14ac:dyDescent="0.25">
      <c r="A62" s="7">
        <v>370</v>
      </c>
      <c r="B62" s="85">
        <v>3.4340000000000002E-2</v>
      </c>
      <c r="C62" s="83">
        <v>2806.6</v>
      </c>
      <c r="D62" s="83">
        <v>3064.1</v>
      </c>
      <c r="E62" s="82">
        <v>6.2775999999999996</v>
      </c>
      <c r="F62" s="82"/>
      <c r="G62" s="28"/>
      <c r="H62" s="28"/>
    </row>
    <row r="63" spans="1:8" ht="18.75" customHeight="1" x14ac:dyDescent="0.25">
      <c r="A63" s="7">
        <v>380</v>
      </c>
      <c r="B63" s="85">
        <v>3.5238999999999999E-2</v>
      </c>
      <c r="C63" s="83">
        <v>2829</v>
      </c>
      <c r="D63" s="83">
        <v>3093.3</v>
      </c>
      <c r="E63" s="82">
        <v>6.3224999999999998</v>
      </c>
      <c r="F63" s="82"/>
      <c r="G63" s="28"/>
      <c r="H63" s="28"/>
    </row>
    <row r="64" spans="1:8" ht="18.75" customHeight="1" x14ac:dyDescent="0.25">
      <c r="A64" s="7">
        <v>390</v>
      </c>
      <c r="B64" s="85">
        <v>3.6112999999999999E-2</v>
      </c>
      <c r="C64" s="83">
        <v>2850.9</v>
      </c>
      <c r="D64" s="83">
        <v>3121.7</v>
      </c>
      <c r="E64" s="82">
        <v>6.3655999999999997</v>
      </c>
      <c r="F64" s="82"/>
      <c r="G64" s="28"/>
      <c r="H64" s="28"/>
    </row>
    <row r="65" spans="1:8" ht="18.75" customHeight="1" x14ac:dyDescent="0.25">
      <c r="A65" s="7">
        <v>400</v>
      </c>
      <c r="B65" s="85">
        <v>3.6965999999999999E-2</v>
      </c>
      <c r="C65" s="83">
        <v>2872.2</v>
      </c>
      <c r="D65" s="83">
        <v>3149.4</v>
      </c>
      <c r="E65" s="82">
        <v>6.4070999999999998</v>
      </c>
      <c r="F65" s="82"/>
      <c r="G65" s="28"/>
      <c r="H65" s="28"/>
    </row>
    <row r="66" spans="1:8" ht="18.75" customHeight="1" x14ac:dyDescent="0.25">
      <c r="A66" s="7">
        <v>410</v>
      </c>
      <c r="B66" s="85">
        <v>3.7801000000000001E-2</v>
      </c>
      <c r="C66" s="83">
        <v>2893</v>
      </c>
      <c r="D66" s="83">
        <v>3176.5</v>
      </c>
      <c r="E66" s="82">
        <v>6.4470999999999998</v>
      </c>
      <c r="F66" s="82"/>
      <c r="G66" s="28"/>
      <c r="H66" s="28"/>
    </row>
    <row r="67" spans="1:8" ht="18.75" customHeight="1" x14ac:dyDescent="0.25">
      <c r="A67" s="7">
        <v>420</v>
      </c>
      <c r="B67" s="85">
        <v>3.8619000000000001E-2</v>
      </c>
      <c r="C67" s="83">
        <v>2913.5</v>
      </c>
      <c r="D67" s="83">
        <v>3203.1</v>
      </c>
      <c r="E67" s="82">
        <v>6.4858000000000002</v>
      </c>
      <c r="F67" s="82"/>
      <c r="G67" s="28"/>
      <c r="H67" s="28"/>
    </row>
    <row r="68" spans="1:8" ht="18.75" customHeight="1" x14ac:dyDescent="0.25">
      <c r="A68" s="7">
        <v>430</v>
      </c>
      <c r="B68" s="85">
        <v>3.9421999999999999E-2</v>
      </c>
      <c r="C68" s="83">
        <v>2933.7</v>
      </c>
      <c r="D68" s="83">
        <v>3229.4</v>
      </c>
      <c r="E68" s="82">
        <v>6.5233999999999996</v>
      </c>
      <c r="F68" s="82"/>
      <c r="G68" s="28"/>
      <c r="H68" s="28"/>
    </row>
    <row r="69" spans="1:8" ht="18.75" customHeight="1" x14ac:dyDescent="0.25">
      <c r="A69" s="7">
        <v>440</v>
      </c>
      <c r="B69" s="85">
        <v>4.0211999999999998E-2</v>
      </c>
      <c r="C69" s="83">
        <v>2953.7</v>
      </c>
      <c r="D69" s="83">
        <v>3255.3</v>
      </c>
      <c r="E69" s="82">
        <v>6.56</v>
      </c>
      <c r="F69" s="82"/>
      <c r="G69" s="28"/>
      <c r="H69" s="28"/>
    </row>
    <row r="70" spans="1:8" ht="18.75" customHeight="1" x14ac:dyDescent="0.25">
      <c r="A70" s="7">
        <v>450</v>
      </c>
      <c r="B70" s="85">
        <v>4.0992000000000001E-2</v>
      </c>
      <c r="C70" s="83">
        <v>2973.5</v>
      </c>
      <c r="D70" s="83">
        <v>3280.9</v>
      </c>
      <c r="E70" s="82">
        <v>6.5956000000000001</v>
      </c>
      <c r="F70" s="82"/>
      <c r="G70" s="28"/>
      <c r="H70" s="28"/>
    </row>
    <row r="71" spans="1:8" ht="18.75" customHeight="1" x14ac:dyDescent="0.25">
      <c r="A71" s="7">
        <v>460</v>
      </c>
      <c r="B71" s="85">
        <v>4.1759999999999999E-2</v>
      </c>
      <c r="C71" s="83">
        <v>2993</v>
      </c>
      <c r="D71" s="83">
        <v>3306.2</v>
      </c>
      <c r="E71" s="82">
        <v>6.6303999999999998</v>
      </c>
      <c r="F71" s="82"/>
      <c r="G71" s="28"/>
      <c r="H71" s="28"/>
    </row>
    <row r="72" spans="1:8" ht="18.75" customHeight="1" x14ac:dyDescent="0.25">
      <c r="A72" s="7">
        <v>470</v>
      </c>
      <c r="B72" s="85">
        <v>4.2520000000000002E-2</v>
      </c>
      <c r="C72" s="83">
        <v>3012.4</v>
      </c>
      <c r="D72" s="83">
        <v>3331.3</v>
      </c>
      <c r="E72" s="82">
        <v>6.6643999999999997</v>
      </c>
      <c r="F72" s="82"/>
      <c r="G72" s="28"/>
      <c r="H72" s="28"/>
    </row>
    <row r="73" spans="1:8" ht="18.75" customHeight="1" x14ac:dyDescent="0.25">
      <c r="A73" s="7">
        <v>480</v>
      </c>
      <c r="B73" s="85">
        <v>4.3270000000000003E-2</v>
      </c>
      <c r="C73" s="83">
        <v>3031.7</v>
      </c>
      <c r="D73" s="83">
        <v>3356.2</v>
      </c>
      <c r="E73" s="82">
        <v>6.6977000000000002</v>
      </c>
      <c r="F73" s="82"/>
      <c r="G73" s="28"/>
      <c r="H73" s="28"/>
    </row>
    <row r="74" spans="1:8" ht="18.75" customHeight="1" x14ac:dyDescent="0.25">
      <c r="A74" s="7">
        <v>490</v>
      </c>
      <c r="B74" s="85">
        <v>4.4013999999999998E-2</v>
      </c>
      <c r="C74" s="83">
        <v>3050.8</v>
      </c>
      <c r="D74" s="83">
        <v>3380.9</v>
      </c>
      <c r="E74" s="82">
        <v>6.7302999999999997</v>
      </c>
      <c r="F74" s="82"/>
      <c r="G74" s="28"/>
      <c r="H74" s="28"/>
    </row>
    <row r="75" spans="1:8" ht="18.75" customHeight="1" x14ac:dyDescent="0.25">
      <c r="A75" s="7">
        <v>500</v>
      </c>
      <c r="B75" s="85">
        <v>4.4749999999999998E-2</v>
      </c>
      <c r="C75" s="83">
        <v>3069.9</v>
      </c>
      <c r="D75" s="83">
        <v>3405.5</v>
      </c>
      <c r="E75" s="82">
        <v>6.7622999999999998</v>
      </c>
      <c r="F75" s="82"/>
      <c r="G75" s="28"/>
      <c r="H75" s="28"/>
    </row>
    <row r="76" spans="1:8" ht="18.75" customHeight="1" x14ac:dyDescent="0.25">
      <c r="A76" s="7">
        <v>520</v>
      </c>
      <c r="B76" s="85">
        <v>4.6203000000000001E-2</v>
      </c>
      <c r="C76" s="83">
        <v>3107.7</v>
      </c>
      <c r="D76" s="83">
        <v>3454.2</v>
      </c>
      <c r="E76" s="82">
        <v>6.8246000000000002</v>
      </c>
      <c r="F76" s="82"/>
      <c r="G76" s="28"/>
      <c r="H76" s="28"/>
    </row>
    <row r="77" spans="1:8" ht="18.75" customHeight="1" x14ac:dyDescent="0.25">
      <c r="A77" s="7">
        <v>540</v>
      </c>
      <c r="B77" s="85">
        <v>4.7634000000000003E-2</v>
      </c>
      <c r="C77" s="83">
        <v>3145.3</v>
      </c>
      <c r="D77" s="83">
        <v>3502.6</v>
      </c>
      <c r="E77" s="82">
        <v>6.8848000000000003</v>
      </c>
      <c r="F77" s="82"/>
      <c r="G77" s="28"/>
      <c r="H77" s="28"/>
    </row>
    <row r="78" spans="1:8" ht="18.75" customHeight="1" x14ac:dyDescent="0.25">
      <c r="A78" s="7">
        <v>560</v>
      </c>
      <c r="B78" s="85">
        <v>4.9045999999999999E-2</v>
      </c>
      <c r="C78" s="83">
        <v>3183</v>
      </c>
      <c r="D78" s="83">
        <v>3550.8</v>
      </c>
      <c r="E78" s="82">
        <v>6.9432999999999998</v>
      </c>
      <c r="F78" s="82"/>
      <c r="G78" s="28"/>
      <c r="H78" s="28"/>
    </row>
    <row r="79" spans="1:8" ht="18.75" customHeight="1" x14ac:dyDescent="0.25">
      <c r="A79" s="7">
        <v>580</v>
      </c>
      <c r="B79" s="85">
        <v>5.0442000000000001E-2</v>
      </c>
      <c r="C79" s="83">
        <v>3220.4</v>
      </c>
      <c r="D79" s="83">
        <v>3598.7</v>
      </c>
      <c r="E79" s="82">
        <v>7.0000999999999998</v>
      </c>
      <c r="F79" s="82"/>
      <c r="G79" s="28"/>
      <c r="H79" s="28"/>
    </row>
    <row r="80" spans="1:8" ht="18.75" customHeight="1" x14ac:dyDescent="0.25">
      <c r="A80" s="7">
        <v>600</v>
      </c>
      <c r="B80" s="85">
        <v>5.1824000000000002E-2</v>
      </c>
      <c r="C80" s="83">
        <v>3257.8</v>
      </c>
      <c r="D80" s="83">
        <v>3646.5</v>
      </c>
      <c r="E80" s="82">
        <v>7.0555000000000003</v>
      </c>
      <c r="F80" s="82"/>
      <c r="G80" s="28"/>
      <c r="H80" s="28"/>
    </row>
    <row r="81" spans="1:8" ht="18.75" customHeight="1" x14ac:dyDescent="0.25">
      <c r="A81" s="7">
        <v>620</v>
      </c>
      <c r="B81" s="85">
        <v>5.3192999999999997E-2</v>
      </c>
      <c r="C81" s="83">
        <v>3295.3</v>
      </c>
      <c r="D81" s="83">
        <v>3694.2</v>
      </c>
      <c r="E81" s="82">
        <v>7.1096000000000004</v>
      </c>
      <c r="F81" s="82"/>
      <c r="G81" s="28"/>
      <c r="H81" s="28"/>
    </row>
    <row r="82" spans="1:8" ht="18.75" customHeight="1" x14ac:dyDescent="0.25">
      <c r="A82" s="7">
        <v>640</v>
      </c>
      <c r="B82" s="85">
        <v>5.4552000000000003E-2</v>
      </c>
      <c r="C82" s="83">
        <v>3332.8</v>
      </c>
      <c r="D82" s="83">
        <v>3741.9</v>
      </c>
      <c r="E82" s="82">
        <v>7.1623999999999999</v>
      </c>
      <c r="F82" s="82"/>
      <c r="G82" s="28"/>
      <c r="H82" s="28"/>
    </row>
    <row r="83" spans="1:8" ht="18.75" customHeight="1" x14ac:dyDescent="0.25">
      <c r="A83" s="7">
        <v>660</v>
      </c>
      <c r="B83" s="85">
        <v>5.5899999999999998E-2</v>
      </c>
      <c r="C83" s="83">
        <v>3370.4</v>
      </c>
      <c r="D83" s="83">
        <v>3789.6</v>
      </c>
      <c r="E83" s="82">
        <v>7.2141000000000002</v>
      </c>
      <c r="F83" s="82"/>
      <c r="G83" s="28"/>
      <c r="H83" s="28"/>
    </row>
    <row r="84" spans="1:8" ht="18.75" customHeight="1" x14ac:dyDescent="0.25">
      <c r="A84" s="7">
        <v>680</v>
      </c>
      <c r="B84" s="85">
        <v>5.7239999999999999E-2</v>
      </c>
      <c r="C84" s="83">
        <v>3408.1</v>
      </c>
      <c r="D84" s="83">
        <v>3837.4</v>
      </c>
      <c r="E84" s="82">
        <v>7.2647000000000004</v>
      </c>
      <c r="F84" s="82"/>
      <c r="G84" s="28"/>
      <c r="H84" s="28"/>
    </row>
    <row r="85" spans="1:8" ht="18.75" customHeight="1" x14ac:dyDescent="0.25">
      <c r="A85" s="7">
        <v>700</v>
      </c>
      <c r="B85" s="85">
        <v>5.8571999999999999E-2</v>
      </c>
      <c r="C85" s="83">
        <v>3445.9</v>
      </c>
      <c r="D85" s="83">
        <v>3885.2</v>
      </c>
      <c r="E85" s="82">
        <v>7.3144</v>
      </c>
      <c r="F85" s="82"/>
      <c r="G85" s="28"/>
      <c r="H85" s="28"/>
    </row>
    <row r="86" spans="1:8" ht="18.75" customHeight="1" x14ac:dyDescent="0.25">
      <c r="A86" s="7">
        <v>720</v>
      </c>
      <c r="B86" s="85">
        <v>5.9896999999999999E-2</v>
      </c>
      <c r="C86" s="83">
        <v>3483.9</v>
      </c>
      <c r="D86" s="83">
        <v>3933.1</v>
      </c>
      <c r="E86" s="82">
        <v>7.3631000000000002</v>
      </c>
      <c r="F86" s="82"/>
      <c r="G86" s="28"/>
      <c r="H86" s="28"/>
    </row>
    <row r="87" spans="1:8" ht="18.75" customHeight="1" x14ac:dyDescent="0.25">
      <c r="A87" s="7">
        <v>740</v>
      </c>
      <c r="B87" s="85">
        <v>6.1214999999999999E-2</v>
      </c>
      <c r="C87" s="83">
        <v>3522.1</v>
      </c>
      <c r="D87" s="83">
        <v>3981.2</v>
      </c>
      <c r="E87" s="82">
        <v>7.4109999999999996</v>
      </c>
      <c r="F87" s="82"/>
      <c r="G87" s="28"/>
      <c r="H87" s="28"/>
    </row>
    <row r="88" spans="1:8" ht="18.75" customHeight="1" x14ac:dyDescent="0.25">
      <c r="A88" s="7">
        <v>760</v>
      </c>
      <c r="B88" s="85">
        <v>6.2528E-2</v>
      </c>
      <c r="C88" s="83">
        <v>3560.3</v>
      </c>
      <c r="D88" s="83">
        <v>4029.3</v>
      </c>
      <c r="E88" s="82">
        <v>7.4581</v>
      </c>
      <c r="F88" s="82"/>
      <c r="G88" s="28"/>
      <c r="H88" s="28"/>
    </row>
    <row r="89" spans="1:8" ht="18.75" customHeight="1" x14ac:dyDescent="0.25">
      <c r="A89" s="7">
        <v>780</v>
      </c>
      <c r="B89" s="85">
        <v>6.3836000000000004E-2</v>
      </c>
      <c r="C89" s="83">
        <v>3598.9</v>
      </c>
      <c r="D89" s="83">
        <v>4077.7</v>
      </c>
      <c r="E89" s="82">
        <v>7.5044000000000004</v>
      </c>
      <c r="F89" s="82"/>
      <c r="G89" s="28"/>
      <c r="H89" s="28"/>
    </row>
    <row r="90" spans="1:8" ht="18.75" customHeight="1" x14ac:dyDescent="0.25">
      <c r="A90" s="7">
        <v>800</v>
      </c>
      <c r="B90" s="85">
        <v>6.5138000000000001E-2</v>
      </c>
      <c r="C90" s="83">
        <v>3637.6</v>
      </c>
      <c r="D90" s="83">
        <v>4126.1000000000004</v>
      </c>
      <c r="E90" s="82">
        <v>7.55</v>
      </c>
      <c r="F90" s="82"/>
      <c r="G90" s="28"/>
      <c r="H90" s="28"/>
    </row>
    <row r="91" spans="1:8" ht="18.75" customHeight="1" x14ac:dyDescent="0.25">
      <c r="A91" s="7">
        <v>820</v>
      </c>
      <c r="B91" s="85">
        <v>6.6436999999999996E-2</v>
      </c>
      <c r="C91" s="83">
        <v>3676.5</v>
      </c>
      <c r="D91" s="83">
        <v>4174.8</v>
      </c>
      <c r="E91" s="82">
        <v>7.5949</v>
      </c>
      <c r="F91" s="82"/>
      <c r="G91" s="28"/>
      <c r="H91" s="28"/>
    </row>
    <row r="92" spans="1:8" ht="18.75" customHeight="1" x14ac:dyDescent="0.25">
      <c r="A92" s="7">
        <v>840</v>
      </c>
      <c r="B92" s="85">
        <v>6.7731E-2</v>
      </c>
      <c r="C92" s="83">
        <v>3715.6</v>
      </c>
      <c r="D92" s="83">
        <v>4223.6000000000004</v>
      </c>
      <c r="E92" s="82">
        <v>7.6391</v>
      </c>
      <c r="F92" s="82"/>
      <c r="G92" s="28"/>
      <c r="H92" s="28"/>
    </row>
    <row r="93" spans="1:8" ht="18.75" customHeight="1" x14ac:dyDescent="0.25">
      <c r="A93" s="7">
        <v>860</v>
      </c>
      <c r="B93" s="85">
        <v>6.9022E-2</v>
      </c>
      <c r="C93" s="83">
        <v>3754.9</v>
      </c>
      <c r="D93" s="83">
        <v>4272.6000000000004</v>
      </c>
      <c r="E93" s="82">
        <v>7.6828000000000003</v>
      </c>
      <c r="F93" s="82"/>
      <c r="G93" s="28"/>
      <c r="H93" s="28"/>
    </row>
    <row r="94" spans="1:8" ht="18.75" customHeight="1" x14ac:dyDescent="0.25">
      <c r="A94" s="7">
        <v>880</v>
      </c>
      <c r="B94" s="85">
        <v>7.0308999999999996E-2</v>
      </c>
      <c r="C94" s="83">
        <v>3794.4</v>
      </c>
      <c r="D94" s="83">
        <v>4321.7</v>
      </c>
      <c r="E94" s="82">
        <v>7.7257999999999996</v>
      </c>
      <c r="F94" s="82"/>
      <c r="G94" s="28"/>
      <c r="H94" s="28"/>
    </row>
    <row r="95" spans="1:8" ht="18.75" customHeight="1" x14ac:dyDescent="0.25">
      <c r="A95" s="7">
        <v>900</v>
      </c>
      <c r="B95" s="85">
        <v>7.1593000000000004E-2</v>
      </c>
      <c r="C95" s="83">
        <v>3834.2</v>
      </c>
      <c r="D95" s="83">
        <v>4371.1000000000004</v>
      </c>
      <c r="E95" s="82">
        <v>7.7682000000000002</v>
      </c>
      <c r="F95" s="82"/>
      <c r="G95" s="28"/>
      <c r="H95" s="28"/>
    </row>
    <row r="96" spans="1:8" ht="18.75" customHeight="1" x14ac:dyDescent="0.25">
      <c r="A96" s="7">
        <v>920</v>
      </c>
      <c r="B96" s="85">
        <v>7.2874999999999995E-2</v>
      </c>
      <c r="C96" s="83">
        <v>3874.1</v>
      </c>
      <c r="D96" s="83">
        <v>4420.7</v>
      </c>
      <c r="E96" s="82">
        <v>7.8101000000000003</v>
      </c>
      <c r="F96" s="82"/>
      <c r="G96" s="28"/>
      <c r="H96" s="28"/>
    </row>
    <row r="97" spans="1:8" ht="18.75" customHeight="1" x14ac:dyDescent="0.25">
      <c r="A97" s="7">
        <v>940</v>
      </c>
      <c r="B97" s="85">
        <v>7.4152999999999997E-2</v>
      </c>
      <c r="C97" s="83">
        <v>3914.4</v>
      </c>
      <c r="D97" s="83">
        <v>4470.5</v>
      </c>
      <c r="E97" s="82">
        <v>7.8514999999999997</v>
      </c>
      <c r="F97" s="82"/>
      <c r="G97" s="28"/>
      <c r="H97" s="28"/>
    </row>
    <row r="98" spans="1:8" ht="18.75" customHeight="1" x14ac:dyDescent="0.25">
      <c r="A98" s="7">
        <v>960</v>
      </c>
      <c r="B98" s="85">
        <v>7.5429999999999997E-2</v>
      </c>
      <c r="C98" s="83">
        <v>3954.8</v>
      </c>
      <c r="D98" s="83">
        <v>4520.5</v>
      </c>
      <c r="E98" s="82">
        <v>7.8924000000000003</v>
      </c>
      <c r="F98" s="82"/>
      <c r="G98" s="28"/>
      <c r="H98" s="28"/>
    </row>
    <row r="99" spans="1:8" ht="18.75" customHeight="1" x14ac:dyDescent="0.25">
      <c r="A99" s="7">
        <v>980</v>
      </c>
      <c r="B99" s="85">
        <v>7.6702999999999993E-2</v>
      </c>
      <c r="C99" s="83">
        <v>3995.4</v>
      </c>
      <c r="D99" s="83">
        <v>4570.7</v>
      </c>
      <c r="E99" s="82">
        <v>7.9326999999999996</v>
      </c>
      <c r="F99" s="82"/>
      <c r="G99" s="28"/>
      <c r="H99" s="28"/>
    </row>
    <row r="100" spans="1:8" ht="18.75" customHeight="1" x14ac:dyDescent="0.25">
      <c r="A100" s="7">
        <v>1000</v>
      </c>
      <c r="B100" s="85">
        <v>7.7975000000000003E-2</v>
      </c>
      <c r="C100" s="83">
        <v>4036.3</v>
      </c>
      <c r="D100" s="83">
        <v>4621.1000000000004</v>
      </c>
      <c r="E100" s="82">
        <v>7.9725999999999999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H100"/>
  <sheetViews>
    <sheetView topLeftCell="A37" workbookViewId="0">
      <selection activeCell="A55" sqref="A55:XFD55"/>
    </sheetView>
  </sheetViews>
  <sheetFormatPr defaultRowHeight="13.2" x14ac:dyDescent="0.25"/>
  <cols>
    <col min="1" max="1" width="9.6640625" customWidth="1"/>
    <col min="2" max="2" width="10.21875" customWidth="1"/>
    <col min="3" max="3" width="6.44140625" customWidth="1"/>
    <col min="4" max="4" width="7.88671875" customWidth="1"/>
    <col min="5" max="5" width="9.332031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87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8000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9.961900000000001E-4</v>
      </c>
      <c r="C5" s="80">
        <v>0.09</v>
      </c>
      <c r="D5" s="80">
        <v>8.06</v>
      </c>
      <c r="E5" s="81">
        <v>2.7E-4</v>
      </c>
      <c r="F5" s="81"/>
      <c r="G5" s="28"/>
      <c r="H5" s="28"/>
    </row>
    <row r="6" spans="1:8" ht="18.75" customHeight="1" x14ac:dyDescent="0.25">
      <c r="A6" s="7">
        <v>5</v>
      </c>
      <c r="B6" s="79">
        <v>9.9620000000000004E-4</v>
      </c>
      <c r="C6" s="80">
        <v>20.97</v>
      </c>
      <c r="D6" s="80">
        <v>28.94</v>
      </c>
      <c r="E6" s="81">
        <v>7.603E-2</v>
      </c>
      <c r="F6" s="81"/>
      <c r="G6" s="28"/>
      <c r="H6" s="28"/>
    </row>
    <row r="7" spans="1:8" ht="18.75" customHeight="1" x14ac:dyDescent="0.25">
      <c r="A7" s="7">
        <v>10</v>
      </c>
      <c r="B7" s="79">
        <v>9.9657000000000001E-4</v>
      </c>
      <c r="C7" s="80">
        <v>41.82</v>
      </c>
      <c r="D7" s="80">
        <v>49.79</v>
      </c>
      <c r="E7" s="81">
        <v>0.15031</v>
      </c>
      <c r="F7" s="81"/>
      <c r="G7" s="28"/>
      <c r="H7" s="28"/>
    </row>
    <row r="8" spans="1:8" ht="18.75" customHeight="1" x14ac:dyDescent="0.25">
      <c r="A8" s="7">
        <v>15</v>
      </c>
      <c r="B8" s="79">
        <v>9.9725000000000009E-4</v>
      </c>
      <c r="C8" s="80">
        <v>62.63</v>
      </c>
      <c r="D8" s="80">
        <v>70.61</v>
      </c>
      <c r="E8" s="81">
        <v>0.22320000000000001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9.9821000000000003E-4</v>
      </c>
      <c r="C9" s="80">
        <v>83.42</v>
      </c>
      <c r="D9" s="80">
        <v>91.41</v>
      </c>
      <c r="E9" s="81">
        <v>0.29477999999999999</v>
      </c>
      <c r="F9" s="81"/>
      <c r="G9" s="28"/>
      <c r="H9" s="28"/>
    </row>
    <row r="10" spans="1:8" ht="18.75" customHeight="1" x14ac:dyDescent="0.25">
      <c r="A10" s="7">
        <v>25</v>
      </c>
      <c r="B10" s="79">
        <v>9.9942E-4</v>
      </c>
      <c r="C10" s="80">
        <v>104.21</v>
      </c>
      <c r="D10" s="80">
        <v>112.21</v>
      </c>
      <c r="E10" s="81">
        <v>0.36513000000000001</v>
      </c>
      <c r="F10" s="81"/>
      <c r="G10" s="28"/>
      <c r="H10" s="28"/>
    </row>
    <row r="11" spans="1:8" ht="18.75" customHeight="1" x14ac:dyDescent="0.25">
      <c r="A11" s="7">
        <v>30</v>
      </c>
      <c r="B11" s="79">
        <v>1.0008599999999999E-3</v>
      </c>
      <c r="C11" s="80">
        <v>125</v>
      </c>
      <c r="D11" s="80">
        <v>133.01</v>
      </c>
      <c r="E11" s="81">
        <v>0.43430000000000002</v>
      </c>
      <c r="F11" s="81"/>
      <c r="G11" s="28"/>
      <c r="H11" s="28"/>
    </row>
    <row r="12" spans="1:8" ht="18.75" customHeight="1" x14ac:dyDescent="0.25">
      <c r="A12" s="7">
        <v>35</v>
      </c>
      <c r="B12" s="79">
        <v>1.0025100000000001E-3</v>
      </c>
      <c r="C12" s="80">
        <v>145.78</v>
      </c>
      <c r="D12" s="80">
        <v>153.80000000000001</v>
      </c>
      <c r="E12" s="81">
        <v>0.50234000000000001</v>
      </c>
      <c r="F12" s="81"/>
      <c r="G12" s="28"/>
      <c r="H12" s="28"/>
    </row>
    <row r="13" spans="1:8" ht="18.75" customHeight="1" x14ac:dyDescent="0.25">
      <c r="A13" s="7">
        <v>40</v>
      </c>
      <c r="B13" s="79">
        <v>1.0043700000000001E-3</v>
      </c>
      <c r="C13" s="80">
        <v>166.57</v>
      </c>
      <c r="D13" s="80">
        <v>174.6</v>
      </c>
      <c r="E13" s="81">
        <v>0.56928999999999996</v>
      </c>
      <c r="F13" s="81"/>
      <c r="G13" s="28"/>
      <c r="H13" s="28"/>
    </row>
    <row r="14" spans="1:8" ht="18.75" customHeight="1" x14ac:dyDescent="0.25">
      <c r="A14" s="7">
        <v>45</v>
      </c>
      <c r="B14" s="79">
        <v>1.0064E-3</v>
      </c>
      <c r="C14" s="80">
        <v>187.36</v>
      </c>
      <c r="D14" s="80">
        <v>195.41</v>
      </c>
      <c r="E14" s="81">
        <v>0.63521000000000005</v>
      </c>
      <c r="F14" s="81"/>
      <c r="G14" s="28"/>
      <c r="H14" s="28"/>
    </row>
    <row r="15" spans="1:8" ht="18.75" customHeight="1" x14ac:dyDescent="0.25">
      <c r="A15" s="7">
        <v>50</v>
      </c>
      <c r="B15" s="79">
        <v>1.00862E-3</v>
      </c>
      <c r="C15" s="80">
        <v>208.15</v>
      </c>
      <c r="D15" s="80">
        <v>216.22</v>
      </c>
      <c r="E15" s="81">
        <v>0.70011999999999996</v>
      </c>
      <c r="F15" s="81"/>
      <c r="G15" s="28"/>
      <c r="H15" s="28"/>
    </row>
    <row r="16" spans="1:8" ht="18.75" customHeight="1" x14ac:dyDescent="0.25">
      <c r="A16" s="7">
        <v>55</v>
      </c>
      <c r="B16" s="79">
        <v>1.0110099999999999E-3</v>
      </c>
      <c r="C16" s="80">
        <v>228.95</v>
      </c>
      <c r="D16" s="80">
        <v>237.04</v>
      </c>
      <c r="E16" s="81">
        <v>0.76405999999999996</v>
      </c>
      <c r="F16" s="81"/>
      <c r="G16" s="28"/>
      <c r="H16" s="28"/>
    </row>
    <row r="17" spans="1:8" ht="18.75" customHeight="1" x14ac:dyDescent="0.25">
      <c r="A17" s="7">
        <v>60</v>
      </c>
      <c r="B17" s="79">
        <v>1.0135599999999999E-3</v>
      </c>
      <c r="C17" s="80">
        <v>249.77</v>
      </c>
      <c r="D17" s="80">
        <v>257.88</v>
      </c>
      <c r="E17" s="81">
        <v>0.82706999999999997</v>
      </c>
      <c r="F17" s="81"/>
      <c r="G17" s="28"/>
      <c r="H17" s="28"/>
    </row>
    <row r="18" spans="1:8" ht="18.75" customHeight="1" x14ac:dyDescent="0.25">
      <c r="A18" s="7">
        <v>65</v>
      </c>
      <c r="B18" s="79">
        <v>1.0162700000000001E-3</v>
      </c>
      <c r="C18" s="80">
        <v>270.58999999999997</v>
      </c>
      <c r="D18" s="80">
        <v>278.72000000000003</v>
      </c>
      <c r="E18" s="81">
        <v>0.88917000000000002</v>
      </c>
      <c r="F18" s="81"/>
      <c r="G18" s="28"/>
      <c r="H18" s="28"/>
    </row>
    <row r="19" spans="1:8" ht="18.75" customHeight="1" x14ac:dyDescent="0.25">
      <c r="A19" s="7">
        <v>70</v>
      </c>
      <c r="B19" s="79">
        <v>1.01914E-3</v>
      </c>
      <c r="C19" s="80">
        <v>291.43</v>
      </c>
      <c r="D19" s="80">
        <v>299.58</v>
      </c>
      <c r="E19" s="81">
        <v>0.95040999999999998</v>
      </c>
      <c r="F19" s="81"/>
      <c r="G19" s="28"/>
      <c r="H19" s="28"/>
    </row>
    <row r="20" spans="1:8" ht="18.75" customHeight="1" x14ac:dyDescent="0.25">
      <c r="A20" s="7">
        <v>75</v>
      </c>
      <c r="B20" s="79">
        <v>1.02216E-3</v>
      </c>
      <c r="C20" s="80">
        <v>312.27</v>
      </c>
      <c r="D20" s="80">
        <v>320.45</v>
      </c>
      <c r="E20" s="82">
        <v>1.0107999999999999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1.0253300000000001E-3</v>
      </c>
      <c r="C21" s="80">
        <v>333.14</v>
      </c>
      <c r="D21" s="80">
        <v>341.34</v>
      </c>
      <c r="E21" s="82">
        <v>1.0704</v>
      </c>
      <c r="F21" s="82"/>
      <c r="G21" s="28"/>
      <c r="H21" s="28"/>
    </row>
    <row r="22" spans="1:8" ht="18.75" customHeight="1" x14ac:dyDescent="0.25">
      <c r="A22" s="7">
        <v>85</v>
      </c>
      <c r="B22" s="79">
        <v>1.0286500000000001E-3</v>
      </c>
      <c r="C22" s="80">
        <v>354.02</v>
      </c>
      <c r="D22" s="80">
        <v>362.25</v>
      </c>
      <c r="E22" s="82">
        <v>1.1292</v>
      </c>
      <c r="F22" s="82"/>
      <c r="G22" s="28"/>
      <c r="H22" s="28"/>
    </row>
    <row r="23" spans="1:8" ht="18.75" customHeight="1" x14ac:dyDescent="0.25">
      <c r="A23" s="7">
        <v>90</v>
      </c>
      <c r="B23" s="79">
        <v>1.0321099999999999E-3</v>
      </c>
      <c r="C23" s="80">
        <v>374.92</v>
      </c>
      <c r="D23" s="80">
        <v>383.18</v>
      </c>
      <c r="E23" s="82">
        <v>1.1872</v>
      </c>
      <c r="F23" s="82"/>
      <c r="G23" s="28"/>
      <c r="H23" s="28"/>
    </row>
    <row r="24" spans="1:8" ht="18.75" customHeight="1" x14ac:dyDescent="0.25">
      <c r="A24" s="7">
        <v>95</v>
      </c>
      <c r="B24" s="79">
        <v>1.03572E-3</v>
      </c>
      <c r="C24" s="80">
        <v>395.84</v>
      </c>
      <c r="D24" s="80">
        <v>404.13</v>
      </c>
      <c r="E24" s="82">
        <v>1.2444999999999999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1.03948E-3</v>
      </c>
      <c r="C25" s="80">
        <v>416.79</v>
      </c>
      <c r="D25" s="80">
        <v>425.11</v>
      </c>
      <c r="E25" s="82">
        <v>1.3010999999999999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1.0433899999999999E-3</v>
      </c>
      <c r="C26" s="80">
        <v>437.76</v>
      </c>
      <c r="D26" s="80">
        <v>446.11</v>
      </c>
      <c r="E26" s="82">
        <v>1.357</v>
      </c>
      <c r="F26" s="82"/>
      <c r="G26" s="28"/>
      <c r="H26" s="28"/>
    </row>
    <row r="27" spans="1:8" ht="18.75" customHeight="1" x14ac:dyDescent="0.25">
      <c r="A27" s="7">
        <v>110</v>
      </c>
      <c r="B27" s="79">
        <v>1.04744E-3</v>
      </c>
      <c r="C27" s="80">
        <v>458.77</v>
      </c>
      <c r="D27" s="80">
        <v>467.15</v>
      </c>
      <c r="E27" s="82">
        <v>1.4123000000000001</v>
      </c>
      <c r="F27" s="82"/>
      <c r="G27" s="28"/>
      <c r="H27" s="28"/>
    </row>
    <row r="28" spans="1:8" ht="18.75" customHeight="1" x14ac:dyDescent="0.25">
      <c r="A28" s="7">
        <v>115</v>
      </c>
      <c r="B28" s="79">
        <v>1.0516499999999999E-3</v>
      </c>
      <c r="C28" s="80">
        <v>479.8</v>
      </c>
      <c r="D28" s="80">
        <v>488.21</v>
      </c>
      <c r="E28" s="82">
        <v>1.4669000000000001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1.0560000000000001E-3</v>
      </c>
      <c r="C29" s="80">
        <v>500.86</v>
      </c>
      <c r="D29" s="80">
        <v>509.31</v>
      </c>
      <c r="E29" s="82">
        <v>1.5208999999999999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1.0605199999999999E-3</v>
      </c>
      <c r="C30" s="80">
        <v>521.97</v>
      </c>
      <c r="D30" s="80">
        <v>530.45000000000005</v>
      </c>
      <c r="E30" s="82">
        <v>1.5743</v>
      </c>
      <c r="F30" s="82"/>
      <c r="G30" s="28"/>
      <c r="H30" s="28"/>
    </row>
    <row r="31" spans="1:8" ht="18.75" customHeight="1" x14ac:dyDescent="0.25">
      <c r="A31" s="7">
        <v>130</v>
      </c>
      <c r="B31" s="79">
        <v>1.0651899999999999E-3</v>
      </c>
      <c r="C31" s="80">
        <v>543.11</v>
      </c>
      <c r="D31" s="80">
        <v>551.63</v>
      </c>
      <c r="E31" s="82">
        <v>1.6272</v>
      </c>
      <c r="F31" s="82"/>
      <c r="G31" s="28"/>
      <c r="H31" s="28"/>
    </row>
    <row r="32" spans="1:8" ht="18.75" customHeight="1" x14ac:dyDescent="0.25">
      <c r="A32" s="7">
        <v>135</v>
      </c>
      <c r="B32" s="79">
        <v>1.0700200000000001E-3</v>
      </c>
      <c r="C32" s="80">
        <v>564.29999999999995</v>
      </c>
      <c r="D32" s="80">
        <v>572.86</v>
      </c>
      <c r="E32" s="82">
        <v>1.6795</v>
      </c>
      <c r="F32" s="82"/>
      <c r="G32" s="28"/>
      <c r="H32" s="28"/>
    </row>
    <row r="33" spans="1:8" ht="18.75" customHeight="1" x14ac:dyDescent="0.25">
      <c r="A33" s="7">
        <v>140</v>
      </c>
      <c r="B33" s="79">
        <v>1.0750099999999999E-3</v>
      </c>
      <c r="C33" s="80">
        <v>585.54</v>
      </c>
      <c r="D33" s="80">
        <v>594.14</v>
      </c>
      <c r="E33" s="82">
        <v>1.7313000000000001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1.0801700000000001E-3</v>
      </c>
      <c r="C34" s="80">
        <v>606.83000000000004</v>
      </c>
      <c r="D34" s="80">
        <v>615.47</v>
      </c>
      <c r="E34" s="82">
        <v>1.7827</v>
      </c>
      <c r="F34" s="82"/>
      <c r="G34" s="28"/>
      <c r="H34" s="28"/>
    </row>
    <row r="35" spans="1:8" ht="18.75" customHeight="1" x14ac:dyDescent="0.25">
      <c r="A35" s="7">
        <v>150</v>
      </c>
      <c r="B35" s="79">
        <v>1.08551E-3</v>
      </c>
      <c r="C35" s="80">
        <v>628.17999999999995</v>
      </c>
      <c r="D35" s="80">
        <v>636.86</v>
      </c>
      <c r="E35" s="82">
        <v>1.8334999999999999</v>
      </c>
      <c r="F35" s="82"/>
      <c r="G35" s="28"/>
      <c r="H35" s="28"/>
    </row>
    <row r="36" spans="1:8" ht="18.75" customHeight="1" x14ac:dyDescent="0.25">
      <c r="A36" s="7">
        <v>155</v>
      </c>
      <c r="B36" s="79">
        <v>1.09103E-3</v>
      </c>
      <c r="C36" s="80">
        <v>649.57000000000005</v>
      </c>
      <c r="D36" s="80">
        <v>658.3</v>
      </c>
      <c r="E36" s="82">
        <v>1.8838999999999999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1.0967399999999999E-3</v>
      </c>
      <c r="C37" s="80">
        <v>671.05</v>
      </c>
      <c r="D37" s="80">
        <v>679.82</v>
      </c>
      <c r="E37" s="82">
        <v>1.9339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1.10264E-3</v>
      </c>
      <c r="C38" s="80">
        <v>692.58</v>
      </c>
      <c r="D38" s="80">
        <v>701.4</v>
      </c>
      <c r="E38" s="82">
        <v>1.9834000000000001</v>
      </c>
      <c r="F38" s="82"/>
      <c r="G38" s="28"/>
      <c r="H38" s="28"/>
    </row>
    <row r="39" spans="1:8" ht="18.75" customHeight="1" x14ac:dyDescent="0.25">
      <c r="A39" s="7">
        <v>170</v>
      </c>
      <c r="B39" s="79">
        <v>1.10874E-3</v>
      </c>
      <c r="C39" s="80">
        <v>714.19</v>
      </c>
      <c r="D39" s="80">
        <v>723.06</v>
      </c>
      <c r="E39" s="82">
        <v>2.0326</v>
      </c>
      <c r="F39" s="82"/>
      <c r="G39" s="28"/>
      <c r="H39" s="28"/>
    </row>
    <row r="40" spans="1:8" ht="18.75" customHeight="1" x14ac:dyDescent="0.25">
      <c r="A40" s="7">
        <v>175</v>
      </c>
      <c r="B40" s="79">
        <v>1.11505E-3</v>
      </c>
      <c r="C40" s="80">
        <v>735.88</v>
      </c>
      <c r="D40" s="80">
        <v>744.8</v>
      </c>
      <c r="E40" s="82">
        <v>2.0813000000000001</v>
      </c>
      <c r="F40" s="82"/>
      <c r="G40" s="28"/>
      <c r="H40" s="28"/>
    </row>
    <row r="41" spans="1:8" ht="18.75" customHeight="1" x14ac:dyDescent="0.25">
      <c r="A41" s="7">
        <v>180</v>
      </c>
      <c r="B41" s="79">
        <v>1.1215800000000001E-3</v>
      </c>
      <c r="C41" s="80">
        <v>757.66</v>
      </c>
      <c r="D41" s="80">
        <v>766.63</v>
      </c>
      <c r="E41" s="82">
        <v>2.1297999999999999</v>
      </c>
      <c r="F41" s="82"/>
      <c r="G41" s="28"/>
      <c r="H41" s="28"/>
    </row>
    <row r="42" spans="1:8" ht="18.75" customHeight="1" x14ac:dyDescent="0.25">
      <c r="A42" s="7">
        <v>185</v>
      </c>
      <c r="B42" s="79">
        <v>1.12834E-3</v>
      </c>
      <c r="C42" s="80">
        <v>779.52</v>
      </c>
      <c r="D42" s="80">
        <v>788.55</v>
      </c>
      <c r="E42" s="82">
        <v>2.1779000000000002</v>
      </c>
      <c r="F42" s="82"/>
      <c r="G42" s="28"/>
      <c r="H42" s="28"/>
    </row>
    <row r="43" spans="1:8" ht="18.75" customHeight="1" x14ac:dyDescent="0.25">
      <c r="A43" s="7">
        <v>190</v>
      </c>
      <c r="B43" s="79">
        <v>1.1353400000000001E-3</v>
      </c>
      <c r="C43" s="80">
        <v>801.49</v>
      </c>
      <c r="D43" s="80">
        <v>810.57</v>
      </c>
      <c r="E43" s="82">
        <v>2.2256999999999998</v>
      </c>
      <c r="F43" s="82"/>
      <c r="G43" s="28"/>
      <c r="H43" s="28"/>
    </row>
    <row r="44" spans="1:8" ht="18.75" customHeight="1" x14ac:dyDescent="0.25">
      <c r="A44" s="7">
        <v>195</v>
      </c>
      <c r="B44" s="79">
        <v>1.14259E-3</v>
      </c>
      <c r="C44" s="80">
        <v>823.56</v>
      </c>
      <c r="D44" s="80">
        <v>832.7</v>
      </c>
      <c r="E44" s="82">
        <v>2.2732000000000001</v>
      </c>
      <c r="F44" s="82"/>
      <c r="G44" s="28"/>
      <c r="H44" s="28"/>
    </row>
    <row r="45" spans="1:8" ht="18.75" customHeight="1" x14ac:dyDescent="0.25">
      <c r="A45" s="7">
        <v>200</v>
      </c>
      <c r="B45" s="79">
        <v>1.15011E-3</v>
      </c>
      <c r="C45" s="80">
        <v>845.74</v>
      </c>
      <c r="D45" s="80">
        <v>854.94</v>
      </c>
      <c r="E45" s="82">
        <v>2.3205</v>
      </c>
      <c r="F45" s="82"/>
      <c r="G45" s="28"/>
      <c r="H45" s="28"/>
    </row>
    <row r="46" spans="1:8" ht="18.75" customHeight="1" x14ac:dyDescent="0.25">
      <c r="A46" s="7">
        <v>210</v>
      </c>
      <c r="B46" s="79">
        <v>1.16603E-3</v>
      </c>
      <c r="C46" s="80">
        <v>890.46</v>
      </c>
      <c r="D46" s="80">
        <v>899.79</v>
      </c>
      <c r="E46" s="82">
        <v>2.4142999999999999</v>
      </c>
      <c r="F46" s="82"/>
      <c r="G46" s="28"/>
      <c r="H46" s="28"/>
    </row>
    <row r="47" spans="1:8" ht="18.75" customHeight="1" x14ac:dyDescent="0.25">
      <c r="A47" s="7">
        <v>220</v>
      </c>
      <c r="B47" s="79">
        <v>1.18322E-3</v>
      </c>
      <c r="C47" s="80">
        <v>935.73</v>
      </c>
      <c r="D47" s="80">
        <v>945.2</v>
      </c>
      <c r="E47" s="82">
        <v>2.5072999999999999</v>
      </c>
      <c r="F47" s="82"/>
      <c r="G47" s="28"/>
      <c r="H47" s="28"/>
    </row>
    <row r="48" spans="1:8" ht="18.75" customHeight="1" x14ac:dyDescent="0.25">
      <c r="A48" s="7">
        <v>230</v>
      </c>
      <c r="B48" s="79">
        <v>1.2018700000000001E-3</v>
      </c>
      <c r="C48" s="80">
        <v>981.64</v>
      </c>
      <c r="D48" s="80">
        <v>991.25</v>
      </c>
      <c r="E48" s="82">
        <v>2.5996999999999999</v>
      </c>
      <c r="F48" s="82"/>
      <c r="G48" s="28"/>
      <c r="H48" s="28"/>
    </row>
    <row r="49" spans="1:8" ht="18.75" customHeight="1" x14ac:dyDescent="0.25">
      <c r="A49" s="7">
        <v>240</v>
      </c>
      <c r="B49" s="79">
        <v>1.22222E-3</v>
      </c>
      <c r="C49" s="83">
        <v>1028.3</v>
      </c>
      <c r="D49" s="83">
        <v>1038.0999999999999</v>
      </c>
      <c r="E49" s="82">
        <v>2.6919</v>
      </c>
      <c r="F49" s="82"/>
      <c r="G49" s="28"/>
      <c r="H49" s="28"/>
    </row>
    <row r="50" spans="1:8" ht="18.75" customHeight="1" x14ac:dyDescent="0.25">
      <c r="A50" s="7">
        <v>250</v>
      </c>
      <c r="B50" s="79">
        <v>1.24457E-3</v>
      </c>
      <c r="C50" s="83">
        <v>1075.7</v>
      </c>
      <c r="D50" s="83">
        <v>1085.7</v>
      </c>
      <c r="E50" s="82">
        <v>2.7839</v>
      </c>
      <c r="F50" s="82"/>
      <c r="G50" s="28"/>
      <c r="H50" s="28"/>
    </row>
    <row r="51" spans="1:8" ht="18.75" customHeight="1" x14ac:dyDescent="0.25">
      <c r="A51" s="7">
        <v>260</v>
      </c>
      <c r="B51" s="79">
        <v>1.26929E-3</v>
      </c>
      <c r="C51" s="83">
        <v>1124.3</v>
      </c>
      <c r="D51" s="83">
        <v>1134.5</v>
      </c>
      <c r="E51" s="82">
        <v>2.8761000000000001</v>
      </c>
      <c r="F51" s="82"/>
      <c r="G51" s="28"/>
      <c r="H51" s="28"/>
    </row>
    <row r="52" spans="1:8" ht="18.75" customHeight="1" x14ac:dyDescent="0.25">
      <c r="A52" s="7">
        <v>270</v>
      </c>
      <c r="B52" s="79">
        <v>1.29693E-3</v>
      </c>
      <c r="C52" s="83">
        <v>1174.0999999999999</v>
      </c>
      <c r="D52" s="83">
        <v>1184.5</v>
      </c>
      <c r="E52" s="82">
        <v>2.9689999999999999</v>
      </c>
      <c r="F52" s="82"/>
      <c r="G52" s="28"/>
      <c r="H52" s="28"/>
    </row>
    <row r="53" spans="1:8" ht="18.75" customHeight="1" x14ac:dyDescent="0.25">
      <c r="A53" s="7">
        <v>280</v>
      </c>
      <c r="B53" s="79">
        <v>1.3282299999999999E-3</v>
      </c>
      <c r="C53" s="83">
        <v>1225.4000000000001</v>
      </c>
      <c r="D53" s="83">
        <v>1236</v>
      </c>
      <c r="E53" s="82">
        <v>3.0630999999999999</v>
      </c>
      <c r="F53" s="82"/>
      <c r="G53" s="28"/>
      <c r="H53" s="28"/>
    </row>
    <row r="54" spans="1:8" ht="18.75" customHeight="1" x14ac:dyDescent="0.25">
      <c r="A54" s="7">
        <v>290</v>
      </c>
      <c r="B54" s="79">
        <v>1.3642999999999999E-3</v>
      </c>
      <c r="C54" s="83">
        <v>1278.7</v>
      </c>
      <c r="D54" s="83">
        <v>1289.5999999999999</v>
      </c>
      <c r="E54" s="82">
        <v>3.1589999999999998</v>
      </c>
      <c r="F54" s="82"/>
      <c r="G54" s="28"/>
      <c r="H54" s="28"/>
    </row>
    <row r="55" spans="1:8" ht="18.75" customHeight="1" x14ac:dyDescent="0.25">
      <c r="A55" s="7">
        <v>300</v>
      </c>
      <c r="B55" s="85">
        <v>2.4278999999999998E-2</v>
      </c>
      <c r="C55" s="83">
        <v>2592.3000000000002</v>
      </c>
      <c r="D55" s="83">
        <v>2786.5</v>
      </c>
      <c r="E55" s="82">
        <v>5.7937000000000003</v>
      </c>
      <c r="F55" s="82"/>
      <c r="G55" s="28"/>
      <c r="H55" s="28"/>
    </row>
    <row r="56" spans="1:8" ht="18.75" customHeight="1" x14ac:dyDescent="0.25">
      <c r="A56" s="7">
        <v>310</v>
      </c>
      <c r="B56" s="85">
        <v>2.563E-2</v>
      </c>
      <c r="C56" s="83">
        <v>2630.4</v>
      </c>
      <c r="D56" s="83">
        <v>2835.4</v>
      </c>
      <c r="E56" s="82">
        <v>5.8783000000000003</v>
      </c>
      <c r="F56" s="82"/>
      <c r="G56" s="28"/>
      <c r="H56" s="28"/>
    </row>
    <row r="57" spans="1:8" ht="18.75" customHeight="1" x14ac:dyDescent="0.25">
      <c r="A57" s="7">
        <v>320</v>
      </c>
      <c r="B57" s="85">
        <v>2.6839999999999999E-2</v>
      </c>
      <c r="C57" s="83">
        <v>2663.7</v>
      </c>
      <c r="D57" s="83">
        <v>2878.4</v>
      </c>
      <c r="E57" s="82">
        <v>5.9515000000000002</v>
      </c>
      <c r="F57" s="82"/>
      <c r="G57" s="28"/>
      <c r="H57" s="28"/>
    </row>
    <row r="58" spans="1:8" ht="18.75" customHeight="1" x14ac:dyDescent="0.25">
      <c r="A58" s="7">
        <v>330</v>
      </c>
      <c r="B58" s="85">
        <v>2.7952000000000001E-2</v>
      </c>
      <c r="C58" s="83">
        <v>2694</v>
      </c>
      <c r="D58" s="83">
        <v>2917.6</v>
      </c>
      <c r="E58" s="82">
        <v>6.0170000000000003</v>
      </c>
      <c r="F58" s="82"/>
      <c r="G58" s="28"/>
      <c r="H58" s="28"/>
    </row>
    <row r="59" spans="1:8" ht="18.75" customHeight="1" x14ac:dyDescent="0.25">
      <c r="A59" s="7">
        <v>340</v>
      </c>
      <c r="B59" s="85">
        <v>2.8992E-2</v>
      </c>
      <c r="C59" s="83">
        <v>2722</v>
      </c>
      <c r="D59" s="83">
        <v>2953.9</v>
      </c>
      <c r="E59" s="82">
        <v>6.0768000000000004</v>
      </c>
      <c r="F59" s="82"/>
      <c r="G59" s="28"/>
      <c r="H59" s="28"/>
    </row>
    <row r="60" spans="1:8" ht="18.75" customHeight="1" x14ac:dyDescent="0.25">
      <c r="A60" s="7">
        <v>350</v>
      </c>
      <c r="B60" s="85">
        <v>2.9975000000000002E-2</v>
      </c>
      <c r="C60" s="83">
        <v>2748.3</v>
      </c>
      <c r="D60" s="83">
        <v>2988.1</v>
      </c>
      <c r="E60" s="82">
        <v>6.1321000000000003</v>
      </c>
      <c r="F60" s="82"/>
      <c r="G60" s="28"/>
      <c r="H60" s="28"/>
    </row>
    <row r="61" spans="1:8" ht="18.75" customHeight="1" x14ac:dyDescent="0.25">
      <c r="A61" s="7">
        <v>360</v>
      </c>
      <c r="B61" s="85">
        <v>3.0911999999999999E-2</v>
      </c>
      <c r="C61" s="83">
        <v>2773.3</v>
      </c>
      <c r="D61" s="83">
        <v>3020.6</v>
      </c>
      <c r="E61" s="82">
        <v>6.1837999999999997</v>
      </c>
      <c r="F61" s="82"/>
      <c r="G61" s="28"/>
      <c r="H61" s="28"/>
    </row>
    <row r="62" spans="1:8" ht="18.75" customHeight="1" x14ac:dyDescent="0.25">
      <c r="A62" s="7">
        <v>370</v>
      </c>
      <c r="B62" s="85">
        <v>3.1812E-2</v>
      </c>
      <c r="C62" s="83">
        <v>2797.3</v>
      </c>
      <c r="D62" s="83">
        <v>3051.8</v>
      </c>
      <c r="E62" s="82">
        <v>6.2327000000000004</v>
      </c>
      <c r="F62" s="82"/>
      <c r="G62" s="28"/>
      <c r="H62" s="28"/>
    </row>
    <row r="63" spans="1:8" ht="18.75" customHeight="1" x14ac:dyDescent="0.25">
      <c r="A63" s="7">
        <v>380</v>
      </c>
      <c r="B63" s="85">
        <v>3.2681000000000002E-2</v>
      </c>
      <c r="C63" s="83">
        <v>2820.4</v>
      </c>
      <c r="D63" s="83">
        <v>3081.8</v>
      </c>
      <c r="E63" s="82">
        <v>6.2789999999999999</v>
      </c>
      <c r="F63" s="82"/>
      <c r="G63" s="28"/>
      <c r="H63" s="28"/>
    </row>
    <row r="64" spans="1:8" ht="18.75" customHeight="1" x14ac:dyDescent="0.25">
      <c r="A64" s="7">
        <v>390</v>
      </c>
      <c r="B64" s="85">
        <v>3.3523999999999998E-2</v>
      </c>
      <c r="C64" s="83">
        <v>2842.8</v>
      </c>
      <c r="D64" s="83">
        <v>3111</v>
      </c>
      <c r="E64" s="82">
        <v>6.3232999999999997</v>
      </c>
      <c r="F64" s="82"/>
      <c r="G64" s="28"/>
      <c r="H64" s="28"/>
    </row>
    <row r="65" spans="1:8" ht="18.75" customHeight="1" x14ac:dyDescent="0.25">
      <c r="A65" s="7">
        <v>400</v>
      </c>
      <c r="B65" s="85">
        <v>3.4344E-2</v>
      </c>
      <c r="C65" s="83">
        <v>2864.6</v>
      </c>
      <c r="D65" s="83">
        <v>3139.4</v>
      </c>
      <c r="E65" s="82">
        <v>6.3658000000000001</v>
      </c>
      <c r="F65" s="82"/>
      <c r="G65" s="28"/>
      <c r="H65" s="28"/>
    </row>
    <row r="66" spans="1:8" ht="18.75" customHeight="1" x14ac:dyDescent="0.25">
      <c r="A66" s="7">
        <v>410</v>
      </c>
      <c r="B66" s="85">
        <v>3.5144000000000002E-2</v>
      </c>
      <c r="C66" s="83">
        <v>2885.9</v>
      </c>
      <c r="D66" s="83">
        <v>3167.1</v>
      </c>
      <c r="E66" s="82">
        <v>6.4066999999999998</v>
      </c>
      <c r="F66" s="82"/>
      <c r="G66" s="28"/>
      <c r="H66" s="28"/>
    </row>
    <row r="67" spans="1:8" ht="18.75" customHeight="1" x14ac:dyDescent="0.25">
      <c r="A67" s="7">
        <v>420</v>
      </c>
      <c r="B67" s="85">
        <v>3.5928000000000002E-2</v>
      </c>
      <c r="C67" s="83">
        <v>2906.9</v>
      </c>
      <c r="D67" s="83">
        <v>3194.3</v>
      </c>
      <c r="E67" s="82">
        <v>6.4462000000000002</v>
      </c>
      <c r="F67" s="82"/>
      <c r="G67" s="28"/>
      <c r="H67" s="28"/>
    </row>
    <row r="68" spans="1:8" ht="18.75" customHeight="1" x14ac:dyDescent="0.25">
      <c r="A68" s="7">
        <v>430</v>
      </c>
      <c r="B68" s="85">
        <v>3.6695999999999999E-2</v>
      </c>
      <c r="C68" s="83">
        <v>2927.4</v>
      </c>
      <c r="D68" s="83">
        <v>3221</v>
      </c>
      <c r="E68" s="82">
        <v>6.4844999999999997</v>
      </c>
      <c r="F68" s="82"/>
      <c r="G68" s="28"/>
      <c r="H68" s="28"/>
    </row>
    <row r="69" spans="1:8" ht="18.75" customHeight="1" x14ac:dyDescent="0.25">
      <c r="A69" s="7">
        <v>440</v>
      </c>
      <c r="B69" s="85">
        <v>3.7450999999999998E-2</v>
      </c>
      <c r="C69" s="83">
        <v>2947.7</v>
      </c>
      <c r="D69" s="83">
        <v>3247.3</v>
      </c>
      <c r="E69" s="82">
        <v>6.5217000000000001</v>
      </c>
      <c r="F69" s="82"/>
      <c r="G69" s="28"/>
      <c r="H69" s="28"/>
    </row>
    <row r="70" spans="1:8" ht="18.75" customHeight="1" x14ac:dyDescent="0.25">
      <c r="A70" s="7">
        <v>450</v>
      </c>
      <c r="B70" s="85">
        <v>3.8193999999999999E-2</v>
      </c>
      <c r="C70" s="83">
        <v>2967.7</v>
      </c>
      <c r="D70" s="83">
        <v>3273.3</v>
      </c>
      <c r="E70" s="82">
        <v>6.5579000000000001</v>
      </c>
      <c r="F70" s="82"/>
      <c r="G70" s="28"/>
      <c r="H70" s="28"/>
    </row>
    <row r="71" spans="1:8" ht="18.75" customHeight="1" x14ac:dyDescent="0.25">
      <c r="A71" s="7">
        <v>460</v>
      </c>
      <c r="B71" s="85">
        <v>3.8926000000000002E-2</v>
      </c>
      <c r="C71" s="83">
        <v>2987.6</v>
      </c>
      <c r="D71" s="83">
        <v>3299</v>
      </c>
      <c r="E71" s="82">
        <v>6.5930999999999997</v>
      </c>
      <c r="F71" s="82"/>
      <c r="G71" s="28"/>
      <c r="H71" s="28"/>
    </row>
    <row r="72" spans="1:8" ht="18.75" customHeight="1" x14ac:dyDescent="0.25">
      <c r="A72" s="7">
        <v>470</v>
      </c>
      <c r="B72" s="85">
        <v>3.9648000000000003E-2</v>
      </c>
      <c r="C72" s="83">
        <v>3007.2</v>
      </c>
      <c r="D72" s="83">
        <v>3324.4</v>
      </c>
      <c r="E72" s="82">
        <v>6.6276000000000002</v>
      </c>
      <c r="F72" s="82"/>
      <c r="G72" s="28"/>
      <c r="H72" s="28"/>
    </row>
    <row r="73" spans="1:8" ht="18.75" customHeight="1" x14ac:dyDescent="0.25">
      <c r="A73" s="7">
        <v>480</v>
      </c>
      <c r="B73" s="85">
        <v>4.0362000000000002E-2</v>
      </c>
      <c r="C73" s="83">
        <v>3026.7</v>
      </c>
      <c r="D73" s="83">
        <v>3349.6</v>
      </c>
      <c r="E73" s="82">
        <v>6.6612999999999998</v>
      </c>
      <c r="F73" s="82"/>
      <c r="G73" s="28"/>
      <c r="H73" s="28"/>
    </row>
    <row r="74" spans="1:8" ht="18.75" customHeight="1" x14ac:dyDescent="0.25">
      <c r="A74" s="7">
        <v>490</v>
      </c>
      <c r="B74" s="85">
        <v>4.1068E-2</v>
      </c>
      <c r="C74" s="83">
        <v>3046.2</v>
      </c>
      <c r="D74" s="83">
        <v>3374.7</v>
      </c>
      <c r="E74" s="82">
        <v>6.6942000000000004</v>
      </c>
      <c r="F74" s="82"/>
      <c r="G74" s="28"/>
      <c r="H74" s="28"/>
    </row>
    <row r="75" spans="1:8" ht="18.75" customHeight="1" x14ac:dyDescent="0.25">
      <c r="A75" s="7">
        <v>500</v>
      </c>
      <c r="B75" s="85">
        <v>4.1766999999999999E-2</v>
      </c>
      <c r="C75" s="83">
        <v>3065.4</v>
      </c>
      <c r="D75" s="83">
        <v>3399.5</v>
      </c>
      <c r="E75" s="82">
        <v>6.7266000000000004</v>
      </c>
      <c r="F75" s="82"/>
      <c r="G75" s="28"/>
      <c r="H75" s="28"/>
    </row>
    <row r="76" spans="1:8" ht="18.75" customHeight="1" x14ac:dyDescent="0.25">
      <c r="A76" s="7">
        <v>520</v>
      </c>
      <c r="B76" s="85">
        <v>4.3145000000000003E-2</v>
      </c>
      <c r="C76" s="83">
        <v>3103.5</v>
      </c>
      <c r="D76" s="83">
        <v>3448.7</v>
      </c>
      <c r="E76" s="82">
        <v>6.7895000000000003</v>
      </c>
      <c r="F76" s="82"/>
      <c r="G76" s="28"/>
      <c r="H76" s="28"/>
    </row>
    <row r="77" spans="1:8" ht="18.75" customHeight="1" x14ac:dyDescent="0.25">
      <c r="A77" s="7">
        <v>540</v>
      </c>
      <c r="B77" s="85">
        <v>4.4500999999999999E-2</v>
      </c>
      <c r="C77" s="83">
        <v>3141.6</v>
      </c>
      <c r="D77" s="83">
        <v>3497.6</v>
      </c>
      <c r="E77" s="82">
        <v>6.8502999999999998</v>
      </c>
      <c r="F77" s="82"/>
      <c r="G77" s="28"/>
      <c r="H77" s="28"/>
    </row>
    <row r="78" spans="1:8" ht="18.75" customHeight="1" x14ac:dyDescent="0.25">
      <c r="A78" s="7">
        <v>560</v>
      </c>
      <c r="B78" s="85">
        <v>4.5837999999999997E-2</v>
      </c>
      <c r="C78" s="83">
        <v>3179.3</v>
      </c>
      <c r="D78" s="83">
        <v>3546</v>
      </c>
      <c r="E78" s="82">
        <v>6.9092000000000002</v>
      </c>
      <c r="F78" s="82"/>
      <c r="G78" s="28"/>
      <c r="H78" s="28"/>
    </row>
    <row r="79" spans="1:8" ht="18.75" customHeight="1" x14ac:dyDescent="0.25">
      <c r="A79" s="7">
        <v>580</v>
      </c>
      <c r="B79" s="85">
        <v>4.7157999999999999E-2</v>
      </c>
      <c r="C79" s="83">
        <v>3217</v>
      </c>
      <c r="D79" s="83">
        <v>3594.3</v>
      </c>
      <c r="E79" s="82">
        <v>6.9664000000000001</v>
      </c>
      <c r="F79" s="82"/>
      <c r="G79" s="28"/>
      <c r="H79" s="28"/>
    </row>
    <row r="80" spans="1:8" ht="18.75" customHeight="1" x14ac:dyDescent="0.25">
      <c r="A80" s="7">
        <v>600</v>
      </c>
      <c r="B80" s="85">
        <v>4.8462999999999999E-2</v>
      </c>
      <c r="C80" s="83">
        <v>3254.7</v>
      </c>
      <c r="D80" s="83">
        <v>3642.4</v>
      </c>
      <c r="E80" s="82">
        <v>7.0221</v>
      </c>
      <c r="F80" s="82"/>
      <c r="G80" s="28"/>
      <c r="H80" s="28"/>
    </row>
    <row r="81" spans="1:8" ht="18.75" customHeight="1" x14ac:dyDescent="0.25">
      <c r="A81" s="7">
        <v>620</v>
      </c>
      <c r="B81" s="85">
        <v>4.9756000000000002E-2</v>
      </c>
      <c r="C81" s="83">
        <v>3292.4</v>
      </c>
      <c r="D81" s="83">
        <v>3690.4</v>
      </c>
      <c r="E81" s="82">
        <v>7.0763999999999996</v>
      </c>
      <c r="F81" s="82"/>
      <c r="G81" s="28"/>
      <c r="H81" s="28"/>
    </row>
    <row r="82" spans="1:8" ht="18.75" customHeight="1" x14ac:dyDescent="0.25">
      <c r="A82" s="7">
        <v>640</v>
      </c>
      <c r="B82" s="85">
        <v>5.1038E-2</v>
      </c>
      <c r="C82" s="83">
        <v>3330</v>
      </c>
      <c r="D82" s="83">
        <v>3738.3</v>
      </c>
      <c r="E82" s="82">
        <v>7.1295000000000002</v>
      </c>
      <c r="F82" s="82"/>
      <c r="G82" s="28"/>
      <c r="H82" s="28"/>
    </row>
    <row r="83" spans="1:8" ht="18.75" customHeight="1" x14ac:dyDescent="0.25">
      <c r="A83" s="7">
        <v>660</v>
      </c>
      <c r="B83" s="85">
        <v>5.2310000000000002E-2</v>
      </c>
      <c r="C83" s="83">
        <v>3367.7</v>
      </c>
      <c r="D83" s="83">
        <v>3786.2</v>
      </c>
      <c r="E83" s="82">
        <v>7.1814</v>
      </c>
      <c r="F83" s="82"/>
      <c r="G83" s="28"/>
      <c r="H83" s="28"/>
    </row>
    <row r="84" spans="1:8" ht="18.75" customHeight="1" x14ac:dyDescent="0.25">
      <c r="A84" s="7">
        <v>680</v>
      </c>
      <c r="B84" s="85">
        <v>5.3573000000000003E-2</v>
      </c>
      <c r="C84" s="83">
        <v>3405.6</v>
      </c>
      <c r="D84" s="83">
        <v>3834.2</v>
      </c>
      <c r="E84" s="82">
        <v>7.2323000000000004</v>
      </c>
      <c r="F84" s="82"/>
      <c r="G84" s="28"/>
      <c r="H84" s="28"/>
    </row>
    <row r="85" spans="1:8" ht="18.75" customHeight="1" x14ac:dyDescent="0.25">
      <c r="A85" s="7">
        <v>700</v>
      </c>
      <c r="B85" s="85">
        <v>5.4828000000000002E-2</v>
      </c>
      <c r="C85" s="83">
        <v>3443.6</v>
      </c>
      <c r="D85" s="83">
        <v>3882.2</v>
      </c>
      <c r="E85" s="82">
        <v>7.2820999999999998</v>
      </c>
      <c r="F85" s="82"/>
      <c r="G85" s="28"/>
      <c r="H85" s="28"/>
    </row>
    <row r="86" spans="1:8" ht="18.75" customHeight="1" x14ac:dyDescent="0.25">
      <c r="A86" s="7">
        <v>720</v>
      </c>
      <c r="B86" s="85">
        <v>5.6077000000000002E-2</v>
      </c>
      <c r="C86" s="83">
        <v>3481.7</v>
      </c>
      <c r="D86" s="83">
        <v>3930.3</v>
      </c>
      <c r="E86" s="82">
        <v>7.3310000000000004</v>
      </c>
      <c r="F86" s="82"/>
      <c r="G86" s="28"/>
      <c r="H86" s="28"/>
    </row>
    <row r="87" spans="1:8" ht="18.75" customHeight="1" x14ac:dyDescent="0.25">
      <c r="A87" s="7">
        <v>740</v>
      </c>
      <c r="B87" s="85">
        <v>5.7318000000000001E-2</v>
      </c>
      <c r="C87" s="83">
        <v>3520</v>
      </c>
      <c r="D87" s="83">
        <v>3978.5</v>
      </c>
      <c r="E87" s="82">
        <v>7.3791000000000002</v>
      </c>
      <c r="F87" s="82"/>
      <c r="G87" s="28"/>
      <c r="H87" s="28"/>
    </row>
    <row r="88" spans="1:8" ht="18.75" customHeight="1" x14ac:dyDescent="0.25">
      <c r="A88" s="7">
        <v>760</v>
      </c>
      <c r="B88" s="85">
        <v>5.8554000000000002E-2</v>
      </c>
      <c r="C88" s="83">
        <v>3558.4</v>
      </c>
      <c r="D88" s="83">
        <v>4026.8</v>
      </c>
      <c r="E88" s="82">
        <v>7.4263000000000003</v>
      </c>
      <c r="F88" s="82"/>
      <c r="G88" s="28"/>
      <c r="H88" s="28"/>
    </row>
    <row r="89" spans="1:8" ht="18.75" customHeight="1" x14ac:dyDescent="0.25">
      <c r="A89" s="7">
        <v>780</v>
      </c>
      <c r="B89" s="85">
        <v>5.9784999999999998E-2</v>
      </c>
      <c r="C89" s="83">
        <v>3596.9</v>
      </c>
      <c r="D89" s="83">
        <v>4075.2</v>
      </c>
      <c r="E89" s="82">
        <v>7.4726999999999997</v>
      </c>
      <c r="F89" s="82"/>
      <c r="G89" s="28"/>
      <c r="H89" s="28"/>
    </row>
    <row r="90" spans="1:8" ht="18.75" customHeight="1" x14ac:dyDescent="0.25">
      <c r="A90" s="7">
        <v>800</v>
      </c>
      <c r="B90" s="85">
        <v>6.1011000000000003E-2</v>
      </c>
      <c r="C90" s="83">
        <v>3635.7</v>
      </c>
      <c r="D90" s="83">
        <v>4123.8</v>
      </c>
      <c r="E90" s="82">
        <v>7.5183999999999997</v>
      </c>
      <c r="F90" s="82"/>
      <c r="G90" s="28"/>
      <c r="H90" s="28"/>
    </row>
    <row r="91" spans="1:8" ht="18.75" customHeight="1" x14ac:dyDescent="0.25">
      <c r="A91" s="7">
        <v>820</v>
      </c>
      <c r="B91" s="85">
        <v>6.2232999999999997E-2</v>
      </c>
      <c r="C91" s="83">
        <v>3674.6</v>
      </c>
      <c r="D91" s="83">
        <v>4172.5</v>
      </c>
      <c r="E91" s="82">
        <v>7.5635000000000003</v>
      </c>
      <c r="F91" s="82"/>
      <c r="G91" s="28"/>
      <c r="H91" s="28"/>
    </row>
    <row r="92" spans="1:8" ht="18.75" customHeight="1" x14ac:dyDescent="0.25">
      <c r="A92" s="7">
        <v>840</v>
      </c>
      <c r="B92" s="85">
        <v>6.3450000000000006E-2</v>
      </c>
      <c r="C92" s="83">
        <v>3713.9</v>
      </c>
      <c r="D92" s="83">
        <v>4221.5</v>
      </c>
      <c r="E92" s="82">
        <v>7.6078000000000001</v>
      </c>
      <c r="F92" s="82"/>
      <c r="G92" s="28"/>
      <c r="H92" s="28"/>
    </row>
    <row r="93" spans="1:8" ht="18.75" customHeight="1" x14ac:dyDescent="0.25">
      <c r="A93" s="7">
        <v>860</v>
      </c>
      <c r="B93" s="85">
        <v>6.4663999999999999E-2</v>
      </c>
      <c r="C93" s="83">
        <v>3753.3</v>
      </c>
      <c r="D93" s="83">
        <v>4270.6000000000004</v>
      </c>
      <c r="E93" s="82">
        <v>7.6515000000000004</v>
      </c>
      <c r="F93" s="82"/>
      <c r="G93" s="28"/>
      <c r="H93" s="28"/>
    </row>
    <row r="94" spans="1:8" ht="18.75" customHeight="1" x14ac:dyDescent="0.25">
      <c r="A94" s="7">
        <v>880</v>
      </c>
      <c r="B94" s="85">
        <v>6.5874000000000002E-2</v>
      </c>
      <c r="C94" s="83">
        <v>3792.8</v>
      </c>
      <c r="D94" s="83">
        <v>4319.8</v>
      </c>
      <c r="E94" s="82">
        <v>7.6946000000000003</v>
      </c>
      <c r="F94" s="82"/>
      <c r="G94" s="28"/>
      <c r="H94" s="28"/>
    </row>
    <row r="95" spans="1:8" ht="18.75" customHeight="1" x14ac:dyDescent="0.25">
      <c r="A95" s="7">
        <v>900</v>
      </c>
      <c r="B95" s="85">
        <v>6.7082000000000003E-2</v>
      </c>
      <c r="C95" s="83">
        <v>3832.6</v>
      </c>
      <c r="D95" s="83">
        <v>4369.3</v>
      </c>
      <c r="E95" s="82">
        <v>7.7370999999999999</v>
      </c>
      <c r="F95" s="82"/>
      <c r="G95" s="28"/>
      <c r="H95" s="28"/>
    </row>
    <row r="96" spans="1:8" ht="18.75" customHeight="1" x14ac:dyDescent="0.25">
      <c r="A96" s="7">
        <v>920</v>
      </c>
      <c r="B96" s="85">
        <v>6.8285999999999999E-2</v>
      </c>
      <c r="C96" s="83">
        <v>3872.7</v>
      </c>
      <c r="D96" s="83">
        <v>4419</v>
      </c>
      <c r="E96" s="82">
        <v>7.7790999999999997</v>
      </c>
      <c r="F96" s="82"/>
      <c r="G96" s="28"/>
      <c r="H96" s="28"/>
    </row>
    <row r="97" spans="1:8" ht="18.75" customHeight="1" x14ac:dyDescent="0.25">
      <c r="A97" s="7">
        <v>940</v>
      </c>
      <c r="B97" s="85">
        <v>6.9487999999999994E-2</v>
      </c>
      <c r="C97" s="83">
        <v>3912.9</v>
      </c>
      <c r="D97" s="83">
        <v>4468.8</v>
      </c>
      <c r="E97" s="82">
        <v>7.8205999999999998</v>
      </c>
      <c r="F97" s="82"/>
      <c r="G97" s="28"/>
      <c r="H97" s="28"/>
    </row>
    <row r="98" spans="1:8" ht="18.75" customHeight="1" x14ac:dyDescent="0.25">
      <c r="A98" s="7">
        <v>960</v>
      </c>
      <c r="B98" s="85">
        <v>7.0687E-2</v>
      </c>
      <c r="C98" s="83">
        <v>3953.4</v>
      </c>
      <c r="D98" s="83">
        <v>4518.8999999999996</v>
      </c>
      <c r="E98" s="82">
        <v>7.8615000000000004</v>
      </c>
      <c r="F98" s="82"/>
      <c r="G98" s="28"/>
      <c r="H98" s="28"/>
    </row>
    <row r="99" spans="1:8" ht="18.75" customHeight="1" x14ac:dyDescent="0.25">
      <c r="A99" s="7">
        <v>980</v>
      </c>
      <c r="B99" s="85">
        <v>7.1884000000000003E-2</v>
      </c>
      <c r="C99" s="83">
        <v>3994</v>
      </c>
      <c r="D99" s="83">
        <v>4569.1000000000004</v>
      </c>
      <c r="E99" s="82">
        <v>7.9019000000000004</v>
      </c>
      <c r="F99" s="82"/>
      <c r="G99" s="28"/>
      <c r="H99" s="28"/>
    </row>
    <row r="100" spans="1:8" ht="18.75" customHeight="1" x14ac:dyDescent="0.25">
      <c r="A100" s="7">
        <v>1000</v>
      </c>
      <c r="B100" s="85">
        <v>7.3079000000000005E-2</v>
      </c>
      <c r="C100" s="83">
        <v>4035</v>
      </c>
      <c r="D100" s="83">
        <v>4619.6000000000004</v>
      </c>
      <c r="E100" s="82">
        <v>7.9419000000000004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H100"/>
  <sheetViews>
    <sheetView topLeftCell="A44" workbookViewId="0">
      <selection activeCell="A56" sqref="A56:XFD56"/>
    </sheetView>
  </sheetViews>
  <sheetFormatPr defaultRowHeight="13.2" x14ac:dyDescent="0.25"/>
  <cols>
    <col min="1" max="1" width="8.44140625" customWidth="1"/>
    <col min="2" max="2" width="10.109375" customWidth="1"/>
    <col min="3" max="3" width="7.44140625" customWidth="1"/>
    <col min="4" max="4" width="8.6640625" customWidth="1"/>
    <col min="5" max="5" width="9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206" t="s">
        <v>88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9000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9.9569000000000003E-4</v>
      </c>
      <c r="C5" s="80">
        <v>0.1</v>
      </c>
      <c r="D5" s="80">
        <v>9.06</v>
      </c>
      <c r="E5" s="81">
        <v>3.1E-4</v>
      </c>
      <c r="F5" s="81"/>
      <c r="G5" s="47"/>
      <c r="H5" s="47"/>
    </row>
    <row r="6" spans="1:8" ht="18.75" customHeight="1" x14ac:dyDescent="0.25">
      <c r="A6" s="45">
        <v>5</v>
      </c>
      <c r="B6" s="79">
        <v>9.9572000000000007E-4</v>
      </c>
      <c r="C6" s="80">
        <v>20.97</v>
      </c>
      <c r="D6" s="80">
        <v>29.93</v>
      </c>
      <c r="E6" s="81">
        <v>7.5990000000000002E-2</v>
      </c>
      <c r="F6" s="81"/>
      <c r="G6" s="47"/>
      <c r="H6" s="47"/>
    </row>
    <row r="7" spans="1:8" ht="18.75" customHeight="1" x14ac:dyDescent="0.25">
      <c r="A7" s="45">
        <v>10</v>
      </c>
      <c r="B7" s="79">
        <v>9.9609999999999998E-4</v>
      </c>
      <c r="C7" s="80">
        <v>41.79</v>
      </c>
      <c r="D7" s="80">
        <v>50.75</v>
      </c>
      <c r="E7" s="81">
        <v>0.1502</v>
      </c>
      <c r="F7" s="81"/>
      <c r="G7" s="47"/>
      <c r="H7" s="47"/>
    </row>
    <row r="8" spans="1:8" ht="18.75" customHeight="1" x14ac:dyDescent="0.25">
      <c r="A8" s="45">
        <v>15</v>
      </c>
      <c r="B8" s="79">
        <v>9.9679E-4</v>
      </c>
      <c r="C8" s="80">
        <v>62.59</v>
      </c>
      <c r="D8" s="80">
        <v>71.56</v>
      </c>
      <c r="E8" s="81">
        <v>0.22303000000000001</v>
      </c>
      <c r="F8" s="81"/>
      <c r="G8" s="47"/>
      <c r="H8" s="47"/>
    </row>
    <row r="9" spans="1:8" ht="18.75" customHeight="1" x14ac:dyDescent="0.25">
      <c r="A9" s="45">
        <v>20</v>
      </c>
      <c r="B9" s="79">
        <v>9.977600000000001E-4</v>
      </c>
      <c r="C9" s="80">
        <v>83.37</v>
      </c>
      <c r="D9" s="80">
        <v>92.35</v>
      </c>
      <c r="E9" s="81">
        <v>0.29457</v>
      </c>
      <c r="F9" s="81"/>
      <c r="G9" s="47"/>
      <c r="H9" s="47"/>
    </row>
    <row r="10" spans="1:8" ht="18.75" customHeight="1" x14ac:dyDescent="0.25">
      <c r="A10" s="45">
        <v>25</v>
      </c>
      <c r="B10" s="79">
        <v>9.9898000000000001E-4</v>
      </c>
      <c r="C10" s="80">
        <v>104.14</v>
      </c>
      <c r="D10" s="80">
        <v>113.13</v>
      </c>
      <c r="E10" s="81">
        <v>0.36486000000000002</v>
      </c>
      <c r="F10" s="81"/>
      <c r="G10" s="47"/>
      <c r="H10" s="47"/>
    </row>
    <row r="11" spans="1:8" ht="18.75" customHeight="1" x14ac:dyDescent="0.25">
      <c r="A11" s="45">
        <v>30</v>
      </c>
      <c r="B11" s="79">
        <v>1.0004199999999999E-3</v>
      </c>
      <c r="C11" s="80">
        <v>124.91</v>
      </c>
      <c r="D11" s="80">
        <v>133.91</v>
      </c>
      <c r="E11" s="81">
        <v>0.43398999999999999</v>
      </c>
      <c r="F11" s="81"/>
      <c r="G11" s="47"/>
      <c r="H11" s="47"/>
    </row>
    <row r="12" spans="1:8" ht="18.75" customHeight="1" x14ac:dyDescent="0.25">
      <c r="A12" s="45">
        <v>35</v>
      </c>
      <c r="B12" s="79">
        <v>1.00208E-3</v>
      </c>
      <c r="C12" s="80">
        <v>145.68</v>
      </c>
      <c r="D12" s="80">
        <v>154.69999999999999</v>
      </c>
      <c r="E12" s="81">
        <v>0.50199000000000005</v>
      </c>
      <c r="F12" s="81"/>
      <c r="G12" s="47"/>
      <c r="H12" s="47"/>
    </row>
    <row r="13" spans="1:8" ht="18.75" customHeight="1" x14ac:dyDescent="0.25">
      <c r="A13" s="45">
        <v>40</v>
      </c>
      <c r="B13" s="79">
        <v>1.0039300000000001E-3</v>
      </c>
      <c r="C13" s="80">
        <v>166.44</v>
      </c>
      <c r="D13" s="80">
        <v>175.48</v>
      </c>
      <c r="E13" s="81">
        <v>0.56889999999999996</v>
      </c>
      <c r="F13" s="81"/>
      <c r="G13" s="47"/>
      <c r="H13" s="47"/>
    </row>
    <row r="14" spans="1:8" ht="18.75" customHeight="1" x14ac:dyDescent="0.25">
      <c r="A14" s="45">
        <v>45</v>
      </c>
      <c r="B14" s="79">
        <v>1.0059699999999999E-3</v>
      </c>
      <c r="C14" s="80">
        <v>187.23</v>
      </c>
      <c r="D14" s="80">
        <v>196.28</v>
      </c>
      <c r="E14" s="81">
        <v>0.63478000000000001</v>
      </c>
      <c r="F14" s="81"/>
      <c r="G14" s="47"/>
      <c r="H14" s="47"/>
    </row>
    <row r="15" spans="1:8" ht="18.75" customHeight="1" x14ac:dyDescent="0.25">
      <c r="A15" s="45">
        <v>50</v>
      </c>
      <c r="B15" s="79">
        <v>1.00819E-3</v>
      </c>
      <c r="C15" s="80">
        <v>208.01</v>
      </c>
      <c r="D15" s="80">
        <v>217.08</v>
      </c>
      <c r="E15" s="81">
        <v>0.69965999999999995</v>
      </c>
      <c r="F15" s="81"/>
      <c r="G15" s="47"/>
      <c r="H15" s="47"/>
    </row>
    <row r="16" spans="1:8" ht="18.75" customHeight="1" x14ac:dyDescent="0.25">
      <c r="A16" s="45">
        <v>55</v>
      </c>
      <c r="B16" s="79">
        <v>1.0105699999999999E-3</v>
      </c>
      <c r="C16" s="80">
        <v>228.79</v>
      </c>
      <c r="D16" s="80">
        <v>237.89</v>
      </c>
      <c r="E16" s="81">
        <v>0.76356999999999997</v>
      </c>
      <c r="F16" s="81"/>
      <c r="G16" s="47"/>
      <c r="H16" s="47"/>
    </row>
    <row r="17" spans="1:8" ht="18.75" customHeight="1" x14ac:dyDescent="0.25">
      <c r="A17" s="45">
        <v>60</v>
      </c>
      <c r="B17" s="79">
        <v>1.0131199999999999E-3</v>
      </c>
      <c r="C17" s="80">
        <v>249.59</v>
      </c>
      <c r="D17" s="80">
        <v>258.70999999999998</v>
      </c>
      <c r="E17" s="81">
        <v>0.82654000000000005</v>
      </c>
      <c r="F17" s="81"/>
      <c r="G17" s="47"/>
      <c r="H17" s="47"/>
    </row>
    <row r="18" spans="1:8" ht="18.75" customHeight="1" x14ac:dyDescent="0.25">
      <c r="A18" s="45">
        <v>65</v>
      </c>
      <c r="B18" s="79">
        <v>1.0158299999999999E-3</v>
      </c>
      <c r="C18" s="80">
        <v>270.41000000000003</v>
      </c>
      <c r="D18" s="80">
        <v>279.55</v>
      </c>
      <c r="E18" s="81">
        <v>0.88861999999999997</v>
      </c>
      <c r="F18" s="81"/>
      <c r="G18" s="47"/>
      <c r="H18" s="47"/>
    </row>
    <row r="19" spans="1:8" ht="18.75" customHeight="1" x14ac:dyDescent="0.25">
      <c r="A19" s="45">
        <v>70</v>
      </c>
      <c r="B19" s="79">
        <v>1.01869E-3</v>
      </c>
      <c r="C19" s="80">
        <v>291.23</v>
      </c>
      <c r="D19" s="80">
        <v>300.39999999999998</v>
      </c>
      <c r="E19" s="81">
        <v>0.94982</v>
      </c>
      <c r="F19" s="81"/>
      <c r="G19" s="47"/>
      <c r="H19" s="47"/>
    </row>
    <row r="20" spans="1:8" ht="18.75" customHeight="1" x14ac:dyDescent="0.25">
      <c r="A20" s="45">
        <v>75</v>
      </c>
      <c r="B20" s="79">
        <v>1.0217E-3</v>
      </c>
      <c r="C20" s="80">
        <v>312.06</v>
      </c>
      <c r="D20" s="80">
        <v>321.26</v>
      </c>
      <c r="E20" s="82">
        <v>1.0102</v>
      </c>
      <c r="F20" s="82"/>
      <c r="G20" s="47"/>
      <c r="H20" s="47"/>
    </row>
    <row r="21" spans="1:8" ht="18.75" customHeight="1" x14ac:dyDescent="0.25">
      <c r="A21" s="45">
        <v>80</v>
      </c>
      <c r="B21" s="79">
        <v>1.02487E-3</v>
      </c>
      <c r="C21" s="80">
        <v>332.92</v>
      </c>
      <c r="D21" s="80">
        <v>342.14</v>
      </c>
      <c r="E21" s="82">
        <v>1.0697000000000001</v>
      </c>
      <c r="F21" s="82"/>
      <c r="G21" s="47"/>
      <c r="H21" s="47"/>
    </row>
    <row r="22" spans="1:8" ht="18.75" customHeight="1" x14ac:dyDescent="0.25">
      <c r="A22" s="45">
        <v>85</v>
      </c>
      <c r="B22" s="79">
        <v>1.0281800000000001E-3</v>
      </c>
      <c r="C22" s="80">
        <v>353.79</v>
      </c>
      <c r="D22" s="80">
        <v>363.04</v>
      </c>
      <c r="E22" s="82">
        <v>1.1285000000000001</v>
      </c>
      <c r="F22" s="82"/>
      <c r="G22" s="47"/>
      <c r="H22" s="47"/>
    </row>
    <row r="23" spans="1:8" ht="18.75" customHeight="1" x14ac:dyDescent="0.25">
      <c r="A23" s="45">
        <v>90</v>
      </c>
      <c r="B23" s="79">
        <v>1.03163E-3</v>
      </c>
      <c r="C23" s="80">
        <v>374.68</v>
      </c>
      <c r="D23" s="80">
        <v>383.96</v>
      </c>
      <c r="E23" s="82">
        <v>1.1865000000000001</v>
      </c>
      <c r="F23" s="82"/>
      <c r="G23" s="47"/>
      <c r="H23" s="47"/>
    </row>
    <row r="24" spans="1:8" ht="18.75" customHeight="1" x14ac:dyDescent="0.25">
      <c r="A24" s="45">
        <v>95</v>
      </c>
      <c r="B24" s="79">
        <v>1.03524E-3</v>
      </c>
      <c r="C24" s="80">
        <v>395.58</v>
      </c>
      <c r="D24" s="80">
        <v>404.9</v>
      </c>
      <c r="E24" s="82">
        <v>1.2438</v>
      </c>
      <c r="F24" s="82"/>
      <c r="G24" s="47"/>
      <c r="H24" s="47"/>
    </row>
    <row r="25" spans="1:8" ht="18.75" customHeight="1" x14ac:dyDescent="0.25">
      <c r="A25" s="45">
        <v>100</v>
      </c>
      <c r="B25" s="79">
        <v>1.0389900000000001E-3</v>
      </c>
      <c r="C25" s="80">
        <v>416.51</v>
      </c>
      <c r="D25" s="80">
        <v>425.86</v>
      </c>
      <c r="E25" s="82">
        <v>1.3003</v>
      </c>
      <c r="F25" s="82"/>
      <c r="G25" s="47"/>
      <c r="H25" s="47"/>
    </row>
    <row r="26" spans="1:8" ht="18.75" customHeight="1" x14ac:dyDescent="0.25">
      <c r="A26" s="45">
        <v>105</v>
      </c>
      <c r="B26" s="79">
        <v>1.0428799999999999E-3</v>
      </c>
      <c r="C26" s="80">
        <v>437.46</v>
      </c>
      <c r="D26" s="80">
        <v>446.85</v>
      </c>
      <c r="E26" s="82">
        <v>1.3562000000000001</v>
      </c>
      <c r="F26" s="82"/>
      <c r="G26" s="47"/>
      <c r="H26" s="47"/>
    </row>
    <row r="27" spans="1:8" ht="18.75" customHeight="1" x14ac:dyDescent="0.25">
      <c r="A27" s="45">
        <v>110</v>
      </c>
      <c r="B27" s="79">
        <v>1.04693E-3</v>
      </c>
      <c r="C27" s="80">
        <v>458.46</v>
      </c>
      <c r="D27" s="80">
        <v>467.88</v>
      </c>
      <c r="E27" s="82">
        <v>1.4114</v>
      </c>
      <c r="F27" s="82"/>
      <c r="G27" s="47"/>
      <c r="H27" s="47"/>
    </row>
    <row r="28" spans="1:8" ht="18.75" customHeight="1" x14ac:dyDescent="0.25">
      <c r="A28" s="45">
        <v>115</v>
      </c>
      <c r="B28" s="79">
        <v>1.05112E-3</v>
      </c>
      <c r="C28" s="80">
        <v>479.47</v>
      </c>
      <c r="D28" s="80">
        <v>488.93</v>
      </c>
      <c r="E28" s="82">
        <v>1.466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1.05546E-3</v>
      </c>
      <c r="C29" s="80">
        <v>500.52</v>
      </c>
      <c r="D29" s="80">
        <v>510.02</v>
      </c>
      <c r="E29" s="82">
        <v>1.52</v>
      </c>
      <c r="F29" s="82"/>
      <c r="G29" s="47"/>
      <c r="H29" s="47"/>
    </row>
    <row r="30" spans="1:8" ht="18.75" customHeight="1" x14ac:dyDescent="0.25">
      <c r="A30" s="45">
        <v>125</v>
      </c>
      <c r="B30" s="79">
        <v>1.05996E-3</v>
      </c>
      <c r="C30" s="80">
        <v>521.61</v>
      </c>
      <c r="D30" s="80">
        <v>531.15</v>
      </c>
      <c r="E30" s="82">
        <v>1.5733999999999999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1.0646099999999999E-3</v>
      </c>
      <c r="C31" s="80">
        <v>542.74</v>
      </c>
      <c r="D31" s="80">
        <v>552.32000000000005</v>
      </c>
      <c r="E31" s="82">
        <v>1.6263000000000001</v>
      </c>
      <c r="F31" s="82"/>
      <c r="G31" s="47"/>
      <c r="H31" s="47"/>
    </row>
    <row r="32" spans="1:8" ht="18.75" customHeight="1" x14ac:dyDescent="0.25">
      <c r="A32" s="45">
        <v>135</v>
      </c>
      <c r="B32" s="79">
        <v>1.06942E-3</v>
      </c>
      <c r="C32" s="80">
        <v>563.91</v>
      </c>
      <c r="D32" s="80">
        <v>573.53</v>
      </c>
      <c r="E32" s="82">
        <v>1.6786000000000001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1.0744000000000001E-3</v>
      </c>
      <c r="C33" s="80">
        <v>585.12</v>
      </c>
      <c r="D33" s="80">
        <v>594.79</v>
      </c>
      <c r="E33" s="82">
        <v>1.7302999999999999</v>
      </c>
      <c r="F33" s="82"/>
      <c r="G33" s="47"/>
      <c r="H33" s="47"/>
    </row>
    <row r="34" spans="1:8" ht="18.75" customHeight="1" x14ac:dyDescent="0.25">
      <c r="A34" s="45">
        <v>145</v>
      </c>
      <c r="B34" s="79">
        <v>1.0795500000000001E-3</v>
      </c>
      <c r="C34" s="80">
        <v>606.39</v>
      </c>
      <c r="D34" s="80">
        <v>616.11</v>
      </c>
      <c r="E34" s="82">
        <v>1.7816000000000001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1.0848699999999999E-3</v>
      </c>
      <c r="C35" s="80">
        <v>627.72</v>
      </c>
      <c r="D35" s="80">
        <v>637.48</v>
      </c>
      <c r="E35" s="82">
        <v>1.8324</v>
      </c>
      <c r="F35" s="82"/>
      <c r="G35" s="47"/>
      <c r="H35" s="47"/>
    </row>
    <row r="36" spans="1:8" ht="18.75" customHeight="1" x14ac:dyDescent="0.25">
      <c r="A36" s="45">
        <v>155</v>
      </c>
      <c r="B36" s="79">
        <v>1.0903600000000001E-3</v>
      </c>
      <c r="C36" s="80">
        <v>649.11</v>
      </c>
      <c r="D36" s="80">
        <v>658.92</v>
      </c>
      <c r="E36" s="82">
        <v>1.8828</v>
      </c>
      <c r="F36" s="82"/>
      <c r="G36" s="47"/>
      <c r="H36" s="47"/>
    </row>
    <row r="37" spans="1:8" ht="18.75" customHeight="1" x14ac:dyDescent="0.25">
      <c r="A37" s="45">
        <v>160</v>
      </c>
      <c r="B37" s="79">
        <v>1.0960399999999999E-3</v>
      </c>
      <c r="C37" s="80">
        <v>670.55</v>
      </c>
      <c r="D37" s="80">
        <v>680.41</v>
      </c>
      <c r="E37" s="82">
        <v>1.9327000000000001</v>
      </c>
      <c r="F37" s="82"/>
      <c r="G37" s="47"/>
      <c r="H37" s="47"/>
    </row>
    <row r="38" spans="1:8" ht="18.75" customHeight="1" x14ac:dyDescent="0.25">
      <c r="A38" s="45">
        <v>165</v>
      </c>
      <c r="B38" s="79">
        <v>1.1019199999999999E-3</v>
      </c>
      <c r="C38" s="80">
        <v>692.06</v>
      </c>
      <c r="D38" s="80">
        <v>701.98</v>
      </c>
      <c r="E38" s="82">
        <v>1.9822</v>
      </c>
      <c r="F38" s="82"/>
      <c r="G38" s="47"/>
      <c r="H38" s="47"/>
    </row>
    <row r="39" spans="1:8" ht="18.75" customHeight="1" x14ac:dyDescent="0.25">
      <c r="A39" s="45">
        <v>170</v>
      </c>
      <c r="B39" s="79">
        <v>1.1079900000000001E-3</v>
      </c>
      <c r="C39" s="80">
        <v>713.65</v>
      </c>
      <c r="D39" s="80">
        <v>723.62</v>
      </c>
      <c r="E39" s="82">
        <v>2.0312999999999999</v>
      </c>
      <c r="F39" s="82"/>
      <c r="G39" s="47"/>
      <c r="H39" s="47"/>
    </row>
    <row r="40" spans="1:8" ht="18.75" customHeight="1" x14ac:dyDescent="0.25">
      <c r="A40" s="45">
        <v>175</v>
      </c>
      <c r="B40" s="79">
        <v>1.1142700000000001E-3</v>
      </c>
      <c r="C40" s="80">
        <v>735.32</v>
      </c>
      <c r="D40" s="80">
        <v>745.35</v>
      </c>
      <c r="E40" s="82">
        <v>2.0800999999999998</v>
      </c>
      <c r="F40" s="82"/>
      <c r="G40" s="47"/>
      <c r="H40" s="47"/>
    </row>
    <row r="41" spans="1:8" ht="18.75" customHeight="1" x14ac:dyDescent="0.25">
      <c r="A41" s="45">
        <v>180</v>
      </c>
      <c r="B41" s="79">
        <v>1.1207700000000001E-3</v>
      </c>
      <c r="C41" s="80">
        <v>757.06</v>
      </c>
      <c r="D41" s="80">
        <v>767.15</v>
      </c>
      <c r="E41" s="82">
        <v>2.1284999999999998</v>
      </c>
      <c r="F41" s="82"/>
      <c r="G41" s="47"/>
      <c r="H41" s="47"/>
    </row>
    <row r="42" spans="1:8" ht="18.75" customHeight="1" x14ac:dyDescent="0.25">
      <c r="A42" s="45">
        <v>185</v>
      </c>
      <c r="B42" s="79">
        <v>1.1274900000000001E-3</v>
      </c>
      <c r="C42" s="80">
        <v>778.9</v>
      </c>
      <c r="D42" s="80">
        <v>789.05</v>
      </c>
      <c r="E42" s="82">
        <v>2.1764999999999999</v>
      </c>
      <c r="F42" s="82"/>
      <c r="G42" s="47"/>
      <c r="H42" s="47"/>
    </row>
    <row r="43" spans="1:8" ht="18.75" customHeight="1" x14ac:dyDescent="0.25">
      <c r="A43" s="45">
        <v>190</v>
      </c>
      <c r="B43" s="79">
        <v>1.1344599999999999E-3</v>
      </c>
      <c r="C43" s="80">
        <v>800.84</v>
      </c>
      <c r="D43" s="80">
        <v>811.05</v>
      </c>
      <c r="E43" s="82">
        <v>2.2242999999999999</v>
      </c>
      <c r="F43" s="82"/>
      <c r="G43" s="47"/>
      <c r="H43" s="47"/>
    </row>
    <row r="44" spans="1:8" ht="18.75" customHeight="1" x14ac:dyDescent="0.25">
      <c r="A44" s="45">
        <v>195</v>
      </c>
      <c r="B44" s="79">
        <v>1.14167E-3</v>
      </c>
      <c r="C44" s="80">
        <v>822.88</v>
      </c>
      <c r="D44" s="80">
        <v>833.15</v>
      </c>
      <c r="E44" s="82">
        <v>2.2717000000000001</v>
      </c>
      <c r="F44" s="82"/>
      <c r="G44" s="47"/>
      <c r="H44" s="47"/>
    </row>
    <row r="45" spans="1:8" ht="18.75" customHeight="1" x14ac:dyDescent="0.25">
      <c r="A45" s="45">
        <v>200</v>
      </c>
      <c r="B45" s="79">
        <v>1.14915E-3</v>
      </c>
      <c r="C45" s="80">
        <v>845.03</v>
      </c>
      <c r="D45" s="80">
        <v>855.37</v>
      </c>
      <c r="E45" s="82">
        <v>2.3189000000000002</v>
      </c>
      <c r="F45" s="82"/>
      <c r="G45" s="47"/>
      <c r="H45" s="47"/>
    </row>
    <row r="46" spans="1:8" ht="18.75" customHeight="1" x14ac:dyDescent="0.25">
      <c r="A46" s="45">
        <v>210</v>
      </c>
      <c r="B46" s="79">
        <v>1.16496E-3</v>
      </c>
      <c r="C46" s="80">
        <v>889.68</v>
      </c>
      <c r="D46" s="80">
        <v>900.16</v>
      </c>
      <c r="E46" s="82">
        <v>2.4125999999999999</v>
      </c>
      <c r="F46" s="82"/>
      <c r="G46" s="47"/>
      <c r="H46" s="47"/>
    </row>
    <row r="47" spans="1:8" ht="18.75" customHeight="1" x14ac:dyDescent="0.25">
      <c r="A47" s="45">
        <v>220</v>
      </c>
      <c r="B47" s="79">
        <v>1.1820299999999999E-3</v>
      </c>
      <c r="C47" s="80">
        <v>934.86</v>
      </c>
      <c r="D47" s="80">
        <v>945.5</v>
      </c>
      <c r="E47" s="82">
        <v>2.5055000000000001</v>
      </c>
      <c r="F47" s="82"/>
      <c r="G47" s="47"/>
      <c r="H47" s="47"/>
    </row>
    <row r="48" spans="1:8" ht="18.75" customHeight="1" x14ac:dyDescent="0.25">
      <c r="A48" s="45">
        <v>230</v>
      </c>
      <c r="B48" s="79">
        <v>1.2005500000000001E-3</v>
      </c>
      <c r="C48" s="80">
        <v>980.68</v>
      </c>
      <c r="D48" s="80">
        <v>991.48</v>
      </c>
      <c r="E48" s="82">
        <v>2.5977999999999999</v>
      </c>
      <c r="F48" s="82"/>
      <c r="G48" s="47"/>
      <c r="H48" s="47"/>
    </row>
    <row r="49" spans="1:8" ht="18.75" customHeight="1" x14ac:dyDescent="0.25">
      <c r="A49" s="45">
        <v>240</v>
      </c>
      <c r="B49" s="79">
        <v>1.22072E-3</v>
      </c>
      <c r="C49" s="83">
        <v>1027.2</v>
      </c>
      <c r="D49" s="83">
        <v>1038.2</v>
      </c>
      <c r="E49" s="82">
        <v>2.6897000000000002</v>
      </c>
      <c r="F49" s="82"/>
      <c r="G49" s="47"/>
      <c r="H49" s="47"/>
    </row>
    <row r="50" spans="1:8" ht="18.75" customHeight="1" x14ac:dyDescent="0.25">
      <c r="A50" s="45">
        <v>250</v>
      </c>
      <c r="B50" s="79">
        <v>1.24285E-3</v>
      </c>
      <c r="C50" s="83">
        <v>1074.5999999999999</v>
      </c>
      <c r="D50" s="83">
        <v>1085.8</v>
      </c>
      <c r="E50" s="82">
        <v>2.7814999999999999</v>
      </c>
      <c r="F50" s="82"/>
      <c r="G50" s="47"/>
      <c r="H50" s="47"/>
    </row>
    <row r="51" spans="1:8" ht="18.75" customHeight="1" x14ac:dyDescent="0.25">
      <c r="A51" s="45">
        <v>260</v>
      </c>
      <c r="B51" s="79">
        <v>1.2673000000000001E-3</v>
      </c>
      <c r="C51" s="83">
        <v>1123</v>
      </c>
      <c r="D51" s="83">
        <v>1134.4000000000001</v>
      </c>
      <c r="E51" s="82">
        <v>2.8736000000000002</v>
      </c>
      <c r="F51" s="82"/>
      <c r="G51" s="47"/>
      <c r="H51" s="47"/>
    </row>
    <row r="52" spans="1:8" ht="18.75" customHeight="1" x14ac:dyDescent="0.25">
      <c r="A52" s="45">
        <v>270</v>
      </c>
      <c r="B52" s="79">
        <v>1.29458E-3</v>
      </c>
      <c r="C52" s="83">
        <v>1172.5</v>
      </c>
      <c r="D52" s="83">
        <v>1184.2</v>
      </c>
      <c r="E52" s="82">
        <v>2.9661</v>
      </c>
      <c r="F52" s="82"/>
      <c r="G52" s="47"/>
      <c r="H52" s="47"/>
    </row>
    <row r="53" spans="1:8" ht="18.75" customHeight="1" x14ac:dyDescent="0.25">
      <c r="A53" s="45">
        <v>280</v>
      </c>
      <c r="B53" s="79">
        <v>1.3254E-3</v>
      </c>
      <c r="C53" s="83">
        <v>1223.5999999999999</v>
      </c>
      <c r="D53" s="83">
        <v>1235.5</v>
      </c>
      <c r="E53" s="82">
        <v>3.0598000000000001</v>
      </c>
      <c r="F53" s="82"/>
      <c r="G53" s="47"/>
      <c r="H53" s="47"/>
    </row>
    <row r="54" spans="1:8" ht="18.75" customHeight="1" x14ac:dyDescent="0.25">
      <c r="A54" s="45">
        <v>290</v>
      </c>
      <c r="B54" s="79">
        <v>1.3607999999999999E-3</v>
      </c>
      <c r="C54" s="83">
        <v>1276.5999999999999</v>
      </c>
      <c r="D54" s="83">
        <v>1288.8</v>
      </c>
      <c r="E54" s="82">
        <v>3.1551999999999998</v>
      </c>
      <c r="F54" s="82"/>
      <c r="G54" s="47"/>
      <c r="H54" s="47"/>
    </row>
    <row r="55" spans="1:8" ht="18.75" customHeight="1" x14ac:dyDescent="0.25">
      <c r="A55" s="45">
        <v>300</v>
      </c>
      <c r="B55" s="79">
        <v>1.4023900000000001E-3</v>
      </c>
      <c r="C55" s="83">
        <v>1331.9</v>
      </c>
      <c r="D55" s="83">
        <v>1344.5</v>
      </c>
      <c r="E55" s="82">
        <v>3.2532999999999999</v>
      </c>
      <c r="F55" s="82"/>
      <c r="G55" s="47"/>
      <c r="H55" s="47"/>
    </row>
    <row r="56" spans="1:8" ht="18.75" customHeight="1" x14ac:dyDescent="0.25">
      <c r="A56" s="45">
        <v>310</v>
      </c>
      <c r="B56" s="85">
        <v>2.1447999999999998E-2</v>
      </c>
      <c r="C56" s="83">
        <v>2589.6999999999998</v>
      </c>
      <c r="D56" s="83">
        <v>2782.7</v>
      </c>
      <c r="E56" s="82">
        <v>5.7477999999999998</v>
      </c>
      <c r="F56" s="82"/>
      <c r="G56" s="47"/>
      <c r="H56" s="47"/>
    </row>
    <row r="57" spans="1:8" ht="18.75" customHeight="1" x14ac:dyDescent="0.25">
      <c r="A57" s="45">
        <v>320</v>
      </c>
      <c r="B57" s="85">
        <v>2.2707999999999999E-2</v>
      </c>
      <c r="C57" s="83">
        <v>2629.6</v>
      </c>
      <c r="D57" s="83">
        <v>2834</v>
      </c>
      <c r="E57" s="82">
        <v>5.835</v>
      </c>
      <c r="F57" s="82"/>
      <c r="G57" s="47"/>
      <c r="H57" s="47"/>
    </row>
    <row r="58" spans="1:8" ht="18.75" customHeight="1" x14ac:dyDescent="0.25">
      <c r="A58" s="45">
        <v>330</v>
      </c>
      <c r="B58" s="85">
        <v>2.3831000000000001E-2</v>
      </c>
      <c r="C58" s="83">
        <v>2664.5</v>
      </c>
      <c r="D58" s="83">
        <v>2879</v>
      </c>
      <c r="E58" s="82">
        <v>5.9100999999999999</v>
      </c>
      <c r="F58" s="82"/>
      <c r="G58" s="47"/>
      <c r="H58" s="47"/>
    </row>
    <row r="59" spans="1:8" ht="18.75" customHeight="1" x14ac:dyDescent="0.25">
      <c r="A59" s="45">
        <v>340</v>
      </c>
      <c r="B59" s="85">
        <v>2.4858999999999999E-2</v>
      </c>
      <c r="C59" s="83">
        <v>2696</v>
      </c>
      <c r="D59" s="83">
        <v>2919.7</v>
      </c>
      <c r="E59" s="82">
        <v>5.9771000000000001</v>
      </c>
      <c r="F59" s="82"/>
      <c r="G59" s="47"/>
      <c r="H59" s="47"/>
    </row>
    <row r="60" spans="1:8" ht="18.75" customHeight="1" x14ac:dyDescent="0.25">
      <c r="A60" s="45">
        <v>350</v>
      </c>
      <c r="B60" s="85">
        <v>2.5815999999999999E-2</v>
      </c>
      <c r="C60" s="83">
        <v>2725</v>
      </c>
      <c r="D60" s="83">
        <v>2957.3</v>
      </c>
      <c r="E60" s="82">
        <v>6.0380000000000003</v>
      </c>
      <c r="F60" s="82"/>
      <c r="G60" s="47"/>
      <c r="H60" s="47"/>
    </row>
    <row r="61" spans="1:8" ht="18.75" customHeight="1" x14ac:dyDescent="0.25">
      <c r="A61" s="45">
        <v>360</v>
      </c>
      <c r="B61" s="85">
        <v>2.6717999999999999E-2</v>
      </c>
      <c r="C61" s="83">
        <v>2752.1</v>
      </c>
      <c r="D61" s="83">
        <v>2992.6</v>
      </c>
      <c r="E61" s="82">
        <v>6.0941999999999998</v>
      </c>
      <c r="F61" s="82"/>
      <c r="G61" s="47"/>
      <c r="H61" s="47"/>
    </row>
    <row r="62" spans="1:8" ht="18.75" customHeight="1" x14ac:dyDescent="0.25">
      <c r="A62" s="45">
        <v>370</v>
      </c>
      <c r="B62" s="85">
        <v>2.7577000000000001E-2</v>
      </c>
      <c r="C62" s="83">
        <v>2777.9</v>
      </c>
      <c r="D62" s="83">
        <v>3026.1</v>
      </c>
      <c r="E62" s="82">
        <v>6.1467000000000001</v>
      </c>
      <c r="F62" s="82"/>
      <c r="G62" s="47"/>
      <c r="H62" s="47"/>
    </row>
    <row r="63" spans="1:8" ht="18.75" customHeight="1" x14ac:dyDescent="0.25">
      <c r="A63" s="45">
        <v>380</v>
      </c>
      <c r="B63" s="85">
        <v>2.8399000000000001E-2</v>
      </c>
      <c r="C63" s="83">
        <v>2802.5</v>
      </c>
      <c r="D63" s="83">
        <v>3058.1</v>
      </c>
      <c r="E63" s="82">
        <v>6.1961000000000004</v>
      </c>
      <c r="F63" s="82"/>
      <c r="G63" s="47"/>
      <c r="H63" s="47"/>
    </row>
    <row r="64" spans="1:8" ht="18.75" customHeight="1" x14ac:dyDescent="0.25">
      <c r="A64" s="45">
        <v>390</v>
      </c>
      <c r="B64" s="85">
        <v>2.9191999999999999E-2</v>
      </c>
      <c r="C64" s="83">
        <v>2826.3</v>
      </c>
      <c r="D64" s="83">
        <v>3089</v>
      </c>
      <c r="E64" s="82">
        <v>6.2428999999999997</v>
      </c>
      <c r="F64" s="82"/>
      <c r="G64" s="47"/>
      <c r="H64" s="47"/>
    </row>
    <row r="65" spans="1:8" ht="18.75" customHeight="1" x14ac:dyDescent="0.25">
      <c r="A65" s="45">
        <v>400</v>
      </c>
      <c r="B65" s="85">
        <v>2.9960000000000001E-2</v>
      </c>
      <c r="C65" s="83">
        <v>2849.2</v>
      </c>
      <c r="D65" s="83">
        <v>3118.8</v>
      </c>
      <c r="E65" s="82">
        <v>6.2876000000000003</v>
      </c>
      <c r="F65" s="82"/>
      <c r="G65" s="47"/>
      <c r="H65" s="47"/>
    </row>
    <row r="66" spans="1:8" ht="18.75" customHeight="1" x14ac:dyDescent="0.25">
      <c r="A66" s="45">
        <v>410</v>
      </c>
      <c r="B66" s="85">
        <v>3.0706000000000001E-2</v>
      </c>
      <c r="C66" s="83">
        <v>2871.5</v>
      </c>
      <c r="D66" s="83">
        <v>3147.9</v>
      </c>
      <c r="E66" s="82">
        <v>6.3304</v>
      </c>
      <c r="F66" s="82"/>
      <c r="G66" s="47"/>
      <c r="H66" s="47"/>
    </row>
    <row r="67" spans="1:8" ht="18.75" customHeight="1" x14ac:dyDescent="0.25">
      <c r="A67" s="45">
        <v>420</v>
      </c>
      <c r="B67" s="85">
        <v>3.1433000000000003E-2</v>
      </c>
      <c r="C67" s="83">
        <v>2893.3</v>
      </c>
      <c r="D67" s="83">
        <v>3176.2</v>
      </c>
      <c r="E67" s="82">
        <v>6.3715999999999999</v>
      </c>
      <c r="F67" s="82"/>
      <c r="G67" s="47"/>
      <c r="H67" s="47"/>
    </row>
    <row r="68" spans="1:8" ht="18.75" customHeight="1" x14ac:dyDescent="0.25">
      <c r="A68" s="45">
        <v>430</v>
      </c>
      <c r="B68" s="85">
        <v>3.2143999999999999E-2</v>
      </c>
      <c r="C68" s="83">
        <v>2914.6</v>
      </c>
      <c r="D68" s="83">
        <v>3203.9</v>
      </c>
      <c r="E68" s="82">
        <v>6.4114000000000004</v>
      </c>
      <c r="F68" s="82"/>
      <c r="G68" s="47"/>
      <c r="H68" s="47"/>
    </row>
    <row r="69" spans="1:8" ht="18.75" customHeight="1" x14ac:dyDescent="0.25">
      <c r="A69" s="45">
        <v>440</v>
      </c>
      <c r="B69" s="85">
        <v>3.2841000000000002E-2</v>
      </c>
      <c r="C69" s="83">
        <v>2935.6</v>
      </c>
      <c r="D69" s="83">
        <v>3231.2</v>
      </c>
      <c r="E69" s="82">
        <v>6.4499000000000004</v>
      </c>
      <c r="F69" s="82"/>
      <c r="G69" s="47"/>
      <c r="H69" s="47"/>
    </row>
    <row r="70" spans="1:8" ht="18.75" customHeight="1" x14ac:dyDescent="0.25">
      <c r="A70" s="45">
        <v>450</v>
      </c>
      <c r="B70" s="85">
        <v>3.3523999999999998E-2</v>
      </c>
      <c r="C70" s="83">
        <v>2956.3</v>
      </c>
      <c r="D70" s="83">
        <v>3258</v>
      </c>
      <c r="E70" s="82">
        <v>6.4871999999999996</v>
      </c>
      <c r="F70" s="82"/>
      <c r="G70" s="47"/>
      <c r="H70" s="47"/>
    </row>
    <row r="71" spans="1:8" ht="18.75" customHeight="1" x14ac:dyDescent="0.25">
      <c r="A71" s="45">
        <v>460</v>
      </c>
      <c r="B71" s="85">
        <v>3.4196999999999998E-2</v>
      </c>
      <c r="C71" s="83">
        <v>2976.7</v>
      </c>
      <c r="D71" s="83">
        <v>3284.5</v>
      </c>
      <c r="E71" s="82">
        <v>6.5235000000000003</v>
      </c>
      <c r="F71" s="82"/>
      <c r="G71" s="47"/>
      <c r="H71" s="47"/>
    </row>
    <row r="72" spans="1:8" ht="18.75" customHeight="1" x14ac:dyDescent="0.25">
      <c r="A72" s="45">
        <v>470</v>
      </c>
      <c r="B72" s="85">
        <v>3.4859000000000001E-2</v>
      </c>
      <c r="C72" s="83">
        <v>2996.9</v>
      </c>
      <c r="D72" s="83">
        <v>3310.6</v>
      </c>
      <c r="E72" s="82">
        <v>6.5589000000000004</v>
      </c>
      <c r="F72" s="82"/>
      <c r="G72" s="47"/>
      <c r="H72" s="47"/>
    </row>
    <row r="73" spans="1:8" ht="18.75" customHeight="1" x14ac:dyDescent="0.25">
      <c r="A73" s="45">
        <v>480</v>
      </c>
      <c r="B73" s="85">
        <v>3.5512000000000002E-2</v>
      </c>
      <c r="C73" s="83">
        <v>3016.8</v>
      </c>
      <c r="D73" s="83">
        <v>3336.4</v>
      </c>
      <c r="E73" s="82">
        <v>6.5934999999999997</v>
      </c>
      <c r="F73" s="82"/>
      <c r="G73" s="47"/>
      <c r="H73" s="47"/>
    </row>
    <row r="74" spans="1:8" ht="18.75" customHeight="1" x14ac:dyDescent="0.25">
      <c r="A74" s="45">
        <v>490</v>
      </c>
      <c r="B74" s="85">
        <v>3.6156000000000001E-2</v>
      </c>
      <c r="C74" s="83">
        <v>3036.6</v>
      </c>
      <c r="D74" s="83">
        <v>3362</v>
      </c>
      <c r="E74" s="82">
        <v>6.6272000000000002</v>
      </c>
      <c r="F74" s="82"/>
      <c r="G74" s="47"/>
      <c r="H74" s="47"/>
    </row>
    <row r="75" spans="1:8" ht="18.75" customHeight="1" x14ac:dyDescent="0.25">
      <c r="A75" s="45">
        <v>500</v>
      </c>
      <c r="B75" s="85">
        <v>3.6792999999999999E-2</v>
      </c>
      <c r="C75" s="83">
        <v>3056.3</v>
      </c>
      <c r="D75" s="83">
        <v>3387.4</v>
      </c>
      <c r="E75" s="82">
        <v>6.6603000000000003</v>
      </c>
      <c r="F75" s="82"/>
      <c r="G75" s="47"/>
      <c r="H75" s="47"/>
    </row>
    <row r="76" spans="1:8" ht="18.75" customHeight="1" x14ac:dyDescent="0.25">
      <c r="A76" s="45">
        <v>520</v>
      </c>
      <c r="B76" s="85">
        <v>3.8046999999999997E-2</v>
      </c>
      <c r="C76" s="83">
        <v>3095.2</v>
      </c>
      <c r="D76" s="83">
        <v>3437.6</v>
      </c>
      <c r="E76" s="82">
        <v>6.7244000000000002</v>
      </c>
      <c r="F76" s="82"/>
      <c r="G76" s="47"/>
      <c r="H76" s="47"/>
    </row>
    <row r="77" spans="1:8" ht="18.75" customHeight="1" x14ac:dyDescent="0.25">
      <c r="A77" s="45">
        <v>540</v>
      </c>
      <c r="B77" s="85">
        <v>3.9278E-2</v>
      </c>
      <c r="C77" s="83">
        <v>3133.8</v>
      </c>
      <c r="D77" s="83">
        <v>3487.3</v>
      </c>
      <c r="E77" s="82">
        <v>6.7862</v>
      </c>
      <c r="F77" s="82"/>
      <c r="G77" s="47"/>
      <c r="H77" s="47"/>
    </row>
    <row r="78" spans="1:8" ht="18.75" customHeight="1" x14ac:dyDescent="0.25">
      <c r="A78" s="45">
        <v>560</v>
      </c>
      <c r="B78" s="85">
        <v>4.0488000000000003E-2</v>
      </c>
      <c r="C78" s="83">
        <v>3172.1</v>
      </c>
      <c r="D78" s="83">
        <v>3536.5</v>
      </c>
      <c r="E78" s="82">
        <v>6.8460999999999999</v>
      </c>
      <c r="F78" s="82"/>
      <c r="G78" s="47"/>
      <c r="H78" s="47"/>
    </row>
    <row r="79" spans="1:8" ht="18.75" customHeight="1" x14ac:dyDescent="0.25">
      <c r="A79" s="45">
        <v>580</v>
      </c>
      <c r="B79" s="85">
        <v>4.1681999999999997E-2</v>
      </c>
      <c r="C79" s="83">
        <v>3210.3</v>
      </c>
      <c r="D79" s="83">
        <v>3585.4</v>
      </c>
      <c r="E79" s="82">
        <v>6.9040999999999997</v>
      </c>
      <c r="F79" s="82"/>
      <c r="G79" s="47"/>
      <c r="H79" s="47"/>
    </row>
    <row r="80" spans="1:8" ht="18.75" customHeight="1" x14ac:dyDescent="0.25">
      <c r="A80" s="45">
        <v>600</v>
      </c>
      <c r="B80" s="85">
        <v>4.2861000000000003E-2</v>
      </c>
      <c r="C80" s="83">
        <v>3248.4</v>
      </c>
      <c r="D80" s="83">
        <v>3634.1</v>
      </c>
      <c r="E80" s="82">
        <v>6.9604999999999997</v>
      </c>
      <c r="F80" s="82"/>
      <c r="G80" s="47"/>
      <c r="H80" s="47"/>
    </row>
    <row r="81" spans="1:8" ht="18.75" customHeight="1" x14ac:dyDescent="0.25">
      <c r="A81" s="45">
        <v>620</v>
      </c>
      <c r="B81" s="85">
        <v>4.4026999999999997E-2</v>
      </c>
      <c r="C81" s="83">
        <v>3286.4</v>
      </c>
      <c r="D81" s="83">
        <v>3682.6</v>
      </c>
      <c r="E81" s="82">
        <v>7.0153999999999996</v>
      </c>
      <c r="F81" s="82"/>
      <c r="G81" s="47"/>
      <c r="H81" s="47"/>
    </row>
    <row r="82" spans="1:8" ht="18.75" customHeight="1" x14ac:dyDescent="0.25">
      <c r="A82" s="45">
        <v>640</v>
      </c>
      <c r="B82" s="85">
        <v>4.5180999999999999E-2</v>
      </c>
      <c r="C82" s="83">
        <v>3324.4</v>
      </c>
      <c r="D82" s="83">
        <v>3731</v>
      </c>
      <c r="E82" s="82">
        <v>7.069</v>
      </c>
      <c r="F82" s="82"/>
      <c r="G82" s="47"/>
      <c r="H82" s="47"/>
    </row>
    <row r="83" spans="1:8" ht="18.75" customHeight="1" x14ac:dyDescent="0.25">
      <c r="A83" s="45">
        <v>660</v>
      </c>
      <c r="B83" s="85">
        <v>4.6325999999999999E-2</v>
      </c>
      <c r="C83" s="83">
        <v>3362.5</v>
      </c>
      <c r="D83" s="83">
        <v>3779.4</v>
      </c>
      <c r="E83" s="82">
        <v>7.1214000000000004</v>
      </c>
      <c r="F83" s="82"/>
      <c r="G83" s="47"/>
      <c r="H83" s="47"/>
    </row>
    <row r="84" spans="1:8" ht="18.75" customHeight="1" x14ac:dyDescent="0.25">
      <c r="A84" s="45">
        <v>680</v>
      </c>
      <c r="B84" s="85">
        <v>4.7461000000000003E-2</v>
      </c>
      <c r="C84" s="83">
        <v>3400.6</v>
      </c>
      <c r="D84" s="83">
        <v>3827.7</v>
      </c>
      <c r="E84" s="82">
        <v>7.1726000000000001</v>
      </c>
      <c r="F84" s="82"/>
      <c r="G84" s="47"/>
      <c r="H84" s="47"/>
    </row>
    <row r="85" spans="1:8" ht="18.75" customHeight="1" x14ac:dyDescent="0.25">
      <c r="A85" s="45">
        <v>700</v>
      </c>
      <c r="B85" s="85">
        <v>4.8589E-2</v>
      </c>
      <c r="C85" s="83">
        <v>3438.8</v>
      </c>
      <c r="D85" s="83">
        <v>3876.1</v>
      </c>
      <c r="E85" s="82">
        <v>7.2229000000000001</v>
      </c>
      <c r="F85" s="82"/>
      <c r="G85" s="47"/>
      <c r="H85" s="47"/>
    </row>
    <row r="86" spans="1:8" ht="18.75" customHeight="1" x14ac:dyDescent="0.25">
      <c r="A86" s="45">
        <v>720</v>
      </c>
      <c r="B86" s="85">
        <v>4.9709000000000003E-2</v>
      </c>
      <c r="C86" s="83">
        <v>3477.1</v>
      </c>
      <c r="D86" s="83">
        <v>3924.5</v>
      </c>
      <c r="E86" s="82">
        <v>7.2721</v>
      </c>
      <c r="F86" s="82"/>
      <c r="G86" s="47"/>
      <c r="H86" s="47"/>
    </row>
    <row r="87" spans="1:8" ht="18.75" customHeight="1" x14ac:dyDescent="0.25">
      <c r="A87" s="45">
        <v>740</v>
      </c>
      <c r="B87" s="85">
        <v>5.0823E-2</v>
      </c>
      <c r="C87" s="83">
        <v>3515.6</v>
      </c>
      <c r="D87" s="83">
        <v>3973</v>
      </c>
      <c r="E87" s="82">
        <v>7.3205</v>
      </c>
      <c r="F87" s="82"/>
      <c r="G87" s="47"/>
      <c r="H87" s="47"/>
    </row>
    <row r="88" spans="1:8" ht="18.75" customHeight="1" x14ac:dyDescent="0.25">
      <c r="A88" s="45">
        <v>760</v>
      </c>
      <c r="B88" s="85">
        <v>5.1930999999999998E-2</v>
      </c>
      <c r="C88" s="83">
        <v>3554.2</v>
      </c>
      <c r="D88" s="83">
        <v>4021.6</v>
      </c>
      <c r="E88" s="82">
        <v>7.3680000000000003</v>
      </c>
      <c r="F88" s="82"/>
      <c r="G88" s="47"/>
      <c r="H88" s="47"/>
    </row>
    <row r="89" spans="1:8" ht="18.75" customHeight="1" x14ac:dyDescent="0.25">
      <c r="A89" s="45">
        <v>780</v>
      </c>
      <c r="B89" s="85">
        <v>5.3033999999999998E-2</v>
      </c>
      <c r="C89" s="83">
        <v>3593</v>
      </c>
      <c r="D89" s="83">
        <v>4070.3</v>
      </c>
      <c r="E89" s="82">
        <v>7.4146999999999998</v>
      </c>
      <c r="F89" s="82"/>
      <c r="G89" s="47"/>
      <c r="H89" s="47"/>
    </row>
    <row r="90" spans="1:8" ht="18.75" customHeight="1" x14ac:dyDescent="0.25">
      <c r="A90" s="45">
        <v>800</v>
      </c>
      <c r="B90" s="85">
        <v>5.4132E-2</v>
      </c>
      <c r="C90" s="83">
        <v>3631.9</v>
      </c>
      <c r="D90" s="83">
        <v>4119.1000000000004</v>
      </c>
      <c r="E90" s="82">
        <v>7.4606000000000003</v>
      </c>
      <c r="F90" s="82"/>
      <c r="G90" s="47"/>
      <c r="H90" s="47"/>
    </row>
    <row r="91" spans="1:8" ht="18.75" customHeight="1" x14ac:dyDescent="0.25">
      <c r="A91" s="45">
        <v>820</v>
      </c>
      <c r="B91" s="85">
        <v>5.5225999999999997E-2</v>
      </c>
      <c r="C91" s="83">
        <v>3671.1</v>
      </c>
      <c r="D91" s="83">
        <v>4168.1000000000004</v>
      </c>
      <c r="E91" s="82">
        <v>7.5057999999999998</v>
      </c>
      <c r="F91" s="82"/>
      <c r="G91" s="47"/>
      <c r="H91" s="47"/>
    </row>
    <row r="92" spans="1:8" ht="18.75" customHeight="1" x14ac:dyDescent="0.25">
      <c r="A92" s="45">
        <v>840</v>
      </c>
      <c r="B92" s="85">
        <v>5.6314999999999997E-2</v>
      </c>
      <c r="C92" s="83">
        <v>3710.5</v>
      </c>
      <c r="D92" s="83">
        <v>4217.3</v>
      </c>
      <c r="E92" s="82">
        <v>7.5503</v>
      </c>
      <c r="F92" s="82"/>
      <c r="G92" s="47"/>
      <c r="H92" s="47"/>
    </row>
    <row r="93" spans="1:8" ht="18.75" customHeight="1" x14ac:dyDescent="0.25">
      <c r="A93" s="45">
        <v>860</v>
      </c>
      <c r="B93" s="85">
        <v>5.7401000000000001E-2</v>
      </c>
      <c r="C93" s="83">
        <v>3749.9</v>
      </c>
      <c r="D93" s="83">
        <v>4266.5</v>
      </c>
      <c r="E93" s="82">
        <v>7.5941999999999998</v>
      </c>
      <c r="F93" s="82"/>
      <c r="G93" s="47"/>
      <c r="H93" s="47"/>
    </row>
    <row r="94" spans="1:8" ht="18.75" customHeight="1" x14ac:dyDescent="0.25">
      <c r="A94" s="45">
        <v>880</v>
      </c>
      <c r="B94" s="85">
        <v>5.8483E-2</v>
      </c>
      <c r="C94" s="83">
        <v>3789.7</v>
      </c>
      <c r="D94" s="83">
        <v>4316</v>
      </c>
      <c r="E94" s="82">
        <v>7.6375000000000002</v>
      </c>
      <c r="F94" s="82"/>
      <c r="G94" s="47"/>
      <c r="H94" s="47"/>
    </row>
    <row r="95" spans="1:8" ht="18.75" customHeight="1" x14ac:dyDescent="0.25">
      <c r="A95" s="45">
        <v>900</v>
      </c>
      <c r="B95" s="85">
        <v>5.9561999999999997E-2</v>
      </c>
      <c r="C95" s="83">
        <v>3829.6</v>
      </c>
      <c r="D95" s="83">
        <v>4365.7</v>
      </c>
      <c r="E95" s="82">
        <v>7.6802000000000001</v>
      </c>
      <c r="F95" s="82"/>
      <c r="G95" s="47"/>
      <c r="H95" s="47"/>
    </row>
    <row r="96" spans="1:8" ht="18.75" customHeight="1" x14ac:dyDescent="0.25">
      <c r="A96" s="45">
        <v>920</v>
      </c>
      <c r="B96" s="85">
        <v>6.0638999999999998E-2</v>
      </c>
      <c r="C96" s="83">
        <v>3869.7</v>
      </c>
      <c r="D96" s="83">
        <v>4415.5</v>
      </c>
      <c r="E96" s="82">
        <v>7.7222999999999997</v>
      </c>
      <c r="F96" s="82"/>
      <c r="G96" s="47"/>
      <c r="H96" s="47"/>
    </row>
    <row r="97" spans="1:8" ht="18.75" customHeight="1" x14ac:dyDescent="0.25">
      <c r="A97" s="45">
        <v>940</v>
      </c>
      <c r="B97" s="85">
        <v>6.1712000000000003E-2</v>
      </c>
      <c r="C97" s="83">
        <v>3910.1</v>
      </c>
      <c r="D97" s="83">
        <v>4465.5</v>
      </c>
      <c r="E97" s="82">
        <v>7.7638999999999996</v>
      </c>
      <c r="F97" s="82"/>
      <c r="G97" s="47"/>
      <c r="H97" s="47"/>
    </row>
    <row r="98" spans="1:8" ht="18.75" customHeight="1" x14ac:dyDescent="0.25">
      <c r="A98" s="45">
        <v>960</v>
      </c>
      <c r="B98" s="85">
        <v>6.2783000000000005E-2</v>
      </c>
      <c r="C98" s="83">
        <v>3950.7</v>
      </c>
      <c r="D98" s="83">
        <v>4515.7</v>
      </c>
      <c r="E98" s="82">
        <v>7.8048999999999999</v>
      </c>
      <c r="F98" s="82"/>
      <c r="G98" s="47"/>
      <c r="H98" s="47"/>
    </row>
    <row r="99" spans="1:8" ht="18.75" customHeight="1" x14ac:dyDescent="0.25">
      <c r="A99" s="45">
        <v>980</v>
      </c>
      <c r="B99" s="85">
        <v>6.3852000000000006E-2</v>
      </c>
      <c r="C99" s="83">
        <v>3991.4</v>
      </c>
      <c r="D99" s="83">
        <v>4566.1000000000004</v>
      </c>
      <c r="E99" s="82">
        <v>7.8453999999999997</v>
      </c>
      <c r="F99" s="82"/>
      <c r="G99" s="47"/>
      <c r="H99" s="47"/>
    </row>
    <row r="100" spans="1:8" ht="18.75" customHeight="1" x14ac:dyDescent="0.25">
      <c r="A100" s="45">
        <v>1000</v>
      </c>
      <c r="B100" s="85">
        <v>6.4918000000000003E-2</v>
      </c>
      <c r="C100" s="83">
        <v>4032.4</v>
      </c>
      <c r="D100" s="83">
        <v>4616.7</v>
      </c>
      <c r="E100" s="82">
        <v>7.8855000000000004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H100"/>
  <sheetViews>
    <sheetView topLeftCell="A37" workbookViewId="0">
      <selection activeCell="A57" sqref="A57:XFD57"/>
    </sheetView>
  </sheetViews>
  <sheetFormatPr defaultRowHeight="13.2" x14ac:dyDescent="0.25"/>
  <cols>
    <col min="1" max="1" width="10" customWidth="1"/>
    <col min="2" max="2" width="11.88671875" customWidth="1"/>
    <col min="3" max="3" width="7.5546875" customWidth="1"/>
    <col min="4" max="4" width="9.21875" customWidth="1"/>
    <col min="5" max="5" width="10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206" t="s">
        <v>89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10000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9.951999999999999E-4</v>
      </c>
      <c r="C5" s="80">
        <v>0.12</v>
      </c>
      <c r="D5" s="80">
        <v>10.07</v>
      </c>
      <c r="E5" s="81">
        <v>3.4000000000000002E-4</v>
      </c>
      <c r="F5" s="81"/>
      <c r="G5" s="47"/>
      <c r="H5" s="47"/>
    </row>
    <row r="6" spans="1:8" ht="18.75" customHeight="1" x14ac:dyDescent="0.25">
      <c r="A6" s="45">
        <v>5</v>
      </c>
      <c r="B6" s="79">
        <v>9.952400000000001E-4</v>
      </c>
      <c r="C6" s="80">
        <v>20.96</v>
      </c>
      <c r="D6" s="80">
        <v>30.91</v>
      </c>
      <c r="E6" s="81">
        <v>7.5950000000000004E-2</v>
      </c>
      <c r="F6" s="81"/>
      <c r="G6" s="47"/>
      <c r="H6" s="47"/>
    </row>
    <row r="7" spans="1:8" ht="18.75" customHeight="1" x14ac:dyDescent="0.25">
      <c r="A7" s="45">
        <v>10</v>
      </c>
      <c r="B7" s="79">
        <v>9.9563999999999989E-4</v>
      </c>
      <c r="C7" s="80">
        <v>41.76</v>
      </c>
      <c r="D7" s="80">
        <v>51.72</v>
      </c>
      <c r="E7" s="81">
        <v>0.15009</v>
      </c>
      <c r="F7" s="81"/>
      <c r="G7" s="47"/>
      <c r="H7" s="47"/>
    </row>
    <row r="8" spans="1:8" ht="18.75" customHeight="1" x14ac:dyDescent="0.25">
      <c r="A8" s="45">
        <v>15</v>
      </c>
      <c r="B8" s="79">
        <v>9.9634000000000007E-4</v>
      </c>
      <c r="C8" s="80">
        <v>62.55</v>
      </c>
      <c r="D8" s="80">
        <v>72.510000000000005</v>
      </c>
      <c r="E8" s="81">
        <v>0.22287000000000001</v>
      </c>
      <c r="F8" s="81"/>
      <c r="G8" s="47"/>
      <c r="H8" s="47"/>
    </row>
    <row r="9" spans="1:8" ht="18.75" customHeight="1" x14ac:dyDescent="0.25">
      <c r="A9" s="45">
        <v>20</v>
      </c>
      <c r="B9" s="79">
        <v>9.9730999999999995E-4</v>
      </c>
      <c r="C9" s="80">
        <v>83.31</v>
      </c>
      <c r="D9" s="80">
        <v>93.28</v>
      </c>
      <c r="E9" s="81">
        <v>0.29435</v>
      </c>
      <c r="F9" s="81"/>
      <c r="G9" s="47"/>
      <c r="H9" s="47"/>
    </row>
    <row r="10" spans="1:8" ht="18.75" customHeight="1" x14ac:dyDescent="0.25">
      <c r="A10" s="45">
        <v>25</v>
      </c>
      <c r="B10" s="79">
        <v>9.9854000000000002E-4</v>
      </c>
      <c r="C10" s="80">
        <v>104.06</v>
      </c>
      <c r="D10" s="80">
        <v>114.05</v>
      </c>
      <c r="E10" s="81">
        <v>0.36459999999999998</v>
      </c>
      <c r="F10" s="81"/>
      <c r="G10" s="47"/>
      <c r="H10" s="47"/>
    </row>
    <row r="11" spans="1:8" ht="18.75" customHeight="1" x14ac:dyDescent="0.25">
      <c r="A11" s="45">
        <v>30</v>
      </c>
      <c r="B11" s="79">
        <v>9.9997999999999992E-4</v>
      </c>
      <c r="C11" s="80">
        <v>124.82</v>
      </c>
      <c r="D11" s="80">
        <v>134.82</v>
      </c>
      <c r="E11" s="81">
        <v>0.43368000000000001</v>
      </c>
      <c r="F11" s="81"/>
      <c r="G11" s="47"/>
      <c r="H11" s="47"/>
    </row>
    <row r="12" spans="1:8" ht="18.75" customHeight="1" x14ac:dyDescent="0.25">
      <c r="A12" s="45">
        <v>35</v>
      </c>
      <c r="B12" s="79">
        <v>1.00164E-3</v>
      </c>
      <c r="C12" s="80">
        <v>145.57</v>
      </c>
      <c r="D12" s="80">
        <v>155.59</v>
      </c>
      <c r="E12" s="81">
        <v>0.50163000000000002</v>
      </c>
      <c r="F12" s="81"/>
      <c r="G12" s="47"/>
      <c r="H12" s="47"/>
    </row>
    <row r="13" spans="1:8" ht="18.75" customHeight="1" x14ac:dyDescent="0.25">
      <c r="A13" s="45">
        <v>40</v>
      </c>
      <c r="B13" s="79">
        <v>1.0035000000000001E-3</v>
      </c>
      <c r="C13" s="80">
        <v>166.32</v>
      </c>
      <c r="D13" s="80">
        <v>176.36</v>
      </c>
      <c r="E13" s="81">
        <v>0.56850999999999996</v>
      </c>
      <c r="F13" s="81"/>
      <c r="G13" s="47"/>
      <c r="H13" s="47"/>
    </row>
    <row r="14" spans="1:8" ht="18.75" customHeight="1" x14ac:dyDescent="0.25">
      <c r="A14" s="45">
        <v>45</v>
      </c>
      <c r="B14" s="79">
        <v>1.0055400000000001E-3</v>
      </c>
      <c r="C14" s="80">
        <v>187.09</v>
      </c>
      <c r="D14" s="80">
        <v>197.15</v>
      </c>
      <c r="E14" s="81">
        <v>0.63436000000000003</v>
      </c>
      <c r="F14" s="81"/>
      <c r="G14" s="47"/>
      <c r="H14" s="47"/>
    </row>
    <row r="15" spans="1:8" ht="18.75" customHeight="1" x14ac:dyDescent="0.25">
      <c r="A15" s="45">
        <v>50</v>
      </c>
      <c r="B15" s="79">
        <v>1.00775E-3</v>
      </c>
      <c r="C15" s="80">
        <v>207.86</v>
      </c>
      <c r="D15" s="80">
        <v>217.94</v>
      </c>
      <c r="E15" s="81">
        <v>0.69920000000000004</v>
      </c>
      <c r="F15" s="81"/>
      <c r="G15" s="47"/>
      <c r="H15" s="47"/>
    </row>
    <row r="16" spans="1:8" ht="18.75" customHeight="1" x14ac:dyDescent="0.25">
      <c r="A16" s="45">
        <v>55</v>
      </c>
      <c r="B16" s="79">
        <v>1.0101400000000001E-3</v>
      </c>
      <c r="C16" s="80">
        <v>228.64</v>
      </c>
      <c r="D16" s="80">
        <v>238.74</v>
      </c>
      <c r="E16" s="81">
        <v>0.76307000000000003</v>
      </c>
      <c r="F16" s="81"/>
      <c r="G16" s="47"/>
      <c r="H16" s="47"/>
    </row>
    <row r="17" spans="1:8" ht="18.75" customHeight="1" x14ac:dyDescent="0.25">
      <c r="A17" s="45">
        <v>60</v>
      </c>
      <c r="B17" s="79">
        <v>1.01268E-3</v>
      </c>
      <c r="C17" s="80">
        <v>249.42</v>
      </c>
      <c r="D17" s="80">
        <v>259.55</v>
      </c>
      <c r="E17" s="81">
        <v>0.82601999999999998</v>
      </c>
      <c r="F17" s="81"/>
      <c r="G17" s="47"/>
      <c r="H17" s="47"/>
    </row>
    <row r="18" spans="1:8" ht="18.75" customHeight="1" x14ac:dyDescent="0.25">
      <c r="A18" s="45">
        <v>65</v>
      </c>
      <c r="B18" s="79">
        <v>1.0153899999999999E-3</v>
      </c>
      <c r="C18" s="80">
        <v>270.23</v>
      </c>
      <c r="D18" s="80">
        <v>280.38</v>
      </c>
      <c r="E18" s="81">
        <v>0.88805999999999996</v>
      </c>
      <c r="F18" s="81"/>
      <c r="G18" s="47"/>
      <c r="H18" s="47"/>
    </row>
    <row r="19" spans="1:8" ht="18.75" customHeight="1" x14ac:dyDescent="0.25">
      <c r="A19" s="45">
        <v>70</v>
      </c>
      <c r="B19" s="79">
        <v>1.0182399999999999E-3</v>
      </c>
      <c r="C19" s="80">
        <v>291.02999999999997</v>
      </c>
      <c r="D19" s="80">
        <v>301.20999999999998</v>
      </c>
      <c r="E19" s="81">
        <v>0.94923000000000002</v>
      </c>
      <c r="F19" s="81"/>
      <c r="G19" s="47"/>
      <c r="H19" s="47"/>
    </row>
    <row r="20" spans="1:8" ht="18.75" customHeight="1" x14ac:dyDescent="0.25">
      <c r="A20" s="45">
        <v>75</v>
      </c>
      <c r="B20" s="79">
        <v>1.02125E-3</v>
      </c>
      <c r="C20" s="80">
        <v>311.86</v>
      </c>
      <c r="D20" s="80">
        <v>322.07</v>
      </c>
      <c r="E20" s="82">
        <v>1.0096000000000001</v>
      </c>
      <c r="F20" s="82"/>
      <c r="G20" s="47"/>
      <c r="H20" s="47"/>
    </row>
    <row r="21" spans="1:8" ht="18.75" customHeight="1" x14ac:dyDescent="0.25">
      <c r="A21" s="45">
        <v>80</v>
      </c>
      <c r="B21" s="79">
        <v>1.0244099999999999E-3</v>
      </c>
      <c r="C21" s="80">
        <v>332.7</v>
      </c>
      <c r="D21" s="80">
        <v>342.94</v>
      </c>
      <c r="E21" s="82">
        <v>1.0690999999999999</v>
      </c>
      <c r="F21" s="82"/>
      <c r="G21" s="47"/>
      <c r="H21" s="47"/>
    </row>
    <row r="22" spans="1:8" ht="18.75" customHeight="1" x14ac:dyDescent="0.25">
      <c r="A22" s="45">
        <v>85</v>
      </c>
      <c r="B22" s="79">
        <v>1.02771E-3</v>
      </c>
      <c r="C22" s="80">
        <v>353.54</v>
      </c>
      <c r="D22" s="80">
        <v>363.82</v>
      </c>
      <c r="E22" s="82">
        <v>1.1277999999999999</v>
      </c>
      <c r="F22" s="82"/>
      <c r="G22" s="47"/>
      <c r="H22" s="47"/>
    </row>
    <row r="23" spans="1:8" ht="18.75" customHeight="1" x14ac:dyDescent="0.25">
      <c r="A23" s="45">
        <v>90</v>
      </c>
      <c r="B23" s="79">
        <v>1.0311599999999999E-3</v>
      </c>
      <c r="C23" s="80">
        <v>374.42</v>
      </c>
      <c r="D23" s="80">
        <v>384.73</v>
      </c>
      <c r="E23" s="82">
        <v>1.1858</v>
      </c>
      <c r="F23" s="82"/>
      <c r="G23" s="47"/>
      <c r="H23" s="47"/>
    </row>
    <row r="24" spans="1:8" ht="18.75" customHeight="1" x14ac:dyDescent="0.25">
      <c r="A24" s="45">
        <v>95</v>
      </c>
      <c r="B24" s="79">
        <v>1.0347500000000001E-3</v>
      </c>
      <c r="C24" s="80">
        <v>395.31</v>
      </c>
      <c r="D24" s="80">
        <v>405.66</v>
      </c>
      <c r="E24" s="82">
        <v>1.2430000000000001</v>
      </c>
      <c r="F24" s="82"/>
      <c r="G24" s="47"/>
      <c r="H24" s="47"/>
    </row>
    <row r="25" spans="1:8" ht="18.75" customHeight="1" x14ac:dyDescent="0.25">
      <c r="A25" s="45">
        <v>100</v>
      </c>
      <c r="B25" s="79">
        <v>1.03849E-3</v>
      </c>
      <c r="C25" s="80">
        <v>416.24</v>
      </c>
      <c r="D25" s="80">
        <v>426.62</v>
      </c>
      <c r="E25" s="82">
        <v>1.2996000000000001</v>
      </c>
      <c r="F25" s="82"/>
      <c r="G25" s="47"/>
      <c r="H25" s="47"/>
    </row>
    <row r="26" spans="1:8" ht="18.75" customHeight="1" x14ac:dyDescent="0.25">
      <c r="A26" s="45">
        <v>105</v>
      </c>
      <c r="B26" s="79">
        <v>1.0423800000000001E-3</v>
      </c>
      <c r="C26" s="80">
        <v>437.18</v>
      </c>
      <c r="D26" s="80">
        <v>447.6</v>
      </c>
      <c r="E26" s="82">
        <v>1.3553999999999999</v>
      </c>
      <c r="F26" s="82"/>
      <c r="G26" s="47"/>
      <c r="H26" s="47"/>
    </row>
    <row r="27" spans="1:8" ht="18.75" customHeight="1" x14ac:dyDescent="0.25">
      <c r="A27" s="45">
        <v>110</v>
      </c>
      <c r="B27" s="79">
        <v>1.04641E-3</v>
      </c>
      <c r="C27" s="80">
        <v>458.15</v>
      </c>
      <c r="D27" s="80">
        <v>468.61</v>
      </c>
      <c r="E27" s="82">
        <v>1.4106000000000001</v>
      </c>
      <c r="F27" s="82"/>
      <c r="G27" s="47"/>
      <c r="H27" s="47"/>
    </row>
    <row r="28" spans="1:8" ht="18.75" customHeight="1" x14ac:dyDescent="0.25">
      <c r="A28" s="45">
        <v>115</v>
      </c>
      <c r="B28" s="79">
        <v>1.0505899999999999E-3</v>
      </c>
      <c r="C28" s="80">
        <v>479.14</v>
      </c>
      <c r="D28" s="80">
        <v>489.65</v>
      </c>
      <c r="E28" s="82">
        <v>1.4652000000000001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1.05492E-3</v>
      </c>
      <c r="C29" s="80">
        <v>500.18</v>
      </c>
      <c r="D29" s="80">
        <v>510.73</v>
      </c>
      <c r="E29" s="82">
        <v>1.5190999999999999</v>
      </c>
      <c r="F29" s="82"/>
      <c r="G29" s="47"/>
      <c r="H29" s="47"/>
    </row>
    <row r="30" spans="1:8" ht="18.75" customHeight="1" x14ac:dyDescent="0.25">
      <c r="A30" s="45">
        <v>125</v>
      </c>
      <c r="B30" s="79">
        <v>1.0594000000000001E-3</v>
      </c>
      <c r="C30" s="80">
        <v>521.25</v>
      </c>
      <c r="D30" s="80">
        <v>531.84</v>
      </c>
      <c r="E30" s="82">
        <v>1.5725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1.06404E-3</v>
      </c>
      <c r="C31" s="80">
        <v>542.36</v>
      </c>
      <c r="D31" s="80">
        <v>553</v>
      </c>
      <c r="E31" s="82">
        <v>1.6253</v>
      </c>
      <c r="F31" s="82"/>
      <c r="G31" s="47"/>
      <c r="H31" s="47"/>
    </row>
    <row r="32" spans="1:8" ht="18.75" customHeight="1" x14ac:dyDescent="0.25">
      <c r="A32" s="45">
        <v>135</v>
      </c>
      <c r="B32" s="79">
        <v>1.0688399999999999E-3</v>
      </c>
      <c r="C32" s="80">
        <v>563.51</v>
      </c>
      <c r="D32" s="80">
        <v>574.20000000000005</v>
      </c>
      <c r="E32" s="82">
        <v>1.6776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1.0738E-3</v>
      </c>
      <c r="C33" s="80">
        <v>584.71</v>
      </c>
      <c r="D33" s="80">
        <v>595.45000000000005</v>
      </c>
      <c r="E33" s="82">
        <v>1.7293000000000001</v>
      </c>
      <c r="F33" s="82"/>
      <c r="G33" s="47"/>
      <c r="H33" s="47"/>
    </row>
    <row r="34" spans="1:8" ht="18.75" customHeight="1" x14ac:dyDescent="0.25">
      <c r="A34" s="45">
        <v>145</v>
      </c>
      <c r="B34" s="79">
        <v>1.0789199999999999E-3</v>
      </c>
      <c r="C34" s="80">
        <v>605.96</v>
      </c>
      <c r="D34" s="80">
        <v>616.75</v>
      </c>
      <c r="E34" s="82">
        <v>1.7806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1.0842200000000001E-3</v>
      </c>
      <c r="C35" s="80">
        <v>627.27</v>
      </c>
      <c r="D35" s="80">
        <v>638.11</v>
      </c>
      <c r="E35" s="82">
        <v>1.8312999999999999</v>
      </c>
      <c r="F35" s="82"/>
      <c r="G35" s="47"/>
      <c r="H35" s="47"/>
    </row>
    <row r="36" spans="1:8" ht="18.75" customHeight="1" x14ac:dyDescent="0.25">
      <c r="A36" s="45">
        <v>155</v>
      </c>
      <c r="B36" s="79">
        <v>1.0897000000000001E-3</v>
      </c>
      <c r="C36" s="80">
        <v>648.63</v>
      </c>
      <c r="D36" s="80">
        <v>659.53</v>
      </c>
      <c r="E36" s="82">
        <v>1.8816999999999999</v>
      </c>
      <c r="F36" s="82"/>
      <c r="G36" s="47"/>
      <c r="H36" s="47"/>
    </row>
    <row r="37" spans="1:8" ht="18.75" customHeight="1" x14ac:dyDescent="0.25">
      <c r="A37" s="45">
        <v>160</v>
      </c>
      <c r="B37" s="79">
        <v>1.0953499999999999E-3</v>
      </c>
      <c r="C37" s="80">
        <v>670.06</v>
      </c>
      <c r="D37" s="80">
        <v>681.01</v>
      </c>
      <c r="E37" s="82">
        <v>1.9315</v>
      </c>
      <c r="F37" s="82"/>
      <c r="G37" s="47"/>
      <c r="H37" s="47"/>
    </row>
    <row r="38" spans="1:8" ht="18.75" customHeight="1" x14ac:dyDescent="0.25">
      <c r="A38" s="45">
        <v>165</v>
      </c>
      <c r="B38" s="79">
        <v>1.1012000000000001E-3</v>
      </c>
      <c r="C38" s="80">
        <v>691.55</v>
      </c>
      <c r="D38" s="80">
        <v>702.56</v>
      </c>
      <c r="E38" s="82">
        <v>1.9810000000000001</v>
      </c>
      <c r="F38" s="82"/>
      <c r="G38" s="47"/>
      <c r="H38" s="47"/>
    </row>
    <row r="39" spans="1:8" ht="18.75" customHeight="1" x14ac:dyDescent="0.25">
      <c r="A39" s="45">
        <v>170</v>
      </c>
      <c r="B39" s="79">
        <v>1.1072499999999999E-3</v>
      </c>
      <c r="C39" s="80">
        <v>713.11</v>
      </c>
      <c r="D39" s="80">
        <v>724.18</v>
      </c>
      <c r="E39" s="82">
        <v>2.0301</v>
      </c>
      <c r="F39" s="82"/>
      <c r="G39" s="47"/>
      <c r="H39" s="47"/>
    </row>
    <row r="40" spans="1:8" ht="18.75" customHeight="1" x14ac:dyDescent="0.25">
      <c r="A40" s="45">
        <v>175</v>
      </c>
      <c r="B40" s="79">
        <v>1.1134999999999999E-3</v>
      </c>
      <c r="C40" s="80">
        <v>734.76</v>
      </c>
      <c r="D40" s="80">
        <v>745.89</v>
      </c>
      <c r="E40" s="82">
        <v>2.0788000000000002</v>
      </c>
      <c r="F40" s="82"/>
      <c r="G40" s="47"/>
      <c r="H40" s="47"/>
    </row>
    <row r="41" spans="1:8" ht="18.75" customHeight="1" x14ac:dyDescent="0.25">
      <c r="A41" s="45">
        <v>180</v>
      </c>
      <c r="B41" s="79">
        <v>1.1199700000000001E-3</v>
      </c>
      <c r="C41" s="80">
        <v>756.48</v>
      </c>
      <c r="D41" s="80">
        <v>767.68</v>
      </c>
      <c r="E41" s="82">
        <v>2.1271</v>
      </c>
      <c r="F41" s="82"/>
      <c r="G41" s="47"/>
      <c r="H41" s="47"/>
    </row>
    <row r="42" spans="1:8" ht="18.75" customHeight="1" x14ac:dyDescent="0.25">
      <c r="A42" s="45">
        <v>185</v>
      </c>
      <c r="B42" s="79">
        <v>1.12666E-3</v>
      </c>
      <c r="C42" s="80">
        <v>778.28</v>
      </c>
      <c r="D42" s="80">
        <v>789.55</v>
      </c>
      <c r="E42" s="82">
        <v>2.1751999999999998</v>
      </c>
      <c r="F42" s="82"/>
      <c r="G42" s="47"/>
      <c r="H42" s="47"/>
    </row>
    <row r="43" spans="1:8" ht="18.75" customHeight="1" x14ac:dyDescent="0.25">
      <c r="A43" s="45">
        <v>190</v>
      </c>
      <c r="B43" s="79">
        <v>1.1335799999999999E-3</v>
      </c>
      <c r="C43" s="80">
        <v>800.19</v>
      </c>
      <c r="D43" s="80">
        <v>811.53</v>
      </c>
      <c r="E43" s="82">
        <v>2.2229000000000001</v>
      </c>
      <c r="F43" s="82"/>
      <c r="G43" s="47"/>
      <c r="H43" s="47"/>
    </row>
    <row r="44" spans="1:8" ht="18.75" customHeight="1" x14ac:dyDescent="0.25">
      <c r="A44" s="45">
        <v>195</v>
      </c>
      <c r="B44" s="79">
        <v>1.14076E-3</v>
      </c>
      <c r="C44" s="80">
        <v>822.2</v>
      </c>
      <c r="D44" s="80">
        <v>833.61</v>
      </c>
      <c r="E44" s="82">
        <v>2.2703000000000002</v>
      </c>
      <c r="F44" s="82"/>
      <c r="G44" s="47"/>
      <c r="H44" s="47"/>
    </row>
    <row r="45" spans="1:8" ht="18.75" customHeight="1" x14ac:dyDescent="0.25">
      <c r="A45" s="45">
        <v>200</v>
      </c>
      <c r="B45" s="79">
        <v>1.1481900000000001E-3</v>
      </c>
      <c r="C45" s="80">
        <v>844.32</v>
      </c>
      <c r="D45" s="80">
        <v>855.8</v>
      </c>
      <c r="E45" s="82">
        <v>2.3174000000000001</v>
      </c>
      <c r="F45" s="82"/>
      <c r="G45" s="47"/>
      <c r="H45" s="47"/>
    </row>
    <row r="46" spans="1:8" ht="18.75" customHeight="1" x14ac:dyDescent="0.25">
      <c r="A46" s="45">
        <v>210</v>
      </c>
      <c r="B46" s="79">
        <v>1.1639E-3</v>
      </c>
      <c r="C46" s="80">
        <v>888.89</v>
      </c>
      <c r="D46" s="80">
        <v>900.53</v>
      </c>
      <c r="E46" s="82">
        <v>2.411</v>
      </c>
      <c r="F46" s="82"/>
      <c r="G46" s="47"/>
      <c r="H46" s="47"/>
    </row>
    <row r="47" spans="1:8" ht="18.75" customHeight="1" x14ac:dyDescent="0.25">
      <c r="A47" s="45">
        <v>220</v>
      </c>
      <c r="B47" s="79">
        <v>1.1808599999999999E-3</v>
      </c>
      <c r="C47" s="80">
        <v>934</v>
      </c>
      <c r="D47" s="80">
        <v>945.81</v>
      </c>
      <c r="E47" s="82">
        <v>2.5036999999999998</v>
      </c>
      <c r="F47" s="82"/>
      <c r="G47" s="47"/>
      <c r="H47" s="47"/>
    </row>
    <row r="48" spans="1:8" ht="18.75" customHeight="1" x14ac:dyDescent="0.25">
      <c r="A48" s="45">
        <v>230</v>
      </c>
      <c r="B48" s="79">
        <v>1.1992299999999999E-3</v>
      </c>
      <c r="C48" s="80">
        <v>979.72</v>
      </c>
      <c r="D48" s="80">
        <v>991.71</v>
      </c>
      <c r="E48" s="82">
        <v>2.5958999999999999</v>
      </c>
      <c r="F48" s="82"/>
      <c r="G48" s="47"/>
      <c r="H48" s="47"/>
    </row>
    <row r="49" spans="1:8" ht="18.75" customHeight="1" x14ac:dyDescent="0.25">
      <c r="A49" s="45">
        <v>240</v>
      </c>
      <c r="B49" s="79">
        <v>1.2192399999999999E-3</v>
      </c>
      <c r="C49" s="83">
        <v>1026.0999999999999</v>
      </c>
      <c r="D49" s="83">
        <v>1038.3</v>
      </c>
      <c r="E49" s="82">
        <v>2.6876000000000002</v>
      </c>
      <c r="F49" s="82"/>
      <c r="G49" s="47"/>
      <c r="H49" s="47"/>
    </row>
    <row r="50" spans="1:8" ht="18.75" customHeight="1" x14ac:dyDescent="0.25">
      <c r="A50" s="45">
        <v>250</v>
      </c>
      <c r="B50" s="79">
        <v>1.2411499999999999E-3</v>
      </c>
      <c r="C50" s="83">
        <v>1073.4000000000001</v>
      </c>
      <c r="D50" s="83">
        <v>1085.8</v>
      </c>
      <c r="E50" s="82">
        <v>2.7791999999999999</v>
      </c>
      <c r="F50" s="82"/>
      <c r="G50" s="47"/>
      <c r="H50" s="47"/>
    </row>
    <row r="51" spans="1:8" ht="18.75" customHeight="1" x14ac:dyDescent="0.25">
      <c r="A51" s="45">
        <v>260</v>
      </c>
      <c r="B51" s="79">
        <v>1.2653300000000001E-3</v>
      </c>
      <c r="C51" s="83">
        <v>1121.5999999999999</v>
      </c>
      <c r="D51" s="83">
        <v>1134.3</v>
      </c>
      <c r="E51" s="82">
        <v>2.871</v>
      </c>
      <c r="F51" s="82"/>
      <c r="G51" s="47"/>
      <c r="H51" s="47"/>
    </row>
    <row r="52" spans="1:8" ht="18.75" customHeight="1" x14ac:dyDescent="0.25">
      <c r="A52" s="45">
        <v>270</v>
      </c>
      <c r="B52" s="79">
        <v>1.2922700000000001E-3</v>
      </c>
      <c r="C52" s="83">
        <v>1171</v>
      </c>
      <c r="D52" s="83">
        <v>1183.9000000000001</v>
      </c>
      <c r="E52" s="82">
        <v>2.9632999999999998</v>
      </c>
      <c r="F52" s="82"/>
      <c r="G52" s="47"/>
      <c r="H52" s="47"/>
    </row>
    <row r="53" spans="1:8" ht="18.75" customHeight="1" x14ac:dyDescent="0.25">
      <c r="A53" s="45">
        <v>280</v>
      </c>
      <c r="B53" s="79">
        <v>1.32263E-3</v>
      </c>
      <c r="C53" s="83">
        <v>1221.8</v>
      </c>
      <c r="D53" s="83">
        <v>1235</v>
      </c>
      <c r="E53" s="82">
        <v>3.0565000000000002</v>
      </c>
      <c r="F53" s="82"/>
      <c r="G53" s="47"/>
      <c r="H53" s="47"/>
    </row>
    <row r="54" spans="1:8" ht="18.75" customHeight="1" x14ac:dyDescent="0.25">
      <c r="A54" s="45">
        <v>290</v>
      </c>
      <c r="B54" s="79">
        <v>1.35739E-3</v>
      </c>
      <c r="C54" s="83">
        <v>1274.4000000000001</v>
      </c>
      <c r="D54" s="83">
        <v>1288</v>
      </c>
      <c r="E54" s="82">
        <v>3.1514000000000002</v>
      </c>
      <c r="F54" s="82"/>
      <c r="G54" s="47"/>
      <c r="H54" s="47"/>
    </row>
    <row r="55" spans="1:8" ht="18.75" customHeight="1" x14ac:dyDescent="0.25">
      <c r="A55" s="45">
        <v>300</v>
      </c>
      <c r="B55" s="79">
        <v>1.3980399999999999E-3</v>
      </c>
      <c r="C55" s="83">
        <v>1329.3</v>
      </c>
      <c r="D55" s="83">
        <v>1343.3</v>
      </c>
      <c r="E55" s="82">
        <v>3.2488000000000001</v>
      </c>
      <c r="F55" s="82"/>
      <c r="G55" s="47"/>
      <c r="H55" s="47"/>
    </row>
    <row r="56" spans="1:8" ht="18.75" customHeight="1" x14ac:dyDescent="0.25">
      <c r="A56" s="45">
        <v>310</v>
      </c>
      <c r="B56" s="79">
        <v>1.4470900000000001E-3</v>
      </c>
      <c r="C56" s="83">
        <v>1387.5</v>
      </c>
      <c r="D56" s="83">
        <v>1402</v>
      </c>
      <c r="E56" s="82">
        <v>3.3502000000000001</v>
      </c>
      <c r="F56" s="82"/>
      <c r="G56" s="47"/>
      <c r="H56" s="47"/>
    </row>
    <row r="57" spans="1:8" ht="18.75" customHeight="1" x14ac:dyDescent="0.25">
      <c r="A57" s="45">
        <v>320</v>
      </c>
      <c r="B57" s="85">
        <v>1.9269999999999999E-2</v>
      </c>
      <c r="C57" s="83">
        <v>2590.1</v>
      </c>
      <c r="D57" s="83">
        <v>2782.8</v>
      </c>
      <c r="E57" s="82">
        <v>5.7133000000000003</v>
      </c>
      <c r="F57" s="82"/>
      <c r="G57" s="47"/>
      <c r="H57" s="47"/>
    </row>
    <row r="58" spans="1:8" ht="18.75" customHeight="1" x14ac:dyDescent="0.25">
      <c r="A58" s="45">
        <v>330</v>
      </c>
      <c r="B58" s="85">
        <v>2.0444E-2</v>
      </c>
      <c r="C58" s="83">
        <v>2631.4</v>
      </c>
      <c r="D58" s="83">
        <v>2835.8</v>
      </c>
      <c r="E58" s="82">
        <v>5.8018999999999998</v>
      </c>
      <c r="F58" s="82"/>
      <c r="G58" s="47"/>
      <c r="H58" s="47"/>
    </row>
    <row r="59" spans="1:8" ht="18.75" customHeight="1" x14ac:dyDescent="0.25">
      <c r="A59" s="45">
        <v>340</v>
      </c>
      <c r="B59" s="85">
        <v>2.1486999999999999E-2</v>
      </c>
      <c r="C59" s="83">
        <v>2667.2</v>
      </c>
      <c r="D59" s="83">
        <v>2882.1</v>
      </c>
      <c r="E59" s="82">
        <v>5.8781999999999996</v>
      </c>
      <c r="F59" s="82"/>
      <c r="G59" s="47"/>
      <c r="H59" s="47"/>
    </row>
    <row r="60" spans="1:8" ht="18.75" customHeight="1" x14ac:dyDescent="0.25">
      <c r="A60" s="45">
        <v>350</v>
      </c>
      <c r="B60" s="85">
        <v>2.2440000000000002E-2</v>
      </c>
      <c r="C60" s="83">
        <v>2699.6</v>
      </c>
      <c r="D60" s="83">
        <v>2924</v>
      </c>
      <c r="E60" s="82">
        <v>5.9459</v>
      </c>
      <c r="F60" s="82"/>
      <c r="G60" s="47"/>
      <c r="H60" s="47"/>
    </row>
    <row r="61" spans="1:8" ht="18.75" customHeight="1" x14ac:dyDescent="0.25">
      <c r="A61" s="45">
        <v>360</v>
      </c>
      <c r="B61" s="85">
        <v>2.3324999999999999E-2</v>
      </c>
      <c r="C61" s="83">
        <v>2729.4</v>
      </c>
      <c r="D61" s="83">
        <v>2962.7</v>
      </c>
      <c r="E61" s="82">
        <v>6.0075000000000003</v>
      </c>
      <c r="F61" s="82"/>
      <c r="G61" s="47"/>
      <c r="H61" s="47"/>
    </row>
    <row r="62" spans="1:8" ht="18.75" customHeight="1" x14ac:dyDescent="0.25">
      <c r="A62" s="45">
        <v>370</v>
      </c>
      <c r="B62" s="85">
        <v>2.4157999999999999E-2</v>
      </c>
      <c r="C62" s="83">
        <v>2757.3</v>
      </c>
      <c r="D62" s="83">
        <v>2998.9</v>
      </c>
      <c r="E62" s="82">
        <v>6.0641999999999996</v>
      </c>
      <c r="F62" s="82"/>
      <c r="G62" s="47"/>
      <c r="H62" s="47"/>
    </row>
    <row r="63" spans="1:8" ht="18.75" customHeight="1" x14ac:dyDescent="0.25">
      <c r="A63" s="45">
        <v>380</v>
      </c>
      <c r="B63" s="85">
        <v>2.495E-2</v>
      </c>
      <c r="C63" s="83">
        <v>2783.7</v>
      </c>
      <c r="D63" s="83">
        <v>3033.2</v>
      </c>
      <c r="E63" s="82">
        <v>6.1172000000000004</v>
      </c>
      <c r="F63" s="82"/>
      <c r="G63" s="47"/>
      <c r="H63" s="47"/>
    </row>
    <row r="64" spans="1:8" ht="18.75" customHeight="1" x14ac:dyDescent="0.25">
      <c r="A64" s="45">
        <v>390</v>
      </c>
      <c r="B64" s="85">
        <v>2.5707000000000001E-2</v>
      </c>
      <c r="C64" s="83">
        <v>2808.8</v>
      </c>
      <c r="D64" s="83">
        <v>3065.9</v>
      </c>
      <c r="E64" s="82">
        <v>6.1669</v>
      </c>
      <c r="F64" s="82"/>
      <c r="G64" s="47"/>
      <c r="H64" s="47"/>
    </row>
    <row r="65" spans="1:8" ht="18.75" customHeight="1" x14ac:dyDescent="0.25">
      <c r="A65" s="45">
        <v>400</v>
      </c>
      <c r="B65" s="85">
        <v>2.6436000000000001E-2</v>
      </c>
      <c r="C65" s="83">
        <v>2833</v>
      </c>
      <c r="D65" s="83">
        <v>3097.4</v>
      </c>
      <c r="E65" s="82">
        <v>6.2141000000000002</v>
      </c>
      <c r="F65" s="82"/>
      <c r="G65" s="47"/>
      <c r="H65" s="47"/>
    </row>
    <row r="66" spans="1:8" ht="18.75" customHeight="1" x14ac:dyDescent="0.25">
      <c r="A66" s="45">
        <v>410</v>
      </c>
      <c r="B66" s="85">
        <v>2.7141999999999999E-2</v>
      </c>
      <c r="C66" s="83">
        <v>2856.5</v>
      </c>
      <c r="D66" s="83">
        <v>3127.9</v>
      </c>
      <c r="E66" s="82">
        <v>6.2590000000000003</v>
      </c>
      <c r="F66" s="82"/>
      <c r="G66" s="47"/>
      <c r="H66" s="47"/>
    </row>
    <row r="67" spans="1:8" ht="18.75" customHeight="1" x14ac:dyDescent="0.25">
      <c r="A67" s="45">
        <v>420</v>
      </c>
      <c r="B67" s="85">
        <v>2.7826E-2</v>
      </c>
      <c r="C67" s="83">
        <v>2879.2</v>
      </c>
      <c r="D67" s="83">
        <v>3157.5</v>
      </c>
      <c r="E67" s="82">
        <v>6.3019999999999996</v>
      </c>
      <c r="F67" s="82"/>
      <c r="G67" s="47"/>
      <c r="H67" s="47"/>
    </row>
    <row r="68" spans="1:8" ht="18.75" customHeight="1" x14ac:dyDescent="0.25">
      <c r="A68" s="45">
        <v>430</v>
      </c>
      <c r="B68" s="85">
        <v>2.8493000000000001E-2</v>
      </c>
      <c r="C68" s="83">
        <v>2901.5</v>
      </c>
      <c r="D68" s="83">
        <v>3186.4</v>
      </c>
      <c r="E68" s="82">
        <v>6.3433999999999999</v>
      </c>
      <c r="F68" s="82"/>
      <c r="G68" s="47"/>
      <c r="H68" s="47"/>
    </row>
    <row r="69" spans="1:8" ht="18.75" customHeight="1" x14ac:dyDescent="0.25">
      <c r="A69" s="45">
        <v>440</v>
      </c>
      <c r="B69" s="85">
        <v>2.9144E-2</v>
      </c>
      <c r="C69" s="83">
        <v>2923.2</v>
      </c>
      <c r="D69" s="83">
        <v>3214.6</v>
      </c>
      <c r="E69" s="82">
        <v>6.3833000000000002</v>
      </c>
      <c r="F69" s="82"/>
      <c r="G69" s="47"/>
      <c r="H69" s="47"/>
    </row>
    <row r="70" spans="1:8" ht="18.75" customHeight="1" x14ac:dyDescent="0.25">
      <c r="A70" s="45">
        <v>450</v>
      </c>
      <c r="B70" s="85">
        <v>2.9781999999999999E-2</v>
      </c>
      <c r="C70" s="83">
        <v>2944.5</v>
      </c>
      <c r="D70" s="83">
        <v>3242.3</v>
      </c>
      <c r="E70" s="82">
        <v>6.4218999999999999</v>
      </c>
      <c r="F70" s="82"/>
      <c r="G70" s="47"/>
      <c r="H70" s="47"/>
    </row>
    <row r="71" spans="1:8" ht="18.75" customHeight="1" x14ac:dyDescent="0.25">
      <c r="A71" s="45">
        <v>460</v>
      </c>
      <c r="B71" s="85">
        <v>3.0407E-2</v>
      </c>
      <c r="C71" s="83">
        <v>2965.5</v>
      </c>
      <c r="D71" s="83">
        <v>3269.6</v>
      </c>
      <c r="E71" s="82">
        <v>6.4592999999999998</v>
      </c>
      <c r="F71" s="82"/>
      <c r="G71" s="47"/>
      <c r="H71" s="47"/>
    </row>
    <row r="72" spans="1:8" ht="18.75" customHeight="1" x14ac:dyDescent="0.25">
      <c r="A72" s="45">
        <v>470</v>
      </c>
      <c r="B72" s="85">
        <v>3.1022000000000001E-2</v>
      </c>
      <c r="C72" s="83">
        <v>2986.3</v>
      </c>
      <c r="D72" s="83">
        <v>3296.5</v>
      </c>
      <c r="E72" s="82">
        <v>6.4957000000000003</v>
      </c>
      <c r="F72" s="82"/>
      <c r="G72" s="47"/>
      <c r="H72" s="47"/>
    </row>
    <row r="73" spans="1:8" ht="18.75" customHeight="1" x14ac:dyDescent="0.25">
      <c r="A73" s="45">
        <v>480</v>
      </c>
      <c r="B73" s="85">
        <v>3.1626000000000001E-2</v>
      </c>
      <c r="C73" s="83">
        <v>3006.7</v>
      </c>
      <c r="D73" s="83">
        <v>3323</v>
      </c>
      <c r="E73" s="82">
        <v>6.5311000000000003</v>
      </c>
      <c r="F73" s="82"/>
      <c r="G73" s="47"/>
      <c r="H73" s="47"/>
    </row>
    <row r="74" spans="1:8" ht="18.75" customHeight="1" x14ac:dyDescent="0.25">
      <c r="A74" s="45">
        <v>490</v>
      </c>
      <c r="B74" s="85">
        <v>3.2223000000000002E-2</v>
      </c>
      <c r="C74" s="83">
        <v>3027</v>
      </c>
      <c r="D74" s="83">
        <v>3349.2</v>
      </c>
      <c r="E74" s="82">
        <v>6.5656999999999996</v>
      </c>
      <c r="F74" s="82"/>
      <c r="G74" s="47"/>
      <c r="H74" s="47"/>
    </row>
    <row r="75" spans="1:8" ht="18.75" customHeight="1" x14ac:dyDescent="0.25">
      <c r="A75" s="45">
        <v>500</v>
      </c>
      <c r="B75" s="85">
        <v>3.2811E-2</v>
      </c>
      <c r="C75" s="83">
        <v>3047</v>
      </c>
      <c r="D75" s="83">
        <v>3375.1</v>
      </c>
      <c r="E75" s="82">
        <v>6.5994999999999999</v>
      </c>
      <c r="F75" s="82"/>
      <c r="G75" s="47"/>
      <c r="H75" s="47"/>
    </row>
    <row r="76" spans="1:8" ht="18.75" customHeight="1" x14ac:dyDescent="0.25">
      <c r="A76" s="45">
        <v>520</v>
      </c>
      <c r="B76" s="85">
        <v>3.3966000000000003E-2</v>
      </c>
      <c r="C76" s="83">
        <v>3086.7</v>
      </c>
      <c r="D76" s="83">
        <v>3426.4</v>
      </c>
      <c r="E76" s="82">
        <v>6.6649000000000003</v>
      </c>
      <c r="F76" s="82"/>
      <c r="G76" s="47"/>
      <c r="H76" s="47"/>
    </row>
    <row r="77" spans="1:8" ht="18.75" customHeight="1" x14ac:dyDescent="0.25">
      <c r="A77" s="45">
        <v>540</v>
      </c>
      <c r="B77" s="85">
        <v>3.5097000000000003E-2</v>
      </c>
      <c r="C77" s="83">
        <v>3125.9</v>
      </c>
      <c r="D77" s="83">
        <v>3476.9</v>
      </c>
      <c r="E77" s="82">
        <v>6.7278000000000002</v>
      </c>
      <c r="F77" s="82"/>
      <c r="G77" s="47"/>
      <c r="H77" s="47"/>
    </row>
    <row r="78" spans="1:8" ht="18.75" customHeight="1" x14ac:dyDescent="0.25">
      <c r="A78" s="45">
        <v>560</v>
      </c>
      <c r="B78" s="85">
        <v>3.6207000000000003E-2</v>
      </c>
      <c r="C78" s="83">
        <v>3164.8</v>
      </c>
      <c r="D78" s="83">
        <v>3526.9</v>
      </c>
      <c r="E78" s="82">
        <v>6.7885999999999997</v>
      </c>
      <c r="F78" s="82"/>
      <c r="G78" s="47"/>
      <c r="H78" s="47"/>
    </row>
    <row r="79" spans="1:8" ht="18.75" customHeight="1" x14ac:dyDescent="0.25">
      <c r="A79" s="45">
        <v>580</v>
      </c>
      <c r="B79" s="85">
        <v>3.73E-2</v>
      </c>
      <c r="C79" s="83">
        <v>3203.5</v>
      </c>
      <c r="D79" s="83">
        <v>3576.5</v>
      </c>
      <c r="E79" s="82">
        <v>6.8474000000000004</v>
      </c>
      <c r="F79" s="82"/>
      <c r="G79" s="47"/>
      <c r="H79" s="47"/>
    </row>
    <row r="80" spans="1:8" ht="18.75" customHeight="1" x14ac:dyDescent="0.25">
      <c r="A80" s="45">
        <v>600</v>
      </c>
      <c r="B80" s="85">
        <v>3.8378000000000002E-2</v>
      </c>
      <c r="C80" s="83">
        <v>3242</v>
      </c>
      <c r="D80" s="83">
        <v>3625.8</v>
      </c>
      <c r="E80" s="82">
        <v>6.9044999999999996</v>
      </c>
      <c r="F80" s="82"/>
      <c r="G80" s="47"/>
      <c r="H80" s="47"/>
    </row>
    <row r="81" spans="1:8" ht="18.75" customHeight="1" x14ac:dyDescent="0.25">
      <c r="A81" s="45">
        <v>620</v>
      </c>
      <c r="B81" s="85">
        <v>3.9441999999999998E-2</v>
      </c>
      <c r="C81" s="83">
        <v>3280.4</v>
      </c>
      <c r="D81" s="83">
        <v>3674.8</v>
      </c>
      <c r="E81" s="82">
        <v>6.96</v>
      </c>
      <c r="F81" s="82"/>
      <c r="G81" s="47"/>
      <c r="H81" s="47"/>
    </row>
    <row r="82" spans="1:8" ht="18.75" customHeight="1" x14ac:dyDescent="0.25">
      <c r="A82" s="45">
        <v>640</v>
      </c>
      <c r="B82" s="85">
        <v>4.0495000000000003E-2</v>
      </c>
      <c r="C82" s="83">
        <v>3318.8</v>
      </c>
      <c r="D82" s="83">
        <v>3723.7</v>
      </c>
      <c r="E82" s="82">
        <v>7.0141999999999998</v>
      </c>
      <c r="F82" s="82"/>
      <c r="G82" s="47"/>
      <c r="H82" s="47"/>
    </row>
    <row r="83" spans="1:8" ht="18.75" customHeight="1" x14ac:dyDescent="0.25">
      <c r="A83" s="45">
        <v>660</v>
      </c>
      <c r="B83" s="85">
        <v>4.1537999999999999E-2</v>
      </c>
      <c r="C83" s="83">
        <v>3357.1</v>
      </c>
      <c r="D83" s="83">
        <v>3772.5</v>
      </c>
      <c r="E83" s="82">
        <v>7.0670000000000002</v>
      </c>
      <c r="F83" s="82"/>
      <c r="G83" s="47"/>
      <c r="H83" s="47"/>
    </row>
    <row r="84" spans="1:8" ht="18.75" customHeight="1" x14ac:dyDescent="0.25">
      <c r="A84" s="45">
        <v>680</v>
      </c>
      <c r="B84" s="85">
        <v>4.2571999999999999E-2</v>
      </c>
      <c r="C84" s="83">
        <v>3395.6</v>
      </c>
      <c r="D84" s="83">
        <v>3821.3</v>
      </c>
      <c r="E84" s="82">
        <v>7.1186999999999996</v>
      </c>
      <c r="F84" s="82"/>
      <c r="G84" s="47"/>
      <c r="H84" s="47"/>
    </row>
    <row r="85" spans="1:8" ht="18.75" customHeight="1" x14ac:dyDescent="0.25">
      <c r="A85" s="45">
        <v>700</v>
      </c>
      <c r="B85" s="85">
        <v>4.3596999999999997E-2</v>
      </c>
      <c r="C85" s="83">
        <v>3434</v>
      </c>
      <c r="D85" s="83">
        <v>3870</v>
      </c>
      <c r="E85" s="82">
        <v>7.1692999999999998</v>
      </c>
      <c r="F85" s="82"/>
      <c r="G85" s="47"/>
      <c r="H85" s="47"/>
    </row>
    <row r="86" spans="1:8" ht="18.75" customHeight="1" x14ac:dyDescent="0.25">
      <c r="A86" s="45">
        <v>720</v>
      </c>
      <c r="B86" s="85">
        <v>4.4615000000000002E-2</v>
      </c>
      <c r="C86" s="83">
        <v>3472.6</v>
      </c>
      <c r="D86" s="83">
        <v>3918.7</v>
      </c>
      <c r="E86" s="82">
        <v>7.2188999999999997</v>
      </c>
      <c r="F86" s="82"/>
      <c r="G86" s="47"/>
      <c r="H86" s="47"/>
    </row>
    <row r="87" spans="1:8" ht="18.75" customHeight="1" x14ac:dyDescent="0.25">
      <c r="A87" s="45">
        <v>740</v>
      </c>
      <c r="B87" s="85">
        <v>4.5627000000000001E-2</v>
      </c>
      <c r="C87" s="83">
        <v>3511.3</v>
      </c>
      <c r="D87" s="83">
        <v>3967.6</v>
      </c>
      <c r="E87" s="82">
        <v>7.2675999999999998</v>
      </c>
      <c r="F87" s="82"/>
      <c r="G87" s="47"/>
      <c r="H87" s="47"/>
    </row>
    <row r="88" spans="1:8" ht="18.75" customHeight="1" x14ac:dyDescent="0.25">
      <c r="A88" s="45">
        <v>760</v>
      </c>
      <c r="B88" s="85">
        <v>4.6633000000000001E-2</v>
      </c>
      <c r="C88" s="83">
        <v>3550.1</v>
      </c>
      <c r="D88" s="83">
        <v>4016.4</v>
      </c>
      <c r="E88" s="82">
        <v>7.3152999999999997</v>
      </c>
      <c r="F88" s="82"/>
      <c r="G88" s="47"/>
      <c r="H88" s="47"/>
    </row>
    <row r="89" spans="1:8" ht="18.75" customHeight="1" x14ac:dyDescent="0.25">
      <c r="A89" s="45">
        <v>780</v>
      </c>
      <c r="B89" s="85">
        <v>4.7633000000000002E-2</v>
      </c>
      <c r="C89" s="83">
        <v>3589.1</v>
      </c>
      <c r="D89" s="83">
        <v>4065.4</v>
      </c>
      <c r="E89" s="82">
        <v>7.3623000000000003</v>
      </c>
      <c r="F89" s="82"/>
      <c r="G89" s="47"/>
      <c r="H89" s="47"/>
    </row>
    <row r="90" spans="1:8" ht="18.75" customHeight="1" x14ac:dyDescent="0.25">
      <c r="A90" s="45">
        <v>800</v>
      </c>
      <c r="B90" s="85">
        <v>4.8628999999999999E-2</v>
      </c>
      <c r="C90" s="83">
        <v>3628.2</v>
      </c>
      <c r="D90" s="83">
        <v>4114.5</v>
      </c>
      <c r="E90" s="82">
        <v>7.4085000000000001</v>
      </c>
      <c r="F90" s="82"/>
      <c r="G90" s="47"/>
      <c r="H90" s="47"/>
    </row>
    <row r="91" spans="1:8" ht="18.75" customHeight="1" x14ac:dyDescent="0.25">
      <c r="A91" s="45">
        <v>820</v>
      </c>
      <c r="B91" s="85">
        <v>4.9619999999999997E-2</v>
      </c>
      <c r="C91" s="83">
        <v>3667.5</v>
      </c>
      <c r="D91" s="83">
        <v>4163.7</v>
      </c>
      <c r="E91" s="82">
        <v>7.4539</v>
      </c>
      <c r="F91" s="82"/>
      <c r="G91" s="47"/>
      <c r="H91" s="47"/>
    </row>
    <row r="92" spans="1:8" ht="18.75" customHeight="1" x14ac:dyDescent="0.25">
      <c r="A92" s="45">
        <v>840</v>
      </c>
      <c r="B92" s="85">
        <v>5.0606999999999999E-2</v>
      </c>
      <c r="C92" s="83">
        <v>3706.9</v>
      </c>
      <c r="D92" s="83">
        <v>4213</v>
      </c>
      <c r="E92" s="82">
        <v>7.4985999999999997</v>
      </c>
      <c r="F92" s="82"/>
      <c r="G92" s="47"/>
      <c r="H92" s="47"/>
    </row>
    <row r="93" spans="1:8" ht="18.75" customHeight="1" x14ac:dyDescent="0.25">
      <c r="A93" s="45">
        <v>860</v>
      </c>
      <c r="B93" s="85">
        <v>5.1589999999999997E-2</v>
      </c>
      <c r="C93" s="83">
        <v>3746.6</v>
      </c>
      <c r="D93" s="83">
        <v>4262.5</v>
      </c>
      <c r="E93" s="82">
        <v>7.5427</v>
      </c>
      <c r="F93" s="82"/>
      <c r="G93" s="47"/>
      <c r="H93" s="47"/>
    </row>
    <row r="94" spans="1:8" ht="18.75" customHeight="1" x14ac:dyDescent="0.25">
      <c r="A94" s="45">
        <v>880</v>
      </c>
      <c r="B94" s="85">
        <v>5.2569999999999999E-2</v>
      </c>
      <c r="C94" s="83">
        <v>3786.5</v>
      </c>
      <c r="D94" s="83">
        <v>4312.2</v>
      </c>
      <c r="E94" s="82">
        <v>7.5861000000000001</v>
      </c>
      <c r="F94" s="82"/>
      <c r="G94" s="47"/>
      <c r="H94" s="47"/>
    </row>
    <row r="95" spans="1:8" ht="18.75" customHeight="1" x14ac:dyDescent="0.25">
      <c r="A95" s="45">
        <v>900</v>
      </c>
      <c r="B95" s="85">
        <v>5.3546999999999997E-2</v>
      </c>
      <c r="C95" s="83">
        <v>3826.5</v>
      </c>
      <c r="D95" s="83">
        <v>4362</v>
      </c>
      <c r="E95" s="82">
        <v>7.6289999999999996</v>
      </c>
      <c r="F95" s="82"/>
      <c r="G95" s="47"/>
      <c r="H95" s="47"/>
    </row>
    <row r="96" spans="1:8" ht="18.75" customHeight="1" x14ac:dyDescent="0.25">
      <c r="A96" s="45">
        <v>920</v>
      </c>
      <c r="B96" s="85">
        <v>5.4521E-2</v>
      </c>
      <c r="C96" s="83">
        <v>3866.8</v>
      </c>
      <c r="D96" s="83">
        <v>4412</v>
      </c>
      <c r="E96" s="82">
        <v>7.6711999999999998</v>
      </c>
      <c r="F96" s="82"/>
      <c r="G96" s="47"/>
      <c r="H96" s="47"/>
    </row>
    <row r="97" spans="1:8" ht="18.75" customHeight="1" x14ac:dyDescent="0.25">
      <c r="A97" s="45">
        <v>940</v>
      </c>
      <c r="B97" s="85">
        <v>5.5492E-2</v>
      </c>
      <c r="C97" s="83">
        <v>3907.3</v>
      </c>
      <c r="D97" s="83">
        <v>4462.2</v>
      </c>
      <c r="E97" s="82">
        <v>7.7129000000000003</v>
      </c>
      <c r="F97" s="82"/>
      <c r="G97" s="47"/>
      <c r="H97" s="47"/>
    </row>
    <row r="98" spans="1:8" ht="18.75" customHeight="1" x14ac:dyDescent="0.25">
      <c r="A98" s="45">
        <v>960</v>
      </c>
      <c r="B98" s="85">
        <v>5.6460000000000003E-2</v>
      </c>
      <c r="C98" s="83">
        <v>3947.9</v>
      </c>
      <c r="D98" s="83">
        <v>4512.5</v>
      </c>
      <c r="E98" s="82">
        <v>7.7541000000000002</v>
      </c>
      <c r="F98" s="82"/>
      <c r="G98" s="47"/>
      <c r="H98" s="47"/>
    </row>
    <row r="99" spans="1:8" ht="18.75" customHeight="1" x14ac:dyDescent="0.25">
      <c r="A99" s="45">
        <v>980</v>
      </c>
      <c r="B99" s="85">
        <v>5.7425999999999998E-2</v>
      </c>
      <c r="C99" s="83">
        <v>3988.7</v>
      </c>
      <c r="D99" s="83">
        <v>4563</v>
      </c>
      <c r="E99" s="82">
        <v>7.7946999999999997</v>
      </c>
      <c r="F99" s="82"/>
      <c r="G99" s="47"/>
      <c r="H99" s="47"/>
    </row>
    <row r="100" spans="1:8" ht="18.75" customHeight="1" x14ac:dyDescent="0.25">
      <c r="A100" s="45">
        <v>1000</v>
      </c>
      <c r="B100" s="85">
        <v>5.8389999999999997E-2</v>
      </c>
      <c r="C100" s="83">
        <v>4029.9</v>
      </c>
      <c r="D100" s="83">
        <v>4613.8</v>
      </c>
      <c r="E100" s="82">
        <v>7.8349000000000002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H100"/>
  <sheetViews>
    <sheetView topLeftCell="A36" workbookViewId="0">
      <selection activeCell="A57" sqref="A57:XFD57"/>
    </sheetView>
  </sheetViews>
  <sheetFormatPr defaultRowHeight="13.2" x14ac:dyDescent="0.25"/>
  <cols>
    <col min="1" max="1" width="8.6640625" customWidth="1"/>
    <col min="2" max="2" width="10.88671875" customWidth="1"/>
    <col min="3" max="4" width="8.1093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90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11000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9.9471E-4</v>
      </c>
      <c r="C5" s="80">
        <v>0.13</v>
      </c>
      <c r="D5" s="80">
        <v>11.07</v>
      </c>
      <c r="E5" s="81">
        <v>3.6999999999999999E-4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9.9477000000000007E-4</v>
      </c>
      <c r="C6" s="80">
        <v>20.95</v>
      </c>
      <c r="D6" s="80">
        <v>31.89</v>
      </c>
      <c r="E6" s="81">
        <v>7.5899999999999995E-2</v>
      </c>
      <c r="F6" s="81"/>
      <c r="G6" s="28"/>
      <c r="H6" s="28"/>
    </row>
    <row r="7" spans="1:8" ht="18.75" customHeight="1" x14ac:dyDescent="0.25">
      <c r="A7" s="7">
        <v>10</v>
      </c>
      <c r="B7" s="79">
        <v>9.9517000000000008E-4</v>
      </c>
      <c r="C7" s="80">
        <v>41.73</v>
      </c>
      <c r="D7" s="80">
        <v>52.68</v>
      </c>
      <c r="E7" s="81">
        <v>0.14998</v>
      </c>
      <c r="F7" s="81"/>
      <c r="G7" s="28"/>
      <c r="H7" s="28"/>
    </row>
    <row r="8" spans="1:8" ht="18.75" customHeight="1" x14ac:dyDescent="0.25">
      <c r="A8" s="7">
        <v>15</v>
      </c>
      <c r="B8" s="79">
        <v>9.9587999999999999E-4</v>
      </c>
      <c r="C8" s="80">
        <v>62.5</v>
      </c>
      <c r="D8" s="80">
        <v>73.45</v>
      </c>
      <c r="E8" s="81">
        <v>0.22270000000000001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9.9686999999999996E-4</v>
      </c>
      <c r="C9" s="80">
        <v>83.24</v>
      </c>
      <c r="D9" s="80">
        <v>94.21</v>
      </c>
      <c r="E9" s="81">
        <v>0.29411999999999999</v>
      </c>
      <c r="F9" s="81"/>
      <c r="G9" s="28"/>
      <c r="H9" s="28"/>
    </row>
    <row r="10" spans="1:8" ht="18.75" customHeight="1" x14ac:dyDescent="0.25">
      <c r="A10" s="7">
        <v>25</v>
      </c>
      <c r="B10" s="79">
        <v>9.9810000000000003E-4</v>
      </c>
      <c r="C10" s="80">
        <v>103.99</v>
      </c>
      <c r="D10" s="80">
        <v>114.97</v>
      </c>
      <c r="E10" s="81">
        <v>0.36432999999999999</v>
      </c>
      <c r="F10" s="81"/>
      <c r="G10" s="28"/>
      <c r="H10" s="28"/>
    </row>
    <row r="11" spans="1:8" ht="18.75" customHeight="1" x14ac:dyDescent="0.25">
      <c r="A11" s="7">
        <v>30</v>
      </c>
      <c r="B11" s="79">
        <v>9.9955000000000009E-4</v>
      </c>
      <c r="C11" s="80">
        <v>124.72</v>
      </c>
      <c r="D11" s="80">
        <v>135.72</v>
      </c>
      <c r="E11" s="81">
        <v>0.43336999999999998</v>
      </c>
      <c r="F11" s="81"/>
      <c r="G11" s="28"/>
      <c r="H11" s="28"/>
    </row>
    <row r="12" spans="1:8" ht="18.75" customHeight="1" x14ac:dyDescent="0.25">
      <c r="A12" s="7">
        <v>35</v>
      </c>
      <c r="B12" s="79">
        <v>1.00121E-3</v>
      </c>
      <c r="C12" s="80">
        <v>145.47</v>
      </c>
      <c r="D12" s="80">
        <v>156.47999999999999</v>
      </c>
      <c r="E12" s="81">
        <v>0.50127999999999995</v>
      </c>
      <c r="F12" s="81"/>
      <c r="G12" s="28"/>
      <c r="H12" s="28"/>
    </row>
    <row r="13" spans="1:8" ht="18.75" customHeight="1" x14ac:dyDescent="0.25">
      <c r="A13" s="7">
        <v>40</v>
      </c>
      <c r="B13" s="79">
        <v>1.0030600000000001E-3</v>
      </c>
      <c r="C13" s="80">
        <v>166.22</v>
      </c>
      <c r="D13" s="80">
        <v>177.25</v>
      </c>
      <c r="E13" s="81">
        <v>0.56811999999999996</v>
      </c>
      <c r="F13" s="81"/>
      <c r="G13" s="28"/>
      <c r="H13" s="28"/>
    </row>
    <row r="14" spans="1:8" ht="18.75" customHeight="1" x14ac:dyDescent="0.25">
      <c r="A14" s="7">
        <v>45</v>
      </c>
      <c r="B14" s="79">
        <v>1.0051000000000001E-3</v>
      </c>
      <c r="C14" s="80">
        <v>186.96</v>
      </c>
      <c r="D14" s="80">
        <v>198.02</v>
      </c>
      <c r="E14" s="81">
        <v>0.63392999999999999</v>
      </c>
      <c r="F14" s="81"/>
      <c r="G14" s="28"/>
      <c r="H14" s="28"/>
    </row>
    <row r="15" spans="1:8" ht="18.75" customHeight="1" x14ac:dyDescent="0.25">
      <c r="A15" s="7">
        <v>50</v>
      </c>
      <c r="B15" s="79">
        <v>1.0073199999999999E-3</v>
      </c>
      <c r="C15" s="80">
        <v>207.72</v>
      </c>
      <c r="D15" s="80">
        <v>218.8</v>
      </c>
      <c r="E15" s="81">
        <v>0.69874000000000003</v>
      </c>
      <c r="F15" s="81"/>
      <c r="G15" s="28"/>
      <c r="H15" s="28"/>
    </row>
    <row r="16" spans="1:8" ht="18.75" customHeight="1" x14ac:dyDescent="0.25">
      <c r="A16" s="7">
        <v>55</v>
      </c>
      <c r="B16" s="79">
        <v>1.0097000000000001E-3</v>
      </c>
      <c r="C16" s="80">
        <v>228.48</v>
      </c>
      <c r="D16" s="80">
        <v>239.59</v>
      </c>
      <c r="E16" s="81">
        <v>0.76258000000000004</v>
      </c>
      <c r="F16" s="81"/>
      <c r="G16" s="28"/>
      <c r="H16" s="28"/>
    </row>
    <row r="17" spans="1:8" ht="18.75" customHeight="1" x14ac:dyDescent="0.25">
      <c r="A17" s="7">
        <v>60</v>
      </c>
      <c r="B17" s="79">
        <v>1.01224E-3</v>
      </c>
      <c r="C17" s="80">
        <v>249.26</v>
      </c>
      <c r="D17" s="80">
        <v>260.39</v>
      </c>
      <c r="E17" s="81">
        <v>0.82548999999999995</v>
      </c>
      <c r="F17" s="81"/>
      <c r="G17" s="28"/>
      <c r="H17" s="28"/>
    </row>
    <row r="18" spans="1:8" ht="18.75" customHeight="1" x14ac:dyDescent="0.25">
      <c r="A18" s="7">
        <v>65</v>
      </c>
      <c r="B18" s="79">
        <v>1.01494E-3</v>
      </c>
      <c r="C18" s="80">
        <v>270.04000000000002</v>
      </c>
      <c r="D18" s="80">
        <v>281.2</v>
      </c>
      <c r="E18" s="81">
        <v>0.88749999999999996</v>
      </c>
      <c r="F18" s="81"/>
      <c r="G18" s="28"/>
      <c r="H18" s="28"/>
    </row>
    <row r="19" spans="1:8" ht="18.75" customHeight="1" x14ac:dyDescent="0.25">
      <c r="A19" s="7">
        <v>70</v>
      </c>
      <c r="B19" s="79">
        <v>1.0177999999999999E-3</v>
      </c>
      <c r="C19" s="80">
        <v>290.83</v>
      </c>
      <c r="D19" s="80">
        <v>302.02999999999997</v>
      </c>
      <c r="E19" s="81">
        <v>0.94864999999999999</v>
      </c>
      <c r="F19" s="81"/>
      <c r="G19" s="28"/>
      <c r="H19" s="28"/>
    </row>
    <row r="20" spans="1:8" ht="18.75" customHeight="1" x14ac:dyDescent="0.25">
      <c r="A20" s="7">
        <v>75</v>
      </c>
      <c r="B20" s="79">
        <v>1.0208000000000001E-3</v>
      </c>
      <c r="C20" s="80">
        <v>311.64</v>
      </c>
      <c r="D20" s="80">
        <v>322.87</v>
      </c>
      <c r="E20" s="82">
        <v>1.0088999999999999</v>
      </c>
      <c r="F20" s="82"/>
      <c r="G20" s="28"/>
      <c r="H20" s="28"/>
    </row>
    <row r="21" spans="1:8" ht="18.75" customHeight="1" x14ac:dyDescent="0.25">
      <c r="A21" s="7">
        <v>80</v>
      </c>
      <c r="B21" s="79">
        <v>1.02395E-3</v>
      </c>
      <c r="C21" s="80">
        <v>332.47</v>
      </c>
      <c r="D21" s="80">
        <v>343.73</v>
      </c>
      <c r="E21" s="82">
        <v>1.0684</v>
      </c>
      <c r="F21" s="82"/>
      <c r="G21" s="28"/>
      <c r="H21" s="28"/>
    </row>
    <row r="22" spans="1:8" ht="18.75" customHeight="1" x14ac:dyDescent="0.25">
      <c r="A22" s="7">
        <v>85</v>
      </c>
      <c r="B22" s="79">
        <v>1.02725E-3</v>
      </c>
      <c r="C22" s="80">
        <v>353.31</v>
      </c>
      <c r="D22" s="80">
        <v>364.61</v>
      </c>
      <c r="E22" s="82">
        <v>1.1271</v>
      </c>
      <c r="F22" s="82"/>
      <c r="G22" s="28"/>
      <c r="H22" s="28"/>
    </row>
    <row r="23" spans="1:8" ht="18.75" customHeight="1" x14ac:dyDescent="0.25">
      <c r="A23" s="7">
        <v>90</v>
      </c>
      <c r="B23" s="79">
        <v>1.0306899999999999E-3</v>
      </c>
      <c r="C23" s="80">
        <v>374.17</v>
      </c>
      <c r="D23" s="80">
        <v>385.51</v>
      </c>
      <c r="E23" s="82">
        <v>1.1851</v>
      </c>
      <c r="F23" s="82"/>
      <c r="G23" s="28"/>
      <c r="H23" s="28"/>
    </row>
    <row r="24" spans="1:8" ht="18.75" customHeight="1" x14ac:dyDescent="0.25">
      <c r="A24" s="7">
        <v>95</v>
      </c>
      <c r="B24" s="79">
        <v>1.0342699999999999E-3</v>
      </c>
      <c r="C24" s="80">
        <v>395.05</v>
      </c>
      <c r="D24" s="80">
        <v>406.43</v>
      </c>
      <c r="E24" s="82">
        <v>1.2423</v>
      </c>
      <c r="F24" s="82"/>
      <c r="G24" s="28"/>
      <c r="H24" s="28"/>
    </row>
    <row r="25" spans="1:8" ht="18.75" customHeight="1" x14ac:dyDescent="0.25">
      <c r="A25" s="7">
        <v>100</v>
      </c>
      <c r="B25" s="79">
        <v>1.0380000000000001E-3</v>
      </c>
      <c r="C25" s="80">
        <v>415.95</v>
      </c>
      <c r="D25" s="80">
        <v>427.37</v>
      </c>
      <c r="E25" s="82">
        <v>1.2988</v>
      </c>
      <c r="F25" s="82"/>
      <c r="G25" s="28"/>
      <c r="H25" s="28"/>
    </row>
    <row r="26" spans="1:8" ht="18.75" customHeight="1" x14ac:dyDescent="0.25">
      <c r="A26" s="7">
        <v>105</v>
      </c>
      <c r="B26" s="79">
        <v>1.04188E-3</v>
      </c>
      <c r="C26" s="80">
        <v>436.88</v>
      </c>
      <c r="D26" s="80">
        <v>448.34</v>
      </c>
      <c r="E26" s="82">
        <v>1.3546</v>
      </c>
      <c r="F26" s="82"/>
      <c r="G26" s="28"/>
      <c r="H26" s="28"/>
    </row>
    <row r="27" spans="1:8" ht="18.75" customHeight="1" x14ac:dyDescent="0.25">
      <c r="A27" s="7">
        <v>110</v>
      </c>
      <c r="B27" s="79">
        <v>1.0459E-3</v>
      </c>
      <c r="C27" s="80">
        <v>457.84</v>
      </c>
      <c r="D27" s="80">
        <v>469.34</v>
      </c>
      <c r="E27" s="82">
        <v>1.4097999999999999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1.05006E-3</v>
      </c>
      <c r="C28" s="80">
        <v>478.82</v>
      </c>
      <c r="D28" s="80">
        <v>490.37</v>
      </c>
      <c r="E28" s="82">
        <v>1.4642999999999999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1.0543799999999999E-3</v>
      </c>
      <c r="C29" s="80">
        <v>499.84</v>
      </c>
      <c r="D29" s="80">
        <v>511.44</v>
      </c>
      <c r="E29" s="82">
        <v>1.5183</v>
      </c>
      <c r="F29" s="82"/>
      <c r="G29" s="28"/>
      <c r="H29" s="28"/>
    </row>
    <row r="30" spans="1:8" ht="18.75" customHeight="1" x14ac:dyDescent="0.25">
      <c r="A30" s="7">
        <v>125</v>
      </c>
      <c r="B30" s="79">
        <v>1.0588500000000001E-3</v>
      </c>
      <c r="C30" s="80">
        <v>520.89</v>
      </c>
      <c r="D30" s="80">
        <v>532.54</v>
      </c>
      <c r="E30" s="82">
        <v>1.5716000000000001</v>
      </c>
      <c r="F30" s="82"/>
      <c r="G30" s="28"/>
      <c r="H30" s="28"/>
    </row>
    <row r="31" spans="1:8" ht="18.75" customHeight="1" x14ac:dyDescent="0.25">
      <c r="A31" s="7">
        <v>130</v>
      </c>
      <c r="B31" s="79">
        <v>1.06347E-3</v>
      </c>
      <c r="C31" s="80">
        <v>541.98</v>
      </c>
      <c r="D31" s="80">
        <v>553.67999999999995</v>
      </c>
      <c r="E31" s="82">
        <v>1.6244000000000001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1.06825E-3</v>
      </c>
      <c r="C32" s="80">
        <v>563.12</v>
      </c>
      <c r="D32" s="80">
        <v>574.87</v>
      </c>
      <c r="E32" s="82">
        <v>1.6766000000000001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1.0731899999999999E-3</v>
      </c>
      <c r="C33" s="80">
        <v>584.29999999999995</v>
      </c>
      <c r="D33" s="80">
        <v>596.11</v>
      </c>
      <c r="E33" s="82">
        <v>1.7282999999999999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1.0782999999999999E-3</v>
      </c>
      <c r="C34" s="80">
        <v>605.54</v>
      </c>
      <c r="D34" s="80">
        <v>617.4</v>
      </c>
      <c r="E34" s="82">
        <v>1.7795000000000001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1.08358E-3</v>
      </c>
      <c r="C35" s="80">
        <v>626.82000000000005</v>
      </c>
      <c r="D35" s="80">
        <v>638.74</v>
      </c>
      <c r="E35" s="82">
        <v>1.8303</v>
      </c>
      <c r="F35" s="82"/>
      <c r="G35" s="28"/>
      <c r="H35" s="28"/>
    </row>
    <row r="36" spans="1:8" ht="18.75" customHeight="1" x14ac:dyDescent="0.25">
      <c r="A36" s="7">
        <v>155</v>
      </c>
      <c r="B36" s="79">
        <v>1.0890299999999999E-3</v>
      </c>
      <c r="C36" s="80">
        <v>648.16</v>
      </c>
      <c r="D36" s="80">
        <v>660.14</v>
      </c>
      <c r="E36" s="82">
        <v>1.8806</v>
      </c>
      <c r="F36" s="82"/>
      <c r="G36" s="28"/>
      <c r="H36" s="28"/>
    </row>
    <row r="37" spans="1:8" ht="18.75" customHeight="1" x14ac:dyDescent="0.25">
      <c r="A37" s="7">
        <v>160</v>
      </c>
      <c r="B37" s="79">
        <v>1.0946700000000001E-3</v>
      </c>
      <c r="C37" s="80">
        <v>669.57</v>
      </c>
      <c r="D37" s="80">
        <v>681.61</v>
      </c>
      <c r="E37" s="82">
        <v>1.9303999999999999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1.10049E-3</v>
      </c>
      <c r="C38" s="80">
        <v>691.03</v>
      </c>
      <c r="D38" s="80">
        <v>703.14</v>
      </c>
      <c r="E38" s="82">
        <v>1.9798</v>
      </c>
      <c r="F38" s="82"/>
      <c r="G38" s="28"/>
      <c r="H38" s="28"/>
    </row>
    <row r="39" spans="1:8" ht="18.75" customHeight="1" x14ac:dyDescent="0.25">
      <c r="A39" s="7">
        <v>170</v>
      </c>
      <c r="B39" s="79">
        <v>1.10651E-3</v>
      </c>
      <c r="C39" s="80">
        <v>712.58</v>
      </c>
      <c r="D39" s="80">
        <v>724.75</v>
      </c>
      <c r="E39" s="82">
        <v>2.0289000000000001</v>
      </c>
      <c r="F39" s="82"/>
      <c r="G39" s="28"/>
      <c r="H39" s="28"/>
    </row>
    <row r="40" spans="1:8" ht="18.75" customHeight="1" x14ac:dyDescent="0.25">
      <c r="A40" s="7">
        <v>175</v>
      </c>
      <c r="B40" s="79">
        <v>1.1127299999999999E-3</v>
      </c>
      <c r="C40" s="80">
        <v>734.19</v>
      </c>
      <c r="D40" s="80">
        <v>746.43</v>
      </c>
      <c r="E40" s="82">
        <v>2.0775000000000001</v>
      </c>
      <c r="F40" s="82"/>
      <c r="G40" s="28"/>
      <c r="H40" s="28"/>
    </row>
    <row r="41" spans="1:8" ht="18.75" customHeight="1" x14ac:dyDescent="0.25">
      <c r="A41" s="7">
        <v>180</v>
      </c>
      <c r="B41" s="79">
        <v>1.1191700000000001E-3</v>
      </c>
      <c r="C41" s="80">
        <v>755.89</v>
      </c>
      <c r="D41" s="80">
        <v>768.2</v>
      </c>
      <c r="E41" s="82">
        <v>2.1257999999999999</v>
      </c>
      <c r="F41" s="82"/>
      <c r="G41" s="28"/>
      <c r="H41" s="28"/>
    </row>
    <row r="42" spans="1:8" ht="18.75" customHeight="1" x14ac:dyDescent="0.25">
      <c r="A42" s="7">
        <v>185</v>
      </c>
      <c r="B42" s="79">
        <v>1.12582E-3</v>
      </c>
      <c r="C42" s="80">
        <v>777.68</v>
      </c>
      <c r="D42" s="80">
        <v>790.06</v>
      </c>
      <c r="E42" s="82">
        <v>2.1738</v>
      </c>
      <c r="F42" s="82"/>
      <c r="G42" s="28"/>
      <c r="H42" s="28"/>
    </row>
    <row r="43" spans="1:8" ht="18.75" customHeight="1" x14ac:dyDescent="0.25">
      <c r="A43" s="7">
        <v>190</v>
      </c>
      <c r="B43" s="79">
        <v>1.1327100000000001E-3</v>
      </c>
      <c r="C43" s="80">
        <v>799.55</v>
      </c>
      <c r="D43" s="80">
        <v>812.01</v>
      </c>
      <c r="E43" s="82">
        <v>2.2214999999999998</v>
      </c>
      <c r="F43" s="82"/>
      <c r="G43" s="28"/>
      <c r="H43" s="28"/>
    </row>
    <row r="44" spans="1:8" ht="18.75" customHeight="1" x14ac:dyDescent="0.25">
      <c r="A44" s="7">
        <v>195</v>
      </c>
      <c r="B44" s="79">
        <v>1.13985E-3</v>
      </c>
      <c r="C44" s="80">
        <v>821.53</v>
      </c>
      <c r="D44" s="80">
        <v>834.07</v>
      </c>
      <c r="E44" s="82">
        <v>2.2688000000000001</v>
      </c>
      <c r="F44" s="82"/>
      <c r="G44" s="28"/>
      <c r="H44" s="28"/>
    </row>
    <row r="45" spans="1:8" ht="18.75" customHeight="1" x14ac:dyDescent="0.25">
      <c r="A45" s="7">
        <v>200</v>
      </c>
      <c r="B45" s="79">
        <v>1.1472399999999999E-3</v>
      </c>
      <c r="C45" s="80">
        <v>843.61</v>
      </c>
      <c r="D45" s="80">
        <v>856.23</v>
      </c>
      <c r="E45" s="82">
        <v>2.3159000000000001</v>
      </c>
      <c r="F45" s="82"/>
      <c r="G45" s="28"/>
      <c r="H45" s="28"/>
    </row>
    <row r="46" spans="1:8" ht="18.75" customHeight="1" x14ac:dyDescent="0.25">
      <c r="A46" s="7">
        <v>210</v>
      </c>
      <c r="B46" s="79">
        <v>1.1628599999999999E-3</v>
      </c>
      <c r="C46" s="80">
        <v>888.12</v>
      </c>
      <c r="D46" s="80">
        <v>900.91</v>
      </c>
      <c r="E46" s="82">
        <v>2.4094000000000002</v>
      </c>
      <c r="F46" s="82"/>
      <c r="G46" s="28"/>
      <c r="H46" s="28"/>
    </row>
    <row r="47" spans="1:8" ht="18.75" customHeight="1" x14ac:dyDescent="0.25">
      <c r="A47" s="7">
        <v>220</v>
      </c>
      <c r="B47" s="79">
        <v>1.1797000000000001E-3</v>
      </c>
      <c r="C47" s="80">
        <v>933.15</v>
      </c>
      <c r="D47" s="80">
        <v>946.13</v>
      </c>
      <c r="E47" s="82">
        <v>2.5019999999999998</v>
      </c>
      <c r="F47" s="82"/>
      <c r="G47" s="28"/>
      <c r="H47" s="28"/>
    </row>
    <row r="48" spans="1:8" ht="18.75" customHeight="1" x14ac:dyDescent="0.25">
      <c r="A48" s="7">
        <v>230</v>
      </c>
      <c r="B48" s="79">
        <v>1.19794E-3</v>
      </c>
      <c r="C48" s="80">
        <v>978.77</v>
      </c>
      <c r="D48" s="80">
        <v>991.95</v>
      </c>
      <c r="E48" s="82">
        <v>2.5939999999999999</v>
      </c>
      <c r="F48" s="82"/>
      <c r="G48" s="28"/>
      <c r="H48" s="28"/>
    </row>
    <row r="49" spans="1:8" ht="18.75" customHeight="1" x14ac:dyDescent="0.25">
      <c r="A49" s="7">
        <v>240</v>
      </c>
      <c r="B49" s="79">
        <v>1.21777E-3</v>
      </c>
      <c r="C49" s="83">
        <v>1025.0999999999999</v>
      </c>
      <c r="D49" s="83">
        <v>1038.5</v>
      </c>
      <c r="E49" s="82">
        <v>2.6855000000000002</v>
      </c>
      <c r="F49" s="82"/>
      <c r="G49" s="28"/>
      <c r="H49" s="28"/>
    </row>
    <row r="50" spans="1:8" ht="18.75" customHeight="1" x14ac:dyDescent="0.25">
      <c r="A50" s="7">
        <v>250</v>
      </c>
      <c r="B50" s="79">
        <v>1.2394800000000001E-3</v>
      </c>
      <c r="C50" s="83">
        <v>1072.2</v>
      </c>
      <c r="D50" s="83">
        <v>1085.8</v>
      </c>
      <c r="E50" s="82">
        <v>2.7768999999999999</v>
      </c>
      <c r="F50" s="82"/>
      <c r="G50" s="28"/>
      <c r="H50" s="28"/>
    </row>
    <row r="51" spans="1:8" ht="18.75" customHeight="1" x14ac:dyDescent="0.25">
      <c r="A51" s="7">
        <v>260</v>
      </c>
      <c r="B51" s="79">
        <v>1.2634E-3</v>
      </c>
      <c r="C51" s="83">
        <v>1120.3</v>
      </c>
      <c r="D51" s="83">
        <v>1134.2</v>
      </c>
      <c r="E51" s="82">
        <v>2.8685</v>
      </c>
      <c r="F51" s="82"/>
      <c r="G51" s="28"/>
      <c r="H51" s="28"/>
    </row>
    <row r="52" spans="1:8" ht="18.75" customHeight="1" x14ac:dyDescent="0.25">
      <c r="A52" s="7">
        <v>270</v>
      </c>
      <c r="B52" s="79">
        <v>1.2899999999999999E-3</v>
      </c>
      <c r="C52" s="83">
        <v>1169.5</v>
      </c>
      <c r="D52" s="83">
        <v>1183.7</v>
      </c>
      <c r="E52" s="82">
        <v>2.9603999999999999</v>
      </c>
      <c r="F52" s="82"/>
      <c r="G52" s="28"/>
      <c r="H52" s="28"/>
    </row>
    <row r="53" spans="1:8" ht="18.75" customHeight="1" x14ac:dyDescent="0.25">
      <c r="A53" s="7">
        <v>280</v>
      </c>
      <c r="B53" s="79">
        <v>1.31992E-3</v>
      </c>
      <c r="C53" s="83">
        <v>1220.0999999999999</v>
      </c>
      <c r="D53" s="83">
        <v>1234.5999999999999</v>
      </c>
      <c r="E53" s="82">
        <v>3.0533000000000001</v>
      </c>
      <c r="F53" s="82"/>
      <c r="G53" s="28"/>
      <c r="H53" s="28"/>
    </row>
    <row r="54" spans="1:8" ht="18.75" customHeight="1" x14ac:dyDescent="0.25">
      <c r="A54" s="7">
        <v>290</v>
      </c>
      <c r="B54" s="79">
        <v>1.35407E-3</v>
      </c>
      <c r="C54" s="83">
        <v>1272.4000000000001</v>
      </c>
      <c r="D54" s="83">
        <v>1287.3</v>
      </c>
      <c r="E54" s="82">
        <v>3.1476999999999999</v>
      </c>
      <c r="F54" s="82"/>
      <c r="G54" s="28"/>
      <c r="H54" s="28"/>
    </row>
    <row r="55" spans="1:8" ht="18.75" customHeight="1" x14ac:dyDescent="0.25">
      <c r="A55" s="7">
        <v>300</v>
      </c>
      <c r="B55" s="79">
        <v>1.39383E-3</v>
      </c>
      <c r="C55" s="83">
        <v>1326.9</v>
      </c>
      <c r="D55" s="83">
        <v>1342.2</v>
      </c>
      <c r="E55" s="82">
        <v>3.2444000000000002</v>
      </c>
      <c r="F55" s="82"/>
      <c r="G55" s="28"/>
      <c r="H55" s="28"/>
    </row>
    <row r="56" spans="1:8" ht="18.75" customHeight="1" x14ac:dyDescent="0.25">
      <c r="A56" s="7">
        <v>310</v>
      </c>
      <c r="B56" s="79">
        <v>1.4414899999999999E-3</v>
      </c>
      <c r="C56" s="83">
        <v>1384.4</v>
      </c>
      <c r="D56" s="83">
        <v>1400.3</v>
      </c>
      <c r="E56" s="82">
        <v>3.3449</v>
      </c>
      <c r="F56" s="82"/>
      <c r="G56" s="28"/>
      <c r="H56" s="28"/>
    </row>
    <row r="57" spans="1:8" ht="18.75" customHeight="1" x14ac:dyDescent="0.25">
      <c r="A57" s="7">
        <v>320</v>
      </c>
      <c r="B57" s="85">
        <v>1.6274E-2</v>
      </c>
      <c r="C57" s="83">
        <v>2542.1</v>
      </c>
      <c r="D57" s="83">
        <v>2721.1</v>
      </c>
      <c r="E57" s="82">
        <v>5.5792999999999999</v>
      </c>
      <c r="F57" s="82"/>
      <c r="G57" s="28"/>
      <c r="H57" s="28"/>
    </row>
    <row r="58" spans="1:8" ht="18.75" customHeight="1" x14ac:dyDescent="0.25">
      <c r="A58" s="7">
        <v>330</v>
      </c>
      <c r="B58" s="85">
        <v>1.7565000000000001E-2</v>
      </c>
      <c r="C58" s="83">
        <v>2593.3000000000002</v>
      </c>
      <c r="D58" s="83">
        <v>2786.5</v>
      </c>
      <c r="E58" s="82">
        <v>5.6887999999999996</v>
      </c>
      <c r="F58" s="82"/>
      <c r="G58" s="28"/>
      <c r="H58" s="28"/>
    </row>
    <row r="59" spans="1:8" ht="18.75" customHeight="1" x14ac:dyDescent="0.25">
      <c r="A59" s="7">
        <v>340</v>
      </c>
      <c r="B59" s="85">
        <v>1.8655999999999999E-2</v>
      </c>
      <c r="C59" s="83">
        <v>2635.4</v>
      </c>
      <c r="D59" s="83">
        <v>2840.6</v>
      </c>
      <c r="E59" s="82">
        <v>5.7777000000000003</v>
      </c>
      <c r="F59" s="82"/>
      <c r="G59" s="28"/>
      <c r="H59" s="28"/>
    </row>
    <row r="60" spans="1:8" ht="18.75" customHeight="1" x14ac:dyDescent="0.25">
      <c r="A60" s="7">
        <v>350</v>
      </c>
      <c r="B60" s="85">
        <v>1.9625E-2</v>
      </c>
      <c r="C60" s="83">
        <v>2672</v>
      </c>
      <c r="D60" s="83">
        <v>2887.9</v>
      </c>
      <c r="E60" s="82">
        <v>5.8541999999999996</v>
      </c>
      <c r="F60" s="82"/>
      <c r="G60" s="28"/>
      <c r="H60" s="28"/>
    </row>
    <row r="61" spans="1:8" ht="18.75" customHeight="1" x14ac:dyDescent="0.25">
      <c r="A61" s="7">
        <v>360</v>
      </c>
      <c r="B61" s="85">
        <v>2.0508999999999999E-2</v>
      </c>
      <c r="C61" s="83">
        <v>2705</v>
      </c>
      <c r="D61" s="83">
        <v>2930.6</v>
      </c>
      <c r="E61" s="82">
        <v>5.9222999999999999</v>
      </c>
      <c r="F61" s="82"/>
      <c r="G61" s="28"/>
      <c r="H61" s="28"/>
    </row>
    <row r="62" spans="1:8" ht="18.75" customHeight="1" x14ac:dyDescent="0.25">
      <c r="A62" s="7">
        <v>370</v>
      </c>
      <c r="B62" s="85">
        <v>2.1330999999999999E-2</v>
      </c>
      <c r="C62" s="83">
        <v>2735.4</v>
      </c>
      <c r="D62" s="83">
        <v>2970</v>
      </c>
      <c r="E62" s="82">
        <v>5.984</v>
      </c>
      <c r="F62" s="82"/>
      <c r="G62" s="28"/>
      <c r="H62" s="28"/>
    </row>
    <row r="63" spans="1:8" ht="18.75" customHeight="1" x14ac:dyDescent="0.25">
      <c r="A63" s="7">
        <v>380</v>
      </c>
      <c r="B63" s="85">
        <v>2.2103000000000001E-2</v>
      </c>
      <c r="C63" s="83">
        <v>2763.8</v>
      </c>
      <c r="D63" s="83">
        <v>3006.9</v>
      </c>
      <c r="E63" s="82">
        <v>6.0410000000000004</v>
      </c>
      <c r="F63" s="82"/>
      <c r="G63" s="28"/>
      <c r="H63" s="28"/>
    </row>
    <row r="64" spans="1:8" ht="18.75" customHeight="1" x14ac:dyDescent="0.25">
      <c r="A64" s="7">
        <v>390</v>
      </c>
      <c r="B64" s="85">
        <v>2.2835999999999999E-2</v>
      </c>
      <c r="C64" s="83">
        <v>2790.7</v>
      </c>
      <c r="D64" s="83">
        <v>3041.9</v>
      </c>
      <c r="E64" s="82">
        <v>6.0941000000000001</v>
      </c>
      <c r="F64" s="82"/>
      <c r="G64" s="28"/>
      <c r="H64" s="28"/>
    </row>
    <row r="65" spans="1:8" ht="18.75" customHeight="1" x14ac:dyDescent="0.25">
      <c r="A65" s="7">
        <v>400</v>
      </c>
      <c r="B65" s="85">
        <v>2.3536999999999999E-2</v>
      </c>
      <c r="C65" s="83">
        <v>2816.3</v>
      </c>
      <c r="D65" s="83">
        <v>3075.2</v>
      </c>
      <c r="E65" s="82">
        <v>6.1440000000000001</v>
      </c>
      <c r="F65" s="82"/>
      <c r="G65" s="28"/>
      <c r="H65" s="28"/>
    </row>
    <row r="66" spans="1:8" ht="18.75" customHeight="1" x14ac:dyDescent="0.25">
      <c r="A66" s="7">
        <v>410</v>
      </c>
      <c r="B66" s="85">
        <v>2.4212000000000001E-2</v>
      </c>
      <c r="C66" s="83">
        <v>2840.9</v>
      </c>
      <c r="D66" s="83">
        <v>3107.2</v>
      </c>
      <c r="E66" s="82">
        <v>6.1912000000000003</v>
      </c>
      <c r="F66" s="82"/>
      <c r="G66" s="28"/>
      <c r="H66" s="28"/>
    </row>
    <row r="67" spans="1:8" ht="18.75" customHeight="1" x14ac:dyDescent="0.25">
      <c r="A67" s="7">
        <v>420</v>
      </c>
      <c r="B67" s="85">
        <v>2.4864000000000001E-2</v>
      </c>
      <c r="C67" s="83">
        <v>2864.7</v>
      </c>
      <c r="D67" s="83">
        <v>3138.2</v>
      </c>
      <c r="E67" s="82">
        <v>6.2362000000000002</v>
      </c>
      <c r="F67" s="82"/>
      <c r="G67" s="28"/>
      <c r="H67" s="28"/>
    </row>
    <row r="68" spans="1:8" ht="18.75" customHeight="1" x14ac:dyDescent="0.25">
      <c r="A68" s="7">
        <v>430</v>
      </c>
      <c r="B68" s="85">
        <v>2.5496000000000001E-2</v>
      </c>
      <c r="C68" s="83">
        <v>2887.8</v>
      </c>
      <c r="D68" s="83">
        <v>3168.3</v>
      </c>
      <c r="E68" s="82">
        <v>6.2793000000000001</v>
      </c>
      <c r="F68" s="82"/>
      <c r="G68" s="28"/>
      <c r="H68" s="28"/>
    </row>
    <row r="69" spans="1:8" ht="18.75" customHeight="1" x14ac:dyDescent="0.25">
      <c r="A69" s="7">
        <v>440</v>
      </c>
      <c r="B69" s="85">
        <v>2.6112E-2</v>
      </c>
      <c r="C69" s="83">
        <v>2910.4</v>
      </c>
      <c r="D69" s="83">
        <v>3197.6</v>
      </c>
      <c r="E69" s="82">
        <v>6.3207000000000004</v>
      </c>
      <c r="F69" s="82"/>
      <c r="G69" s="28"/>
      <c r="H69" s="28"/>
    </row>
    <row r="70" spans="1:8" ht="18.75" customHeight="1" x14ac:dyDescent="0.25">
      <c r="A70" s="7">
        <v>450</v>
      </c>
      <c r="B70" s="85">
        <v>2.6713000000000001E-2</v>
      </c>
      <c r="C70" s="83">
        <v>2932.5</v>
      </c>
      <c r="D70" s="83">
        <v>3226.3</v>
      </c>
      <c r="E70" s="82">
        <v>6.3606999999999996</v>
      </c>
      <c r="F70" s="82"/>
      <c r="G70" s="28"/>
      <c r="H70" s="28"/>
    </row>
    <row r="71" spans="1:8" ht="18.75" customHeight="1" x14ac:dyDescent="0.25">
      <c r="A71" s="7">
        <v>460</v>
      </c>
      <c r="B71" s="85">
        <v>2.7300999999999999E-2</v>
      </c>
      <c r="C71" s="83">
        <v>2954.1</v>
      </c>
      <c r="D71" s="83">
        <v>3254.4</v>
      </c>
      <c r="E71" s="82">
        <v>6.3993000000000002</v>
      </c>
      <c r="F71" s="82"/>
      <c r="G71" s="28"/>
      <c r="H71" s="28"/>
    </row>
    <row r="72" spans="1:8" ht="18.75" customHeight="1" x14ac:dyDescent="0.25">
      <c r="A72" s="7">
        <v>470</v>
      </c>
      <c r="B72" s="85">
        <v>2.7876999999999999E-2</v>
      </c>
      <c r="C72" s="83">
        <v>2975.4</v>
      </c>
      <c r="D72" s="83">
        <v>3282</v>
      </c>
      <c r="E72" s="82">
        <v>6.4367000000000001</v>
      </c>
      <c r="F72" s="82"/>
      <c r="G72" s="28"/>
      <c r="H72" s="28"/>
    </row>
    <row r="73" spans="1:8" ht="18.75" customHeight="1" x14ac:dyDescent="0.25">
      <c r="A73" s="7">
        <v>480</v>
      </c>
      <c r="B73" s="85">
        <v>2.8443E-2</v>
      </c>
      <c r="C73" s="83">
        <v>2996.4</v>
      </c>
      <c r="D73" s="83">
        <v>3309.3</v>
      </c>
      <c r="E73" s="82">
        <v>6.4730999999999996</v>
      </c>
      <c r="F73" s="82"/>
      <c r="G73" s="28"/>
      <c r="H73" s="28"/>
    </row>
    <row r="74" spans="1:8" ht="18.75" customHeight="1" x14ac:dyDescent="0.25">
      <c r="A74" s="7">
        <v>490</v>
      </c>
      <c r="B74" s="85">
        <v>2.9000000000000001E-2</v>
      </c>
      <c r="C74" s="83">
        <v>3017.1</v>
      </c>
      <c r="D74" s="83">
        <v>3336.1</v>
      </c>
      <c r="E74" s="82">
        <v>6.5084999999999997</v>
      </c>
      <c r="F74" s="82"/>
      <c r="G74" s="28"/>
      <c r="H74" s="28"/>
    </row>
    <row r="75" spans="1:8" ht="18.75" customHeight="1" x14ac:dyDescent="0.25">
      <c r="A75" s="7">
        <v>500</v>
      </c>
      <c r="B75" s="85">
        <v>2.9548999999999999E-2</v>
      </c>
      <c r="C75" s="83">
        <v>3037.7</v>
      </c>
      <c r="D75" s="83">
        <v>3362.7</v>
      </c>
      <c r="E75" s="82">
        <v>6.5430999999999999</v>
      </c>
      <c r="F75" s="82"/>
      <c r="G75" s="28"/>
      <c r="H75" s="28"/>
    </row>
    <row r="76" spans="1:8" ht="18.75" customHeight="1" x14ac:dyDescent="0.25">
      <c r="A76" s="7">
        <v>520</v>
      </c>
      <c r="B76" s="85">
        <v>3.0623999999999998E-2</v>
      </c>
      <c r="C76" s="83">
        <v>3078.1</v>
      </c>
      <c r="D76" s="83">
        <v>3415</v>
      </c>
      <c r="E76" s="82">
        <v>6.6098999999999997</v>
      </c>
      <c r="F76" s="82"/>
      <c r="G76" s="28"/>
      <c r="H76" s="28"/>
    </row>
    <row r="77" spans="1:8" ht="18.75" customHeight="1" x14ac:dyDescent="0.25">
      <c r="A77" s="7">
        <v>540</v>
      </c>
      <c r="B77" s="85">
        <v>3.1674000000000001E-2</v>
      </c>
      <c r="C77" s="83">
        <v>3118</v>
      </c>
      <c r="D77" s="83">
        <v>3466.4</v>
      </c>
      <c r="E77" s="82">
        <v>6.6738999999999997</v>
      </c>
      <c r="F77" s="82"/>
      <c r="G77" s="28"/>
      <c r="H77" s="28"/>
    </row>
    <row r="78" spans="1:8" ht="18.75" customHeight="1" x14ac:dyDescent="0.25">
      <c r="A78" s="7">
        <v>560</v>
      </c>
      <c r="B78" s="85">
        <v>3.2703000000000003E-2</v>
      </c>
      <c r="C78" s="83">
        <v>3157.5</v>
      </c>
      <c r="D78" s="83">
        <v>3517.2</v>
      </c>
      <c r="E78" s="82">
        <v>6.7355999999999998</v>
      </c>
      <c r="F78" s="82"/>
      <c r="G78" s="28"/>
      <c r="H78" s="28"/>
    </row>
    <row r="79" spans="1:8" ht="18.75" customHeight="1" x14ac:dyDescent="0.25">
      <c r="A79" s="7">
        <v>580</v>
      </c>
      <c r="B79" s="85">
        <v>3.3714000000000001E-2</v>
      </c>
      <c r="C79" s="83">
        <v>3196.6</v>
      </c>
      <c r="D79" s="83">
        <v>3567.5</v>
      </c>
      <c r="E79" s="82">
        <v>6.7953000000000001</v>
      </c>
      <c r="F79" s="82"/>
      <c r="G79" s="28"/>
      <c r="H79" s="28"/>
    </row>
    <row r="80" spans="1:8" ht="18.75" customHeight="1" x14ac:dyDescent="0.25">
      <c r="A80" s="7">
        <v>600</v>
      </c>
      <c r="B80" s="85">
        <v>3.4708999999999997E-2</v>
      </c>
      <c r="C80" s="83">
        <v>3235.6</v>
      </c>
      <c r="D80" s="83">
        <v>3617.4</v>
      </c>
      <c r="E80" s="82">
        <v>6.8531000000000004</v>
      </c>
      <c r="F80" s="82"/>
      <c r="G80" s="28"/>
      <c r="H80" s="28"/>
    </row>
    <row r="81" spans="1:8" ht="18.75" customHeight="1" x14ac:dyDescent="0.25">
      <c r="A81" s="7">
        <v>620</v>
      </c>
      <c r="B81" s="85">
        <v>3.5691000000000001E-2</v>
      </c>
      <c r="C81" s="83">
        <v>3274.4</v>
      </c>
      <c r="D81" s="83">
        <v>3667</v>
      </c>
      <c r="E81" s="82">
        <v>6.9092000000000002</v>
      </c>
      <c r="F81" s="82"/>
      <c r="G81" s="28"/>
      <c r="H81" s="28"/>
    </row>
    <row r="82" spans="1:8" ht="18.75" customHeight="1" x14ac:dyDescent="0.25">
      <c r="A82" s="7">
        <v>640</v>
      </c>
      <c r="B82" s="85">
        <v>3.6660999999999999E-2</v>
      </c>
      <c r="C82" s="83">
        <v>3313.1</v>
      </c>
      <c r="D82" s="83">
        <v>3716.4</v>
      </c>
      <c r="E82" s="82">
        <v>6.9638999999999998</v>
      </c>
      <c r="F82" s="82"/>
      <c r="G82" s="28"/>
      <c r="H82" s="28"/>
    </row>
    <row r="83" spans="1:8" ht="18.75" customHeight="1" x14ac:dyDescent="0.25">
      <c r="A83" s="7">
        <v>660</v>
      </c>
      <c r="B83" s="85">
        <v>3.7621000000000002E-2</v>
      </c>
      <c r="C83" s="83">
        <v>3351.8</v>
      </c>
      <c r="D83" s="83">
        <v>3765.6</v>
      </c>
      <c r="E83" s="82">
        <v>7.0172999999999996</v>
      </c>
      <c r="F83" s="82"/>
      <c r="G83" s="28"/>
      <c r="H83" s="28"/>
    </row>
    <row r="84" spans="1:8" ht="18.75" customHeight="1" x14ac:dyDescent="0.25">
      <c r="A84" s="7">
        <v>680</v>
      </c>
      <c r="B84" s="85">
        <v>3.8571000000000001E-2</v>
      </c>
      <c r="C84" s="83">
        <v>3390.5</v>
      </c>
      <c r="D84" s="83">
        <v>3814.8</v>
      </c>
      <c r="E84" s="82">
        <v>7.0693999999999999</v>
      </c>
      <c r="F84" s="82"/>
      <c r="G84" s="28"/>
      <c r="H84" s="28"/>
    </row>
    <row r="85" spans="1:8" ht="18.75" customHeight="1" x14ac:dyDescent="0.25">
      <c r="A85" s="7">
        <v>700</v>
      </c>
      <c r="B85" s="85">
        <v>3.9513E-2</v>
      </c>
      <c r="C85" s="83">
        <v>3429.3</v>
      </c>
      <c r="D85" s="83">
        <v>3863.9</v>
      </c>
      <c r="E85" s="82">
        <v>7.1204000000000001</v>
      </c>
      <c r="F85" s="82"/>
      <c r="G85" s="28"/>
      <c r="H85" s="28"/>
    </row>
    <row r="86" spans="1:8" ht="18.75" customHeight="1" x14ac:dyDescent="0.25">
      <c r="A86" s="7">
        <v>720</v>
      </c>
      <c r="B86" s="85">
        <v>4.0447999999999998E-2</v>
      </c>
      <c r="C86" s="83">
        <v>3468.1</v>
      </c>
      <c r="D86" s="83">
        <v>3913</v>
      </c>
      <c r="E86" s="82">
        <v>7.1703000000000001</v>
      </c>
      <c r="F86" s="82"/>
      <c r="G86" s="28"/>
      <c r="H86" s="28"/>
    </row>
    <row r="87" spans="1:8" ht="18.75" customHeight="1" x14ac:dyDescent="0.25">
      <c r="A87" s="7">
        <v>740</v>
      </c>
      <c r="B87" s="85">
        <v>4.1376000000000003E-2</v>
      </c>
      <c r="C87" s="83">
        <v>3507</v>
      </c>
      <c r="D87" s="83">
        <v>3962.1</v>
      </c>
      <c r="E87" s="82">
        <v>7.2192999999999996</v>
      </c>
      <c r="F87" s="82"/>
      <c r="G87" s="28"/>
      <c r="H87" s="28"/>
    </row>
    <row r="88" spans="1:8" ht="18.75" customHeight="1" x14ac:dyDescent="0.25">
      <c r="A88" s="7">
        <v>760</v>
      </c>
      <c r="B88" s="85">
        <v>4.2298000000000002E-2</v>
      </c>
      <c r="C88" s="83">
        <v>3545.9</v>
      </c>
      <c r="D88" s="83">
        <v>4011.2</v>
      </c>
      <c r="E88" s="82">
        <v>7.2672999999999996</v>
      </c>
      <c r="F88" s="82"/>
      <c r="G88" s="28"/>
      <c r="H88" s="28"/>
    </row>
    <row r="89" spans="1:8" ht="18.75" customHeight="1" x14ac:dyDescent="0.25">
      <c r="A89" s="7">
        <v>780</v>
      </c>
      <c r="B89" s="85">
        <v>4.3215000000000003E-2</v>
      </c>
      <c r="C89" s="83">
        <v>3585.1</v>
      </c>
      <c r="D89" s="83">
        <v>4060.5</v>
      </c>
      <c r="E89" s="82">
        <v>7.3146000000000004</v>
      </c>
      <c r="F89" s="82"/>
      <c r="G89" s="28"/>
      <c r="H89" s="28"/>
    </row>
    <row r="90" spans="1:8" ht="18.75" customHeight="1" x14ac:dyDescent="0.25">
      <c r="A90" s="7">
        <v>800</v>
      </c>
      <c r="B90" s="85">
        <v>4.4125999999999999E-2</v>
      </c>
      <c r="C90" s="83">
        <v>3624.4</v>
      </c>
      <c r="D90" s="83">
        <v>4109.8</v>
      </c>
      <c r="E90" s="82">
        <v>7.3609999999999998</v>
      </c>
      <c r="F90" s="82"/>
      <c r="G90" s="28"/>
      <c r="H90" s="28"/>
    </row>
    <row r="91" spans="1:8" ht="18.75" customHeight="1" x14ac:dyDescent="0.25">
      <c r="A91" s="7">
        <v>820</v>
      </c>
      <c r="B91" s="85">
        <v>4.5033999999999998E-2</v>
      </c>
      <c r="C91" s="83">
        <v>3663.9</v>
      </c>
      <c r="D91" s="83">
        <v>4159.3</v>
      </c>
      <c r="E91" s="82">
        <v>7.4066000000000001</v>
      </c>
      <c r="F91" s="82"/>
      <c r="G91" s="28"/>
      <c r="H91" s="28"/>
    </row>
    <row r="92" spans="1:8" ht="18.75" customHeight="1" x14ac:dyDescent="0.25">
      <c r="A92" s="7">
        <v>840</v>
      </c>
      <c r="B92" s="85">
        <v>4.5936999999999999E-2</v>
      </c>
      <c r="C92" s="83">
        <v>3703.5</v>
      </c>
      <c r="D92" s="83">
        <v>4208.8</v>
      </c>
      <c r="E92" s="82">
        <v>7.4515000000000002</v>
      </c>
      <c r="F92" s="82"/>
      <c r="G92" s="28"/>
      <c r="H92" s="28"/>
    </row>
    <row r="93" spans="1:8" ht="18.75" customHeight="1" x14ac:dyDescent="0.25">
      <c r="A93" s="7">
        <v>860</v>
      </c>
      <c r="B93" s="85">
        <v>4.6836999999999997E-2</v>
      </c>
      <c r="C93" s="83">
        <v>3743.3</v>
      </c>
      <c r="D93" s="83">
        <v>4258.5</v>
      </c>
      <c r="E93" s="82">
        <v>7.4958</v>
      </c>
      <c r="F93" s="82"/>
      <c r="G93" s="28"/>
      <c r="H93" s="28"/>
    </row>
    <row r="94" spans="1:8" ht="18.75" customHeight="1" x14ac:dyDescent="0.25">
      <c r="A94" s="7">
        <v>880</v>
      </c>
      <c r="B94" s="85">
        <v>4.7732999999999998E-2</v>
      </c>
      <c r="C94" s="83">
        <v>3783.2</v>
      </c>
      <c r="D94" s="83">
        <v>4308.3</v>
      </c>
      <c r="E94" s="82">
        <v>7.5393999999999997</v>
      </c>
      <c r="F94" s="82"/>
      <c r="G94" s="28"/>
      <c r="H94" s="28"/>
    </row>
    <row r="95" spans="1:8" ht="18.75" customHeight="1" x14ac:dyDescent="0.25">
      <c r="A95" s="7">
        <v>900</v>
      </c>
      <c r="B95" s="85">
        <v>4.8625000000000002E-2</v>
      </c>
      <c r="C95" s="83">
        <v>3823.4</v>
      </c>
      <c r="D95" s="83">
        <v>4358.3</v>
      </c>
      <c r="E95" s="82">
        <v>7.5823999999999998</v>
      </c>
      <c r="F95" s="82"/>
      <c r="G95" s="28"/>
      <c r="H95" s="28"/>
    </row>
    <row r="96" spans="1:8" ht="18.75" customHeight="1" x14ac:dyDescent="0.25">
      <c r="A96" s="7">
        <v>920</v>
      </c>
      <c r="B96" s="85">
        <v>4.9515000000000003E-2</v>
      </c>
      <c r="C96" s="83">
        <v>3863.8</v>
      </c>
      <c r="D96" s="83">
        <v>4408.5</v>
      </c>
      <c r="E96" s="82">
        <v>7.6246999999999998</v>
      </c>
      <c r="F96" s="82"/>
      <c r="G96" s="28"/>
      <c r="H96" s="28"/>
    </row>
    <row r="97" spans="1:8" ht="18.75" customHeight="1" x14ac:dyDescent="0.25">
      <c r="A97" s="7">
        <v>940</v>
      </c>
      <c r="B97" s="85">
        <v>5.0402000000000002E-2</v>
      </c>
      <c r="C97" s="83">
        <v>3904.4</v>
      </c>
      <c r="D97" s="83">
        <v>4458.8</v>
      </c>
      <c r="E97" s="82">
        <v>7.6665999999999999</v>
      </c>
      <c r="F97" s="82"/>
      <c r="G97" s="28"/>
      <c r="H97" s="28"/>
    </row>
    <row r="98" spans="1:8" ht="18.75" customHeight="1" x14ac:dyDescent="0.25">
      <c r="A98" s="7">
        <v>960</v>
      </c>
      <c r="B98" s="85">
        <v>5.1286999999999999E-2</v>
      </c>
      <c r="C98" s="83">
        <v>3945.1</v>
      </c>
      <c r="D98" s="83">
        <v>4509.3</v>
      </c>
      <c r="E98" s="82">
        <v>7.7079000000000004</v>
      </c>
      <c r="F98" s="82"/>
      <c r="G98" s="28"/>
      <c r="H98" s="28"/>
    </row>
    <row r="99" spans="1:8" ht="18.75" customHeight="1" x14ac:dyDescent="0.25">
      <c r="A99" s="7">
        <v>980</v>
      </c>
      <c r="B99" s="85">
        <v>5.2169E-2</v>
      </c>
      <c r="C99" s="83">
        <v>3986.1</v>
      </c>
      <c r="D99" s="83">
        <v>4560</v>
      </c>
      <c r="E99" s="82">
        <v>7.7485999999999997</v>
      </c>
      <c r="F99" s="82"/>
      <c r="G99" s="28"/>
      <c r="H99" s="28"/>
    </row>
    <row r="100" spans="1:8" ht="18.75" customHeight="1" x14ac:dyDescent="0.25">
      <c r="A100" s="7">
        <v>1000</v>
      </c>
      <c r="B100" s="85">
        <v>5.3048999999999999E-2</v>
      </c>
      <c r="C100" s="83">
        <v>4027.4</v>
      </c>
      <c r="D100" s="83">
        <v>4610.8999999999996</v>
      </c>
      <c r="E100" s="82">
        <v>7.7888999999999999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H100"/>
  <sheetViews>
    <sheetView topLeftCell="A37" workbookViewId="0">
      <selection activeCell="A58" sqref="A58:XFD58"/>
    </sheetView>
  </sheetViews>
  <sheetFormatPr defaultRowHeight="13.2" x14ac:dyDescent="0.25"/>
  <cols>
    <col min="1" max="1" width="8.88671875" customWidth="1"/>
    <col min="2" max="2" width="9.21875" customWidth="1"/>
    <col min="3" max="3" width="6.6640625" customWidth="1"/>
    <col min="4" max="4" width="8.21875" customWidth="1"/>
    <col min="5" max="5" width="9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206" t="s">
        <v>91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12000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112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9.9422000000000009E-4</v>
      </c>
      <c r="C5" s="80">
        <v>0.14000000000000001</v>
      </c>
      <c r="D5" s="80">
        <v>12.07</v>
      </c>
      <c r="E5" s="81">
        <v>3.8999999999999999E-4</v>
      </c>
      <c r="F5" s="81"/>
      <c r="G5" s="47"/>
      <c r="H5" s="47"/>
    </row>
    <row r="6" spans="1:8" ht="18.75" customHeight="1" x14ac:dyDescent="0.25">
      <c r="A6" s="45">
        <v>5</v>
      </c>
      <c r="B6" s="79">
        <v>9.942900000000001E-4</v>
      </c>
      <c r="C6" s="80">
        <v>20.94</v>
      </c>
      <c r="D6" s="80">
        <v>32.869999999999997</v>
      </c>
      <c r="E6" s="81">
        <v>7.5850000000000001E-2</v>
      </c>
      <c r="F6" s="81"/>
      <c r="G6" s="47"/>
      <c r="H6" s="47"/>
    </row>
    <row r="7" spans="1:8" ht="18.75" customHeight="1" x14ac:dyDescent="0.25">
      <c r="A7" s="45">
        <v>10</v>
      </c>
      <c r="B7" s="79">
        <v>9.9471E-4</v>
      </c>
      <c r="C7" s="80">
        <v>41.7</v>
      </c>
      <c r="D7" s="80">
        <v>53.64</v>
      </c>
      <c r="E7" s="81">
        <v>0.14987</v>
      </c>
      <c r="F7" s="81"/>
      <c r="G7" s="47"/>
      <c r="H7" s="47"/>
    </row>
    <row r="8" spans="1:8" ht="18.75" customHeight="1" x14ac:dyDescent="0.25">
      <c r="A8" s="45">
        <v>15</v>
      </c>
      <c r="B8" s="79">
        <v>9.9543000000000006E-4</v>
      </c>
      <c r="C8" s="80">
        <v>62.45</v>
      </c>
      <c r="D8" s="80">
        <v>74.400000000000006</v>
      </c>
      <c r="E8" s="81">
        <v>0.22252</v>
      </c>
      <c r="F8" s="81"/>
      <c r="G8" s="47"/>
      <c r="H8" s="47"/>
    </row>
    <row r="9" spans="1:8" ht="18.75" customHeight="1" x14ac:dyDescent="0.25">
      <c r="A9" s="45">
        <v>20</v>
      </c>
      <c r="B9" s="79">
        <v>9.9642000000000003E-4</v>
      </c>
      <c r="C9" s="80">
        <v>83.18</v>
      </c>
      <c r="D9" s="80">
        <v>95.14</v>
      </c>
      <c r="E9" s="81">
        <v>0.29389999999999999</v>
      </c>
      <c r="F9" s="81"/>
      <c r="G9" s="47"/>
      <c r="H9" s="47"/>
    </row>
    <row r="10" spans="1:8" ht="18.75" customHeight="1" x14ac:dyDescent="0.25">
      <c r="A10" s="45">
        <v>25</v>
      </c>
      <c r="B10" s="79">
        <v>9.9766000000000004E-4</v>
      </c>
      <c r="C10" s="80">
        <v>103.92</v>
      </c>
      <c r="D10" s="80">
        <v>115.89</v>
      </c>
      <c r="E10" s="81">
        <v>0.36405999999999999</v>
      </c>
      <c r="F10" s="81"/>
      <c r="G10" s="47"/>
      <c r="H10" s="47"/>
    </row>
    <row r="11" spans="1:8" ht="18.75" customHeight="1" x14ac:dyDescent="0.25">
      <c r="A11" s="45">
        <v>30</v>
      </c>
      <c r="B11" s="79">
        <v>9.991100000000001E-4</v>
      </c>
      <c r="C11" s="80">
        <v>124.64</v>
      </c>
      <c r="D11" s="80">
        <v>136.63</v>
      </c>
      <c r="E11" s="81">
        <v>0.43304999999999999</v>
      </c>
      <c r="F11" s="81"/>
      <c r="G11" s="47"/>
      <c r="H11" s="47"/>
    </row>
    <row r="12" spans="1:8" ht="18.75" customHeight="1" x14ac:dyDescent="0.25">
      <c r="A12" s="45">
        <v>35</v>
      </c>
      <c r="B12" s="79">
        <v>1.0007799999999999E-3</v>
      </c>
      <c r="C12" s="80">
        <v>145.36000000000001</v>
      </c>
      <c r="D12" s="80">
        <v>157.37</v>
      </c>
      <c r="E12" s="81">
        <v>0.50092999999999999</v>
      </c>
      <c r="F12" s="81"/>
      <c r="G12" s="47"/>
      <c r="H12" s="47"/>
    </row>
    <row r="13" spans="1:8" ht="18.75" customHeight="1" x14ac:dyDescent="0.25">
      <c r="A13" s="45">
        <v>40</v>
      </c>
      <c r="B13" s="79">
        <v>1.00263E-3</v>
      </c>
      <c r="C13" s="80">
        <v>166.1</v>
      </c>
      <c r="D13" s="80">
        <v>178.13</v>
      </c>
      <c r="E13" s="81">
        <v>0.56772999999999996</v>
      </c>
      <c r="F13" s="81"/>
      <c r="G13" s="47"/>
      <c r="H13" s="47"/>
    </row>
    <row r="14" spans="1:8" ht="18.75" customHeight="1" x14ac:dyDescent="0.25">
      <c r="A14" s="45">
        <v>45</v>
      </c>
      <c r="B14" s="79">
        <v>1.00467E-3</v>
      </c>
      <c r="C14" s="80">
        <v>186.83</v>
      </c>
      <c r="D14" s="80">
        <v>198.89</v>
      </c>
      <c r="E14" s="81">
        <v>0.63349999999999995</v>
      </c>
      <c r="F14" s="81"/>
      <c r="G14" s="47"/>
      <c r="H14" s="47"/>
    </row>
    <row r="15" spans="1:8" ht="18.75" customHeight="1" x14ac:dyDescent="0.25">
      <c r="A15" s="45">
        <v>50</v>
      </c>
      <c r="B15" s="79">
        <v>1.0068900000000001E-3</v>
      </c>
      <c r="C15" s="80">
        <v>207.58</v>
      </c>
      <c r="D15" s="80">
        <v>219.66</v>
      </c>
      <c r="E15" s="81">
        <v>0.69828000000000001</v>
      </c>
      <c r="F15" s="81"/>
      <c r="G15" s="47"/>
      <c r="H15" s="47"/>
    </row>
    <row r="16" spans="1:8" ht="18.75" customHeight="1" x14ac:dyDescent="0.25">
      <c r="A16" s="45">
        <v>55</v>
      </c>
      <c r="B16" s="79">
        <v>1.00927E-3</v>
      </c>
      <c r="C16" s="80">
        <v>228.33</v>
      </c>
      <c r="D16" s="80">
        <v>240.44</v>
      </c>
      <c r="E16" s="81">
        <v>0.76209000000000005</v>
      </c>
      <c r="F16" s="81"/>
      <c r="G16" s="47"/>
      <c r="H16" s="47"/>
    </row>
    <row r="17" spans="1:8" ht="18.75" customHeight="1" x14ac:dyDescent="0.25">
      <c r="A17" s="45">
        <v>60</v>
      </c>
      <c r="B17" s="79">
        <v>1.0118099999999999E-3</v>
      </c>
      <c r="C17" s="80">
        <v>249.09</v>
      </c>
      <c r="D17" s="80">
        <v>261.23</v>
      </c>
      <c r="E17" s="81">
        <v>0.82496999999999998</v>
      </c>
      <c r="F17" s="81"/>
      <c r="G17" s="47"/>
      <c r="H17" s="47"/>
    </row>
    <row r="18" spans="1:8" ht="18.75" customHeight="1" x14ac:dyDescent="0.25">
      <c r="A18" s="45">
        <v>65</v>
      </c>
      <c r="B18" s="79">
        <v>1.0145E-3</v>
      </c>
      <c r="C18" s="80">
        <v>269.86</v>
      </c>
      <c r="D18" s="80">
        <v>282.02999999999997</v>
      </c>
      <c r="E18" s="81">
        <v>0.88695000000000002</v>
      </c>
      <c r="F18" s="81"/>
      <c r="G18" s="47"/>
      <c r="H18" s="47"/>
    </row>
    <row r="19" spans="1:8" ht="18.75" customHeight="1" x14ac:dyDescent="0.25">
      <c r="A19" s="45">
        <v>70</v>
      </c>
      <c r="B19" s="79">
        <v>1.01735E-3</v>
      </c>
      <c r="C19" s="80">
        <v>290.64</v>
      </c>
      <c r="D19" s="80">
        <v>302.85000000000002</v>
      </c>
      <c r="E19" s="81">
        <v>0.94806000000000001</v>
      </c>
      <c r="F19" s="81"/>
      <c r="G19" s="47"/>
      <c r="H19" s="47"/>
    </row>
    <row r="20" spans="1:8" ht="18.75" customHeight="1" x14ac:dyDescent="0.25">
      <c r="A20" s="45">
        <v>75</v>
      </c>
      <c r="B20" s="79">
        <v>1.0203499999999999E-3</v>
      </c>
      <c r="C20" s="80">
        <v>311.44</v>
      </c>
      <c r="D20" s="80">
        <v>323.68</v>
      </c>
      <c r="E20" s="82">
        <v>1.0083</v>
      </c>
      <c r="F20" s="82"/>
      <c r="G20" s="47"/>
      <c r="H20" s="47"/>
    </row>
    <row r="21" spans="1:8" ht="18.75" customHeight="1" x14ac:dyDescent="0.25">
      <c r="A21" s="45">
        <v>80</v>
      </c>
      <c r="B21" s="79">
        <v>1.0234899999999999E-3</v>
      </c>
      <c r="C21" s="80">
        <v>332.25</v>
      </c>
      <c r="D21" s="80">
        <v>344.53</v>
      </c>
      <c r="E21" s="82">
        <v>1.0678000000000001</v>
      </c>
      <c r="F21" s="82"/>
      <c r="G21" s="47"/>
      <c r="H21" s="47"/>
    </row>
    <row r="22" spans="1:8" ht="18.75" customHeight="1" x14ac:dyDescent="0.25">
      <c r="A22" s="45">
        <v>85</v>
      </c>
      <c r="B22" s="79">
        <v>1.0267799999999999E-3</v>
      </c>
      <c r="C22" s="80">
        <v>353.08</v>
      </c>
      <c r="D22" s="80">
        <v>365.4</v>
      </c>
      <c r="E22" s="82">
        <v>1.1265000000000001</v>
      </c>
      <c r="F22" s="82"/>
      <c r="G22" s="47"/>
      <c r="H22" s="47"/>
    </row>
    <row r="23" spans="1:8" ht="18.75" customHeight="1" x14ac:dyDescent="0.25">
      <c r="A23" s="45">
        <v>90</v>
      </c>
      <c r="B23" s="79">
        <v>1.0302099999999999E-3</v>
      </c>
      <c r="C23" s="80">
        <v>373.92</v>
      </c>
      <c r="D23" s="80">
        <v>386.28</v>
      </c>
      <c r="E23" s="82">
        <v>1.1843999999999999</v>
      </c>
      <c r="F23" s="82"/>
      <c r="G23" s="47"/>
      <c r="H23" s="47"/>
    </row>
    <row r="24" spans="1:8" ht="18.75" customHeight="1" x14ac:dyDescent="0.25">
      <c r="A24" s="45">
        <v>95</v>
      </c>
      <c r="B24" s="79">
        <v>1.0337899999999999E-3</v>
      </c>
      <c r="C24" s="80">
        <v>394.78</v>
      </c>
      <c r="D24" s="80">
        <v>407.19</v>
      </c>
      <c r="E24" s="82">
        <v>1.2416</v>
      </c>
      <c r="F24" s="82"/>
      <c r="G24" s="47"/>
      <c r="H24" s="47"/>
    </row>
    <row r="25" spans="1:8" ht="18.75" customHeight="1" x14ac:dyDescent="0.25">
      <c r="A25" s="45">
        <v>100</v>
      </c>
      <c r="B25" s="79">
        <v>1.03751E-3</v>
      </c>
      <c r="C25" s="80">
        <v>415.67</v>
      </c>
      <c r="D25" s="80">
        <v>428.12</v>
      </c>
      <c r="E25" s="82">
        <v>1.298</v>
      </c>
      <c r="F25" s="82"/>
      <c r="G25" s="47"/>
      <c r="H25" s="47"/>
    </row>
    <row r="26" spans="1:8" ht="18.75" customHeight="1" x14ac:dyDescent="0.25">
      <c r="A26" s="45">
        <v>105</v>
      </c>
      <c r="B26" s="79">
        <v>1.04138E-3</v>
      </c>
      <c r="C26" s="80">
        <v>436.58</v>
      </c>
      <c r="D26" s="80">
        <v>449.08</v>
      </c>
      <c r="E26" s="82">
        <v>1.3537999999999999</v>
      </c>
      <c r="F26" s="82"/>
      <c r="G26" s="47"/>
      <c r="H26" s="47"/>
    </row>
    <row r="27" spans="1:8" ht="18.75" customHeight="1" x14ac:dyDescent="0.25">
      <c r="A27" s="45">
        <v>110</v>
      </c>
      <c r="B27" s="79">
        <v>1.0453800000000001E-3</v>
      </c>
      <c r="C27" s="80">
        <v>457.53</v>
      </c>
      <c r="D27" s="80">
        <v>470.07</v>
      </c>
      <c r="E27" s="82">
        <v>1.409</v>
      </c>
      <c r="F27" s="82"/>
      <c r="G27" s="47"/>
      <c r="H27" s="47"/>
    </row>
    <row r="28" spans="1:8" ht="18.75" customHeight="1" x14ac:dyDescent="0.25">
      <c r="A28" s="45">
        <v>115</v>
      </c>
      <c r="B28" s="79">
        <v>1.0495400000000001E-3</v>
      </c>
      <c r="C28" s="80">
        <v>478.5</v>
      </c>
      <c r="D28" s="80">
        <v>491.09</v>
      </c>
      <c r="E28" s="82">
        <v>1.4635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1.0538399999999999E-3</v>
      </c>
      <c r="C29" s="80">
        <v>499.5</v>
      </c>
      <c r="D29" s="80">
        <v>512.15</v>
      </c>
      <c r="E29" s="82">
        <v>1.5174000000000001</v>
      </c>
      <c r="F29" s="82"/>
      <c r="G29" s="47"/>
      <c r="H29" s="47"/>
    </row>
    <row r="30" spans="1:8" ht="18.75" customHeight="1" x14ac:dyDescent="0.25">
      <c r="A30" s="45">
        <v>125</v>
      </c>
      <c r="B30" s="79">
        <v>1.0583000000000001E-3</v>
      </c>
      <c r="C30" s="80">
        <v>520.54</v>
      </c>
      <c r="D30" s="80">
        <v>533.24</v>
      </c>
      <c r="E30" s="82">
        <v>1.5707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1.06291E-3</v>
      </c>
      <c r="C31" s="80">
        <v>541.62</v>
      </c>
      <c r="D31" s="80">
        <v>554.37</v>
      </c>
      <c r="E31" s="82">
        <v>1.6234</v>
      </c>
      <c r="F31" s="82"/>
      <c r="G31" s="47"/>
      <c r="H31" s="47"/>
    </row>
    <row r="32" spans="1:8" ht="18.75" customHeight="1" x14ac:dyDescent="0.25">
      <c r="A32" s="45">
        <v>135</v>
      </c>
      <c r="B32" s="79">
        <v>1.0676699999999999E-3</v>
      </c>
      <c r="C32" s="80">
        <v>562.74</v>
      </c>
      <c r="D32" s="80">
        <v>575.54999999999995</v>
      </c>
      <c r="E32" s="82">
        <v>1.6756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1.07259E-3</v>
      </c>
      <c r="C33" s="80">
        <v>583.9</v>
      </c>
      <c r="D33" s="80">
        <v>596.77</v>
      </c>
      <c r="E33" s="82">
        <v>1.7273000000000001</v>
      </c>
      <c r="F33" s="82"/>
      <c r="G33" s="47"/>
      <c r="H33" s="47"/>
    </row>
    <row r="34" spans="1:8" ht="18.75" customHeight="1" x14ac:dyDescent="0.25">
      <c r="A34" s="45">
        <v>145</v>
      </c>
      <c r="B34" s="79">
        <v>1.0776799999999999E-3</v>
      </c>
      <c r="C34" s="80">
        <v>605.11</v>
      </c>
      <c r="D34" s="80">
        <v>618.04</v>
      </c>
      <c r="E34" s="82">
        <v>1.7785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1.0829399999999999E-3</v>
      </c>
      <c r="C35" s="80">
        <v>626.37</v>
      </c>
      <c r="D35" s="80">
        <v>639.37</v>
      </c>
      <c r="E35" s="82">
        <v>1.8291999999999999</v>
      </c>
      <c r="F35" s="82"/>
      <c r="G35" s="47"/>
      <c r="H35" s="47"/>
    </row>
    <row r="36" spans="1:8" ht="18.75" customHeight="1" x14ac:dyDescent="0.25">
      <c r="A36" s="45">
        <v>155</v>
      </c>
      <c r="B36" s="79">
        <v>1.08837E-3</v>
      </c>
      <c r="C36" s="80">
        <v>647.70000000000005</v>
      </c>
      <c r="D36" s="80">
        <v>660.76</v>
      </c>
      <c r="E36" s="82">
        <v>1.8794</v>
      </c>
      <c r="F36" s="82"/>
      <c r="G36" s="47"/>
      <c r="H36" s="47"/>
    </row>
    <row r="37" spans="1:8" ht="18.75" customHeight="1" x14ac:dyDescent="0.25">
      <c r="A37" s="45">
        <v>160</v>
      </c>
      <c r="B37" s="79">
        <v>1.09398E-3</v>
      </c>
      <c r="C37" s="80">
        <v>669.08</v>
      </c>
      <c r="D37" s="80">
        <v>682.21</v>
      </c>
      <c r="E37" s="82">
        <v>1.9293</v>
      </c>
      <c r="F37" s="82"/>
      <c r="G37" s="47"/>
      <c r="H37" s="47"/>
    </row>
    <row r="38" spans="1:8" ht="18.75" customHeight="1" x14ac:dyDescent="0.25">
      <c r="A38" s="45">
        <v>165</v>
      </c>
      <c r="B38" s="79">
        <v>1.0997800000000001E-3</v>
      </c>
      <c r="C38" s="80">
        <v>690.52</v>
      </c>
      <c r="D38" s="80">
        <v>703.72</v>
      </c>
      <c r="E38" s="82">
        <v>1.9785999999999999</v>
      </c>
      <c r="F38" s="82"/>
      <c r="G38" s="47"/>
      <c r="H38" s="47"/>
    </row>
    <row r="39" spans="1:8" ht="18.75" customHeight="1" x14ac:dyDescent="0.25">
      <c r="A39" s="45">
        <v>170</v>
      </c>
      <c r="B39" s="79">
        <v>1.1057700000000001E-3</v>
      </c>
      <c r="C39" s="80">
        <v>712.04</v>
      </c>
      <c r="D39" s="80">
        <v>725.31</v>
      </c>
      <c r="E39" s="82">
        <v>2.0276000000000001</v>
      </c>
      <c r="F39" s="82"/>
      <c r="G39" s="47"/>
      <c r="H39" s="47"/>
    </row>
    <row r="40" spans="1:8" ht="18.75" customHeight="1" x14ac:dyDescent="0.25">
      <c r="A40" s="45">
        <v>175</v>
      </c>
      <c r="B40" s="79">
        <v>1.1119700000000001E-3</v>
      </c>
      <c r="C40" s="80">
        <v>733.64</v>
      </c>
      <c r="D40" s="80">
        <v>746.98</v>
      </c>
      <c r="E40" s="82">
        <v>2.0762999999999998</v>
      </c>
      <c r="F40" s="82"/>
      <c r="G40" s="47"/>
      <c r="H40" s="47"/>
    </row>
    <row r="41" spans="1:8" ht="18.75" customHeight="1" x14ac:dyDescent="0.25">
      <c r="A41" s="45">
        <v>180</v>
      </c>
      <c r="B41" s="79">
        <v>1.11837E-3</v>
      </c>
      <c r="C41" s="80">
        <v>755.31</v>
      </c>
      <c r="D41" s="80">
        <v>768.73</v>
      </c>
      <c r="E41" s="82">
        <v>2.1244999999999998</v>
      </c>
      <c r="F41" s="82"/>
      <c r="G41" s="47"/>
      <c r="H41" s="47"/>
    </row>
    <row r="42" spans="1:8" ht="18.75" customHeight="1" x14ac:dyDescent="0.25">
      <c r="A42" s="45">
        <v>185</v>
      </c>
      <c r="B42" s="79">
        <v>1.1249999999999999E-3</v>
      </c>
      <c r="C42" s="80">
        <v>777.07</v>
      </c>
      <c r="D42" s="80">
        <v>790.57</v>
      </c>
      <c r="E42" s="82">
        <v>2.1724000000000001</v>
      </c>
      <c r="F42" s="82"/>
      <c r="G42" s="47"/>
      <c r="H42" s="47"/>
    </row>
    <row r="43" spans="1:8" ht="18.75" customHeight="1" x14ac:dyDescent="0.25">
      <c r="A43" s="45">
        <v>190</v>
      </c>
      <c r="B43" s="79">
        <v>1.13185E-3</v>
      </c>
      <c r="C43" s="80">
        <v>798.92</v>
      </c>
      <c r="D43" s="80">
        <v>812.5</v>
      </c>
      <c r="E43" s="82">
        <v>2.2201</v>
      </c>
      <c r="F43" s="82"/>
      <c r="G43" s="47"/>
      <c r="H43" s="47"/>
    </row>
    <row r="44" spans="1:8" ht="18.75" customHeight="1" x14ac:dyDescent="0.25">
      <c r="A44" s="45">
        <v>195</v>
      </c>
      <c r="B44" s="79">
        <v>1.1389499999999999E-3</v>
      </c>
      <c r="C44" s="80">
        <v>820.86</v>
      </c>
      <c r="D44" s="80">
        <v>834.53</v>
      </c>
      <c r="E44" s="82">
        <v>2.2673999999999999</v>
      </c>
      <c r="F44" s="82"/>
      <c r="G44" s="47"/>
      <c r="H44" s="47"/>
    </row>
    <row r="45" spans="1:8" ht="18.75" customHeight="1" x14ac:dyDescent="0.25">
      <c r="A45" s="45">
        <v>200</v>
      </c>
      <c r="B45" s="79">
        <v>1.1463000000000001E-3</v>
      </c>
      <c r="C45" s="80">
        <v>842.91</v>
      </c>
      <c r="D45" s="80">
        <v>856.67</v>
      </c>
      <c r="E45" s="82">
        <v>2.3144</v>
      </c>
      <c r="F45" s="82"/>
      <c r="G45" s="47"/>
      <c r="H45" s="47"/>
    </row>
    <row r="46" spans="1:8" ht="18.75" customHeight="1" x14ac:dyDescent="0.25">
      <c r="A46" s="45">
        <v>210</v>
      </c>
      <c r="B46" s="79">
        <v>1.16182E-3</v>
      </c>
      <c r="C46" s="80">
        <v>887.35</v>
      </c>
      <c r="D46" s="80">
        <v>901.29</v>
      </c>
      <c r="E46" s="82">
        <v>2.4077000000000002</v>
      </c>
      <c r="F46" s="82"/>
      <c r="G46" s="47"/>
      <c r="H46" s="47"/>
    </row>
    <row r="47" spans="1:8" ht="18.75" customHeight="1" x14ac:dyDescent="0.25">
      <c r="A47" s="45">
        <v>220</v>
      </c>
      <c r="B47" s="79">
        <v>1.17855E-3</v>
      </c>
      <c r="C47" s="80">
        <v>932.3</v>
      </c>
      <c r="D47" s="80">
        <v>946.44</v>
      </c>
      <c r="E47" s="82">
        <v>2.5002</v>
      </c>
      <c r="F47" s="82"/>
      <c r="G47" s="47"/>
      <c r="H47" s="47"/>
    </row>
    <row r="48" spans="1:8" ht="18.75" customHeight="1" x14ac:dyDescent="0.25">
      <c r="A48" s="45">
        <v>230</v>
      </c>
      <c r="B48" s="79">
        <v>1.1966500000000001E-3</v>
      </c>
      <c r="C48" s="80">
        <v>977.84</v>
      </c>
      <c r="D48" s="80">
        <v>992.2</v>
      </c>
      <c r="E48" s="82">
        <v>2.5920999999999998</v>
      </c>
      <c r="F48" s="82"/>
      <c r="G48" s="47"/>
      <c r="H48" s="47"/>
    </row>
    <row r="49" spans="1:8" ht="18.75" customHeight="1" x14ac:dyDescent="0.25">
      <c r="A49" s="45">
        <v>240</v>
      </c>
      <c r="B49" s="79">
        <v>1.2163300000000001E-3</v>
      </c>
      <c r="C49" s="83">
        <v>1024</v>
      </c>
      <c r="D49" s="83">
        <v>1038.5999999999999</v>
      </c>
      <c r="E49" s="82">
        <v>2.6835</v>
      </c>
      <c r="F49" s="82"/>
      <c r="G49" s="47"/>
      <c r="H49" s="47"/>
    </row>
    <row r="50" spans="1:8" ht="18.75" customHeight="1" x14ac:dyDescent="0.25">
      <c r="A50" s="45">
        <v>250</v>
      </c>
      <c r="B50" s="79">
        <v>1.2378300000000001E-3</v>
      </c>
      <c r="C50" s="83">
        <v>1071</v>
      </c>
      <c r="D50" s="83">
        <v>1085.9000000000001</v>
      </c>
      <c r="E50" s="82">
        <v>2.7747000000000002</v>
      </c>
      <c r="F50" s="82"/>
      <c r="G50" s="47"/>
      <c r="H50" s="47"/>
    </row>
    <row r="51" spans="1:8" ht="18.75" customHeight="1" x14ac:dyDescent="0.25">
      <c r="A51" s="45">
        <v>260</v>
      </c>
      <c r="B51" s="79">
        <v>1.2615E-3</v>
      </c>
      <c r="C51" s="83">
        <v>1119</v>
      </c>
      <c r="D51" s="83">
        <v>1134.0999999999999</v>
      </c>
      <c r="E51" s="82">
        <v>2.8660000000000001</v>
      </c>
      <c r="F51" s="82"/>
      <c r="G51" s="47"/>
      <c r="H51" s="47"/>
    </row>
    <row r="52" spans="1:8" ht="18.75" customHeight="1" x14ac:dyDescent="0.25">
      <c r="A52" s="45">
        <v>270</v>
      </c>
      <c r="B52" s="79">
        <v>1.2877800000000001E-3</v>
      </c>
      <c r="C52" s="83">
        <v>1167.9000000000001</v>
      </c>
      <c r="D52" s="83">
        <v>1183.4000000000001</v>
      </c>
      <c r="E52" s="82">
        <v>2.9575999999999998</v>
      </c>
      <c r="F52" s="82"/>
      <c r="G52" s="47"/>
      <c r="H52" s="47"/>
    </row>
    <row r="53" spans="1:8" ht="18.75" customHeight="1" x14ac:dyDescent="0.25">
      <c r="A53" s="45">
        <v>280</v>
      </c>
      <c r="B53" s="79">
        <v>1.3172699999999999E-3</v>
      </c>
      <c r="C53" s="83">
        <v>1218.3</v>
      </c>
      <c r="D53" s="83">
        <v>1234.0999999999999</v>
      </c>
      <c r="E53" s="82">
        <v>3.0501</v>
      </c>
      <c r="F53" s="82"/>
      <c r="G53" s="47"/>
      <c r="H53" s="47"/>
    </row>
    <row r="54" spans="1:8" ht="18.75" customHeight="1" x14ac:dyDescent="0.25">
      <c r="A54" s="45">
        <v>290</v>
      </c>
      <c r="B54" s="79">
        <v>1.3508299999999999E-3</v>
      </c>
      <c r="C54" s="83">
        <v>1270.4000000000001</v>
      </c>
      <c r="D54" s="83">
        <v>1286.5999999999999</v>
      </c>
      <c r="E54" s="82">
        <v>3.1440000000000001</v>
      </c>
      <c r="F54" s="82"/>
      <c r="G54" s="47"/>
      <c r="H54" s="47"/>
    </row>
    <row r="55" spans="1:8" ht="18.75" customHeight="1" x14ac:dyDescent="0.25">
      <c r="A55" s="45">
        <v>300</v>
      </c>
      <c r="B55" s="79">
        <v>1.3897600000000001E-3</v>
      </c>
      <c r="C55" s="83">
        <v>1324.5</v>
      </c>
      <c r="D55" s="83">
        <v>1341.2</v>
      </c>
      <c r="E55" s="82">
        <v>3.2401</v>
      </c>
      <c r="F55" s="82"/>
      <c r="G55" s="47"/>
      <c r="H55" s="47"/>
    </row>
    <row r="56" spans="1:8" ht="18.75" customHeight="1" x14ac:dyDescent="0.25">
      <c r="A56" s="45">
        <v>310</v>
      </c>
      <c r="B56" s="79">
        <v>1.4361300000000001E-3</v>
      </c>
      <c r="C56" s="83">
        <v>1381.5</v>
      </c>
      <c r="D56" s="83">
        <v>1398.7</v>
      </c>
      <c r="E56" s="82">
        <v>3.3397000000000001</v>
      </c>
      <c r="F56" s="82"/>
      <c r="G56" s="47"/>
      <c r="H56" s="47"/>
    </row>
    <row r="57" spans="1:8" ht="18.75" customHeight="1" x14ac:dyDescent="0.25">
      <c r="A57" s="45">
        <v>320</v>
      </c>
      <c r="B57" s="79">
        <v>1.49366E-3</v>
      </c>
      <c r="C57" s="83">
        <v>1442.6</v>
      </c>
      <c r="D57" s="83">
        <v>1460.5</v>
      </c>
      <c r="E57" s="82">
        <v>3.4447000000000001</v>
      </c>
      <c r="F57" s="82"/>
      <c r="G57" s="47"/>
      <c r="H57" s="47"/>
    </row>
    <row r="58" spans="1:8" ht="18.75" customHeight="1" x14ac:dyDescent="0.25">
      <c r="A58" s="45">
        <v>330</v>
      </c>
      <c r="B58" s="85">
        <v>1.5021E-2</v>
      </c>
      <c r="C58" s="83">
        <v>2547.9</v>
      </c>
      <c r="D58" s="83">
        <v>2728.2</v>
      </c>
      <c r="E58" s="82">
        <v>5.5651000000000002</v>
      </c>
      <c r="F58" s="82"/>
      <c r="G58" s="47"/>
      <c r="H58" s="47"/>
    </row>
    <row r="59" spans="1:8" ht="18.75" customHeight="1" x14ac:dyDescent="0.25">
      <c r="A59" s="45">
        <v>340</v>
      </c>
      <c r="B59" s="85">
        <v>1.6209999999999999E-2</v>
      </c>
      <c r="C59" s="83">
        <v>2599.1</v>
      </c>
      <c r="D59" s="83">
        <v>2793.6</v>
      </c>
      <c r="E59" s="82">
        <v>5.6726999999999999</v>
      </c>
      <c r="F59" s="82"/>
      <c r="G59" s="47"/>
      <c r="H59" s="47"/>
    </row>
    <row r="60" spans="1:8" ht="18.75" customHeight="1" x14ac:dyDescent="0.25">
      <c r="A60" s="45">
        <v>350</v>
      </c>
      <c r="B60" s="85">
        <v>1.7221E-2</v>
      </c>
      <c r="C60" s="83">
        <v>2641.4</v>
      </c>
      <c r="D60" s="83">
        <v>2848.1</v>
      </c>
      <c r="E60" s="82">
        <v>5.7609000000000004</v>
      </c>
      <c r="F60" s="82"/>
      <c r="G60" s="47"/>
      <c r="H60" s="47"/>
    </row>
    <row r="61" spans="1:8" ht="18.75" customHeight="1" x14ac:dyDescent="0.25">
      <c r="A61" s="45">
        <v>360</v>
      </c>
      <c r="B61" s="85">
        <v>1.8121000000000002E-2</v>
      </c>
      <c r="C61" s="83">
        <v>2678.4</v>
      </c>
      <c r="D61" s="83">
        <v>2895.9</v>
      </c>
      <c r="E61" s="82">
        <v>5.8371000000000004</v>
      </c>
      <c r="F61" s="82"/>
      <c r="G61" s="47"/>
      <c r="H61" s="47"/>
    </row>
    <row r="62" spans="1:8" ht="18.75" customHeight="1" x14ac:dyDescent="0.25">
      <c r="A62" s="45">
        <v>370</v>
      </c>
      <c r="B62" s="85">
        <v>1.8943000000000002E-2</v>
      </c>
      <c r="C62" s="83">
        <v>2711.9</v>
      </c>
      <c r="D62" s="83">
        <v>2939.2</v>
      </c>
      <c r="E62" s="82">
        <v>5.9048999999999996</v>
      </c>
      <c r="F62" s="82"/>
      <c r="G62" s="47"/>
      <c r="H62" s="47"/>
    </row>
    <row r="63" spans="1:8" ht="18.75" customHeight="1" x14ac:dyDescent="0.25">
      <c r="A63" s="45">
        <v>380</v>
      </c>
      <c r="B63" s="85">
        <v>1.9706000000000001E-2</v>
      </c>
      <c r="C63" s="83">
        <v>2742.7</v>
      </c>
      <c r="D63" s="83">
        <v>2979.2</v>
      </c>
      <c r="E63" s="82">
        <v>5.9664999999999999</v>
      </c>
      <c r="F63" s="82"/>
      <c r="G63" s="47"/>
      <c r="H63" s="47"/>
    </row>
    <row r="64" spans="1:8" ht="18.75" customHeight="1" x14ac:dyDescent="0.25">
      <c r="A64" s="45">
        <v>390</v>
      </c>
      <c r="B64" s="85">
        <v>2.0424000000000001E-2</v>
      </c>
      <c r="C64" s="83">
        <v>2771.5</v>
      </c>
      <c r="D64" s="83">
        <v>3016.6</v>
      </c>
      <c r="E64" s="82">
        <v>6.0233999999999996</v>
      </c>
      <c r="F64" s="82"/>
      <c r="G64" s="47"/>
      <c r="H64" s="47"/>
    </row>
    <row r="65" spans="1:8" ht="18.75" customHeight="1" x14ac:dyDescent="0.25">
      <c r="A65" s="45">
        <v>400</v>
      </c>
      <c r="B65" s="85">
        <v>2.1106E-2</v>
      </c>
      <c r="C65" s="83">
        <v>2798.7</v>
      </c>
      <c r="D65" s="83">
        <v>3052</v>
      </c>
      <c r="E65" s="82">
        <v>6.0763999999999996</v>
      </c>
      <c r="F65" s="82"/>
      <c r="G65" s="47"/>
      <c r="H65" s="47"/>
    </row>
    <row r="66" spans="1:8" ht="18.75" customHeight="1" x14ac:dyDescent="0.25">
      <c r="A66" s="45">
        <v>410</v>
      </c>
      <c r="B66" s="85">
        <v>2.1758E-2</v>
      </c>
      <c r="C66" s="83">
        <v>2824.7</v>
      </c>
      <c r="D66" s="83">
        <v>3085.8</v>
      </c>
      <c r="E66" s="82">
        <v>6.1261999999999999</v>
      </c>
      <c r="F66" s="82"/>
      <c r="G66" s="47"/>
      <c r="H66" s="47"/>
    </row>
    <row r="67" spans="1:8" ht="18.75" customHeight="1" x14ac:dyDescent="0.25">
      <c r="A67" s="45">
        <v>420</v>
      </c>
      <c r="B67" s="85">
        <v>2.2384999999999999E-2</v>
      </c>
      <c r="C67" s="83">
        <v>2849.7</v>
      </c>
      <c r="D67" s="83">
        <v>3118.3</v>
      </c>
      <c r="E67" s="82">
        <v>6.1734</v>
      </c>
      <c r="F67" s="82"/>
      <c r="G67" s="47"/>
      <c r="H67" s="47"/>
    </row>
    <row r="68" spans="1:8" ht="18.75" customHeight="1" x14ac:dyDescent="0.25">
      <c r="A68" s="45">
        <v>430</v>
      </c>
      <c r="B68" s="85">
        <v>2.299E-2</v>
      </c>
      <c r="C68" s="83">
        <v>2873.8</v>
      </c>
      <c r="D68" s="83">
        <v>3149.7</v>
      </c>
      <c r="E68" s="82">
        <v>6.2183999999999999</v>
      </c>
      <c r="F68" s="82"/>
      <c r="G68" s="47"/>
      <c r="H68" s="47"/>
    </row>
    <row r="69" spans="1:8" ht="18.75" customHeight="1" x14ac:dyDescent="0.25">
      <c r="A69" s="45">
        <v>440</v>
      </c>
      <c r="B69" s="85">
        <v>2.3577000000000001E-2</v>
      </c>
      <c r="C69" s="83">
        <v>2897.2</v>
      </c>
      <c r="D69" s="83">
        <v>3180.1</v>
      </c>
      <c r="E69" s="82">
        <v>6.2614000000000001</v>
      </c>
      <c r="F69" s="82"/>
      <c r="G69" s="47"/>
      <c r="H69" s="47"/>
    </row>
    <row r="70" spans="1:8" ht="18.75" customHeight="1" x14ac:dyDescent="0.25">
      <c r="A70" s="45">
        <v>450</v>
      </c>
      <c r="B70" s="85">
        <v>2.4149E-2</v>
      </c>
      <c r="C70" s="83">
        <v>2920</v>
      </c>
      <c r="D70" s="83">
        <v>3209.8</v>
      </c>
      <c r="E70" s="82">
        <v>6.3028000000000004</v>
      </c>
      <c r="F70" s="82"/>
      <c r="G70" s="47"/>
      <c r="H70" s="47"/>
    </row>
    <row r="71" spans="1:8" ht="18.75" customHeight="1" x14ac:dyDescent="0.25">
      <c r="A71" s="45">
        <v>460</v>
      </c>
      <c r="B71" s="85">
        <v>2.4707E-2</v>
      </c>
      <c r="C71" s="83">
        <v>2942.4</v>
      </c>
      <c r="D71" s="83">
        <v>3238.9</v>
      </c>
      <c r="E71" s="82">
        <v>6.3426999999999998</v>
      </c>
      <c r="F71" s="82"/>
      <c r="G71" s="47"/>
      <c r="H71" s="47"/>
    </row>
    <row r="72" spans="1:8" ht="18.75" customHeight="1" x14ac:dyDescent="0.25">
      <c r="A72" s="45">
        <v>470</v>
      </c>
      <c r="B72" s="85">
        <v>2.5252E-2</v>
      </c>
      <c r="C72" s="83">
        <v>2964.3</v>
      </c>
      <c r="D72" s="83">
        <v>3267.3</v>
      </c>
      <c r="E72" s="82">
        <v>6.3811999999999998</v>
      </c>
      <c r="F72" s="82"/>
      <c r="G72" s="47"/>
      <c r="H72" s="47"/>
    </row>
    <row r="73" spans="1:8" ht="18.75" customHeight="1" x14ac:dyDescent="0.25">
      <c r="A73" s="45">
        <v>480</v>
      </c>
      <c r="B73" s="85">
        <v>2.5787000000000001E-2</v>
      </c>
      <c r="C73" s="83">
        <v>2985.9</v>
      </c>
      <c r="D73" s="83">
        <v>3295.3</v>
      </c>
      <c r="E73" s="82">
        <v>6.4185999999999996</v>
      </c>
      <c r="F73" s="82"/>
      <c r="G73" s="47"/>
      <c r="H73" s="47"/>
    </row>
    <row r="74" spans="1:8" ht="18.75" customHeight="1" x14ac:dyDescent="0.25">
      <c r="A74" s="45">
        <v>490</v>
      </c>
      <c r="B74" s="85">
        <v>2.6311999999999999E-2</v>
      </c>
      <c r="C74" s="83">
        <v>3007.1</v>
      </c>
      <c r="D74" s="83">
        <v>3322.8</v>
      </c>
      <c r="E74" s="82">
        <v>6.4549000000000003</v>
      </c>
      <c r="F74" s="82"/>
      <c r="G74" s="47"/>
      <c r="H74" s="47"/>
    </row>
    <row r="75" spans="1:8" ht="18.75" customHeight="1" x14ac:dyDescent="0.25">
      <c r="A75" s="45">
        <v>500</v>
      </c>
      <c r="B75" s="85">
        <v>2.6828000000000001E-2</v>
      </c>
      <c r="C75" s="83">
        <v>3028.1</v>
      </c>
      <c r="D75" s="83">
        <v>3350</v>
      </c>
      <c r="E75" s="82">
        <v>6.4903000000000004</v>
      </c>
      <c r="F75" s="82"/>
      <c r="G75" s="47"/>
      <c r="H75" s="47"/>
    </row>
    <row r="76" spans="1:8" ht="18.75" customHeight="1" x14ac:dyDescent="0.25">
      <c r="A76" s="45">
        <v>520</v>
      </c>
      <c r="B76" s="85">
        <v>2.7837000000000001E-2</v>
      </c>
      <c r="C76" s="83">
        <v>3069.4</v>
      </c>
      <c r="D76" s="83">
        <v>3403.4</v>
      </c>
      <c r="E76" s="82">
        <v>6.5585000000000004</v>
      </c>
      <c r="F76" s="82"/>
      <c r="G76" s="47"/>
      <c r="H76" s="47"/>
    </row>
    <row r="77" spans="1:8" ht="18.75" customHeight="1" x14ac:dyDescent="0.25">
      <c r="A77" s="45">
        <v>540</v>
      </c>
      <c r="B77" s="85">
        <v>2.8820999999999999E-2</v>
      </c>
      <c r="C77" s="83">
        <v>3109.9</v>
      </c>
      <c r="D77" s="83">
        <v>3455.8</v>
      </c>
      <c r="E77" s="82">
        <v>6.6237000000000004</v>
      </c>
      <c r="F77" s="82"/>
      <c r="G77" s="47"/>
      <c r="H77" s="47"/>
    </row>
    <row r="78" spans="1:8" ht="18.75" customHeight="1" x14ac:dyDescent="0.25">
      <c r="A78" s="45">
        <v>560</v>
      </c>
      <c r="B78" s="85">
        <v>2.9781999999999999E-2</v>
      </c>
      <c r="C78" s="83">
        <v>3150</v>
      </c>
      <c r="D78" s="83">
        <v>3507.4</v>
      </c>
      <c r="E78" s="82">
        <v>6.6863999999999999</v>
      </c>
      <c r="F78" s="82"/>
      <c r="G78" s="47"/>
      <c r="H78" s="47"/>
    </row>
    <row r="79" spans="1:8" ht="18.75" customHeight="1" x14ac:dyDescent="0.25">
      <c r="A79" s="45">
        <v>580</v>
      </c>
      <c r="B79" s="85">
        <v>3.0724999999999999E-2</v>
      </c>
      <c r="C79" s="83">
        <v>3189.7</v>
      </c>
      <c r="D79" s="83">
        <v>3558.4</v>
      </c>
      <c r="E79" s="82">
        <v>6.7469000000000001</v>
      </c>
      <c r="F79" s="82"/>
      <c r="G79" s="47"/>
      <c r="H79" s="47"/>
    </row>
    <row r="80" spans="1:8" ht="18.75" customHeight="1" x14ac:dyDescent="0.25">
      <c r="A80" s="45">
        <v>600</v>
      </c>
      <c r="B80" s="85">
        <v>3.1650999999999999E-2</v>
      </c>
      <c r="C80" s="83">
        <v>3229.1</v>
      </c>
      <c r="D80" s="83">
        <v>3608.9</v>
      </c>
      <c r="E80" s="82">
        <v>6.8053999999999997</v>
      </c>
      <c r="F80" s="82"/>
      <c r="G80" s="47"/>
      <c r="H80" s="47"/>
    </row>
    <row r="81" spans="1:8" ht="18.75" customHeight="1" x14ac:dyDescent="0.25">
      <c r="A81" s="45">
        <v>620</v>
      </c>
      <c r="B81" s="85">
        <v>3.2564000000000003E-2</v>
      </c>
      <c r="C81" s="83">
        <v>3268.3</v>
      </c>
      <c r="D81" s="83">
        <v>3659.1</v>
      </c>
      <c r="E81" s="82">
        <v>6.8621999999999996</v>
      </c>
      <c r="F81" s="82"/>
      <c r="G81" s="47"/>
      <c r="H81" s="47"/>
    </row>
    <row r="82" spans="1:8" ht="18.75" customHeight="1" x14ac:dyDescent="0.25">
      <c r="A82" s="45">
        <v>640</v>
      </c>
      <c r="B82" s="85">
        <v>3.3465000000000002E-2</v>
      </c>
      <c r="C82" s="83">
        <v>3307.4</v>
      </c>
      <c r="D82" s="83">
        <v>3709</v>
      </c>
      <c r="E82" s="82">
        <v>6.9175000000000004</v>
      </c>
      <c r="F82" s="82"/>
      <c r="G82" s="47"/>
      <c r="H82" s="47"/>
    </row>
    <row r="83" spans="1:8" ht="18.75" customHeight="1" x14ac:dyDescent="0.25">
      <c r="A83" s="45">
        <v>660</v>
      </c>
      <c r="B83" s="85">
        <v>3.4355999999999998E-2</v>
      </c>
      <c r="C83" s="83">
        <v>3346.4</v>
      </c>
      <c r="D83" s="83">
        <v>3758.7</v>
      </c>
      <c r="E83" s="82">
        <v>6.9713000000000003</v>
      </c>
      <c r="F83" s="82"/>
      <c r="G83" s="47"/>
      <c r="H83" s="47"/>
    </row>
    <row r="84" spans="1:8" ht="18.75" customHeight="1" x14ac:dyDescent="0.25">
      <c r="A84" s="45">
        <v>680</v>
      </c>
      <c r="B84" s="85">
        <v>3.5236999999999997E-2</v>
      </c>
      <c r="C84" s="83">
        <v>3385.4</v>
      </c>
      <c r="D84" s="83">
        <v>3808.2</v>
      </c>
      <c r="E84" s="82">
        <v>7.0239000000000003</v>
      </c>
      <c r="F84" s="82"/>
      <c r="G84" s="47"/>
      <c r="H84" s="47"/>
    </row>
    <row r="85" spans="1:8" ht="18.75" customHeight="1" x14ac:dyDescent="0.25">
      <c r="A85" s="45">
        <v>700</v>
      </c>
      <c r="B85" s="85">
        <v>3.6109000000000002E-2</v>
      </c>
      <c r="C85" s="83">
        <v>3424.4</v>
      </c>
      <c r="D85" s="83">
        <v>3857.7</v>
      </c>
      <c r="E85" s="82">
        <v>7.0753000000000004</v>
      </c>
      <c r="F85" s="82"/>
      <c r="G85" s="47"/>
      <c r="H85" s="47"/>
    </row>
    <row r="86" spans="1:8" ht="18.75" customHeight="1" x14ac:dyDescent="0.25">
      <c r="A86" s="45">
        <v>720</v>
      </c>
      <c r="B86" s="85">
        <v>3.6975000000000001E-2</v>
      </c>
      <c r="C86" s="83">
        <v>3463.5</v>
      </c>
      <c r="D86" s="83">
        <v>3907.2</v>
      </c>
      <c r="E86" s="82">
        <v>7.1256000000000004</v>
      </c>
      <c r="F86" s="82"/>
      <c r="G86" s="47"/>
      <c r="H86" s="47"/>
    </row>
    <row r="87" spans="1:8" ht="18.75" customHeight="1" x14ac:dyDescent="0.25">
      <c r="A87" s="45">
        <v>740</v>
      </c>
      <c r="B87" s="85">
        <v>3.7832999999999999E-2</v>
      </c>
      <c r="C87" s="83">
        <v>3502.6</v>
      </c>
      <c r="D87" s="83">
        <v>3956.6</v>
      </c>
      <c r="E87" s="82">
        <v>7.1748000000000003</v>
      </c>
      <c r="F87" s="82"/>
      <c r="G87" s="47"/>
      <c r="H87" s="47"/>
    </row>
    <row r="88" spans="1:8" ht="18.75" customHeight="1" x14ac:dyDescent="0.25">
      <c r="A88" s="45">
        <v>760</v>
      </c>
      <c r="B88" s="85">
        <v>3.8684999999999997E-2</v>
      </c>
      <c r="C88" s="83">
        <v>3541.8</v>
      </c>
      <c r="D88" s="83">
        <v>4006</v>
      </c>
      <c r="E88" s="82">
        <v>7.2232000000000003</v>
      </c>
      <c r="F88" s="82"/>
      <c r="G88" s="47"/>
      <c r="H88" s="47"/>
    </row>
    <row r="89" spans="1:8" ht="18.75" customHeight="1" x14ac:dyDescent="0.25">
      <c r="A89" s="45">
        <v>780</v>
      </c>
      <c r="B89" s="85">
        <v>3.9531999999999998E-2</v>
      </c>
      <c r="C89" s="83">
        <v>3581.2</v>
      </c>
      <c r="D89" s="83">
        <v>4055.6</v>
      </c>
      <c r="E89" s="82">
        <v>7.2706</v>
      </c>
      <c r="F89" s="82"/>
      <c r="G89" s="47"/>
      <c r="H89" s="47"/>
    </row>
    <row r="90" spans="1:8" ht="18.75" customHeight="1" x14ac:dyDescent="0.25">
      <c r="A90" s="45">
        <v>800</v>
      </c>
      <c r="B90" s="85">
        <v>4.0375000000000001E-2</v>
      </c>
      <c r="C90" s="83">
        <v>3620.6</v>
      </c>
      <c r="D90" s="83">
        <v>4105.1000000000004</v>
      </c>
      <c r="E90" s="82">
        <v>7.3173000000000004</v>
      </c>
      <c r="F90" s="82"/>
      <c r="G90" s="47"/>
      <c r="H90" s="47"/>
    </row>
    <row r="91" spans="1:8" ht="18.75" customHeight="1" x14ac:dyDescent="0.25">
      <c r="A91" s="45">
        <v>820</v>
      </c>
      <c r="B91" s="85">
        <v>4.1211999999999999E-2</v>
      </c>
      <c r="C91" s="83">
        <v>3660.3</v>
      </c>
      <c r="D91" s="83">
        <v>4154.8</v>
      </c>
      <c r="E91" s="82">
        <v>7.3631000000000002</v>
      </c>
      <c r="F91" s="82"/>
      <c r="G91" s="47"/>
      <c r="H91" s="47"/>
    </row>
    <row r="92" spans="1:8" ht="18.75" customHeight="1" x14ac:dyDescent="0.25">
      <c r="A92" s="45">
        <v>840</v>
      </c>
      <c r="B92" s="85">
        <v>4.2044999999999999E-2</v>
      </c>
      <c r="C92" s="83">
        <v>3700.1</v>
      </c>
      <c r="D92" s="83">
        <v>4204.6000000000004</v>
      </c>
      <c r="E92" s="82">
        <v>7.4082999999999997</v>
      </c>
      <c r="F92" s="82"/>
      <c r="G92" s="47"/>
      <c r="H92" s="47"/>
    </row>
    <row r="93" spans="1:8" ht="18.75" customHeight="1" x14ac:dyDescent="0.25">
      <c r="A93" s="45">
        <v>860</v>
      </c>
      <c r="B93" s="85">
        <v>4.2875000000000003E-2</v>
      </c>
      <c r="C93" s="83">
        <v>3740</v>
      </c>
      <c r="D93" s="83">
        <v>4254.5</v>
      </c>
      <c r="E93" s="82">
        <v>7.4527000000000001</v>
      </c>
      <c r="F93" s="82"/>
      <c r="G93" s="47"/>
      <c r="H93" s="47"/>
    </row>
    <row r="94" spans="1:8" ht="18.75" customHeight="1" x14ac:dyDescent="0.25">
      <c r="A94" s="45">
        <v>880</v>
      </c>
      <c r="B94" s="85">
        <v>4.3700999999999997E-2</v>
      </c>
      <c r="C94" s="83">
        <v>3780.1</v>
      </c>
      <c r="D94" s="83">
        <v>4304.5</v>
      </c>
      <c r="E94" s="82">
        <v>7.4965000000000002</v>
      </c>
      <c r="F94" s="82"/>
      <c r="G94" s="47"/>
      <c r="H94" s="47"/>
    </row>
    <row r="95" spans="1:8" ht="18.75" customHeight="1" x14ac:dyDescent="0.25">
      <c r="A95" s="45">
        <v>900</v>
      </c>
      <c r="B95" s="85">
        <v>4.4524000000000001E-2</v>
      </c>
      <c r="C95" s="83">
        <v>3820.4</v>
      </c>
      <c r="D95" s="83">
        <v>4354.7</v>
      </c>
      <c r="E95" s="82">
        <v>7.5396000000000001</v>
      </c>
      <c r="F95" s="82"/>
      <c r="G95" s="47"/>
      <c r="H95" s="47"/>
    </row>
    <row r="96" spans="1:8" ht="18.75" customHeight="1" x14ac:dyDescent="0.25">
      <c r="A96" s="45">
        <v>920</v>
      </c>
      <c r="B96" s="85">
        <v>4.5344000000000002E-2</v>
      </c>
      <c r="C96" s="83">
        <v>3860.9</v>
      </c>
      <c r="D96" s="83">
        <v>4405</v>
      </c>
      <c r="E96" s="82">
        <v>7.5820999999999996</v>
      </c>
      <c r="F96" s="82"/>
      <c r="G96" s="47"/>
      <c r="H96" s="47"/>
    </row>
    <row r="97" spans="1:8" ht="18.75" customHeight="1" x14ac:dyDescent="0.25">
      <c r="A97" s="45">
        <v>940</v>
      </c>
      <c r="B97" s="85">
        <v>4.6161000000000001E-2</v>
      </c>
      <c r="C97" s="83">
        <v>3901.6</v>
      </c>
      <c r="D97" s="83">
        <v>4455.5</v>
      </c>
      <c r="E97" s="82">
        <v>7.6241000000000003</v>
      </c>
      <c r="F97" s="82"/>
      <c r="G97" s="47"/>
      <c r="H97" s="47"/>
    </row>
    <row r="98" spans="1:8" ht="18.75" customHeight="1" x14ac:dyDescent="0.25">
      <c r="A98" s="45">
        <v>960</v>
      </c>
      <c r="B98" s="85">
        <v>4.6975999999999997E-2</v>
      </c>
      <c r="C98" s="83">
        <v>3942.4</v>
      </c>
      <c r="D98" s="83">
        <v>4506.1000000000004</v>
      </c>
      <c r="E98" s="82">
        <v>7.6654999999999998</v>
      </c>
      <c r="F98" s="82"/>
      <c r="G98" s="47"/>
      <c r="H98" s="47"/>
    </row>
    <row r="99" spans="1:8" ht="18.75" customHeight="1" x14ac:dyDescent="0.25">
      <c r="A99" s="45">
        <v>980</v>
      </c>
      <c r="B99" s="85">
        <v>4.7788999999999998E-2</v>
      </c>
      <c r="C99" s="83">
        <v>3983.5</v>
      </c>
      <c r="D99" s="83">
        <v>4557</v>
      </c>
      <c r="E99" s="82">
        <v>7.7064000000000004</v>
      </c>
      <c r="F99" s="82"/>
      <c r="G99" s="47"/>
      <c r="H99" s="47"/>
    </row>
    <row r="100" spans="1:8" ht="18.75" customHeight="1" x14ac:dyDescent="0.25">
      <c r="A100" s="45">
        <v>1000</v>
      </c>
      <c r="B100" s="85">
        <v>4.8599000000000003E-2</v>
      </c>
      <c r="C100" s="83">
        <v>4024.8</v>
      </c>
      <c r="D100" s="83">
        <v>4608</v>
      </c>
      <c r="E100" s="82">
        <v>7.7466999999999997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H100"/>
  <sheetViews>
    <sheetView topLeftCell="A42" workbookViewId="0">
      <selection activeCell="A53" sqref="A53"/>
    </sheetView>
  </sheetViews>
  <sheetFormatPr defaultRowHeight="13.2" x14ac:dyDescent="0.25"/>
  <cols>
    <col min="1" max="1" width="9.33203125" customWidth="1"/>
    <col min="2" max="2" width="10.21875" customWidth="1"/>
    <col min="3" max="3" width="7.5546875" customWidth="1"/>
    <col min="4" max="4" width="7.44140625" customWidth="1"/>
    <col min="5" max="5" width="8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92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13000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9.9372999999999996E-4</v>
      </c>
      <c r="C5" s="80">
        <v>0.15</v>
      </c>
      <c r="D5" s="80">
        <v>13.07</v>
      </c>
      <c r="E5" s="81">
        <v>4.0999999999999999E-4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9.9382000000000008E-4</v>
      </c>
      <c r="C6" s="80">
        <v>20.93</v>
      </c>
      <c r="D6" s="80">
        <v>33.85</v>
      </c>
      <c r="E6" s="81">
        <v>7.5800000000000006E-2</v>
      </c>
      <c r="F6" s="81"/>
      <c r="G6" s="28"/>
      <c r="H6" s="28"/>
    </row>
    <row r="7" spans="1:8" ht="18.75" customHeight="1" x14ac:dyDescent="0.25">
      <c r="A7" s="7">
        <v>10</v>
      </c>
      <c r="B7" s="79">
        <v>9.9424999999999991E-4</v>
      </c>
      <c r="C7" s="80">
        <v>41.68</v>
      </c>
      <c r="D7" s="80">
        <v>54.61</v>
      </c>
      <c r="E7" s="81">
        <v>0.14974999999999999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9.9497999999999991E-4</v>
      </c>
      <c r="C8" s="80">
        <v>62.41</v>
      </c>
      <c r="D8" s="80">
        <v>75.34</v>
      </c>
      <c r="E8" s="81">
        <v>0.22234999999999999</v>
      </c>
      <c r="F8" s="81"/>
      <c r="G8" s="28"/>
      <c r="H8" s="28"/>
    </row>
    <row r="9" spans="1:8" ht="18.75" customHeight="1" x14ac:dyDescent="0.25">
      <c r="A9" s="7">
        <v>20</v>
      </c>
      <c r="B9" s="79">
        <v>9.9598000000000004E-4</v>
      </c>
      <c r="C9" s="80">
        <v>83.12</v>
      </c>
      <c r="D9" s="80">
        <v>96.07</v>
      </c>
      <c r="E9" s="81">
        <v>0.29368</v>
      </c>
      <c r="F9" s="81"/>
      <c r="G9" s="28"/>
      <c r="H9" s="28"/>
    </row>
    <row r="10" spans="1:8" ht="18.75" customHeight="1" x14ac:dyDescent="0.25">
      <c r="A10" s="7">
        <v>25</v>
      </c>
      <c r="B10" s="79">
        <v>9.9722000000000005E-4</v>
      </c>
      <c r="C10" s="80">
        <v>103.84</v>
      </c>
      <c r="D10" s="80">
        <v>116.8</v>
      </c>
      <c r="E10" s="81">
        <v>0.36379</v>
      </c>
      <c r="F10" s="81"/>
      <c r="G10" s="28"/>
      <c r="H10" s="28"/>
    </row>
    <row r="11" spans="1:8" ht="18.75" customHeight="1" x14ac:dyDescent="0.25">
      <c r="A11" s="7">
        <v>30</v>
      </c>
      <c r="B11" s="79">
        <v>9.9868000000000005E-4</v>
      </c>
      <c r="C11" s="80">
        <v>124.55</v>
      </c>
      <c r="D11" s="80">
        <v>137.53</v>
      </c>
      <c r="E11" s="81">
        <v>0.43274000000000001</v>
      </c>
      <c r="F11" s="81"/>
      <c r="G11" s="28"/>
      <c r="H11" s="28"/>
    </row>
    <row r="12" spans="1:8" ht="18.75" customHeight="1" x14ac:dyDescent="0.25">
      <c r="A12" s="7">
        <v>35</v>
      </c>
      <c r="B12" s="79">
        <v>1.0003499999999999E-3</v>
      </c>
      <c r="C12" s="80">
        <v>145.27000000000001</v>
      </c>
      <c r="D12" s="80">
        <v>158.27000000000001</v>
      </c>
      <c r="E12" s="81">
        <v>0.50058000000000002</v>
      </c>
      <c r="F12" s="81"/>
      <c r="G12" s="28"/>
      <c r="H12" s="28"/>
    </row>
    <row r="13" spans="1:8" ht="18.75" customHeight="1" x14ac:dyDescent="0.25">
      <c r="A13" s="7">
        <v>40</v>
      </c>
      <c r="B13" s="79">
        <v>1.0022E-3</v>
      </c>
      <c r="C13" s="80">
        <v>165.98</v>
      </c>
      <c r="D13" s="80">
        <v>179.01</v>
      </c>
      <c r="E13" s="81">
        <v>0.56733999999999996</v>
      </c>
      <c r="F13" s="81"/>
      <c r="G13" s="28"/>
      <c r="H13" s="28"/>
    </row>
    <row r="14" spans="1:8" ht="18.75" customHeight="1" x14ac:dyDescent="0.25">
      <c r="A14" s="7">
        <v>45</v>
      </c>
      <c r="B14" s="79">
        <v>1.00424E-3</v>
      </c>
      <c r="C14" s="80">
        <v>186.7</v>
      </c>
      <c r="D14" s="80">
        <v>199.76</v>
      </c>
      <c r="E14" s="81">
        <v>0.63307999999999998</v>
      </c>
      <c r="F14" s="81"/>
      <c r="G14" s="28"/>
      <c r="H14" s="28"/>
    </row>
    <row r="15" spans="1:8" ht="18.75" customHeight="1" x14ac:dyDescent="0.25">
      <c r="A15" s="7">
        <v>50</v>
      </c>
      <c r="B15" s="79">
        <v>1.00646E-3</v>
      </c>
      <c r="C15" s="80">
        <v>207.43</v>
      </c>
      <c r="D15" s="80">
        <v>220.51</v>
      </c>
      <c r="E15" s="81">
        <v>0.69782</v>
      </c>
      <c r="F15" s="81"/>
      <c r="G15" s="28"/>
      <c r="H15" s="28"/>
    </row>
    <row r="16" spans="1:8" ht="18.75" customHeight="1" x14ac:dyDescent="0.25">
      <c r="A16" s="7">
        <v>55</v>
      </c>
      <c r="B16" s="79">
        <v>1.0088300000000001E-3</v>
      </c>
      <c r="C16" s="80">
        <v>228.17</v>
      </c>
      <c r="D16" s="80">
        <v>241.28</v>
      </c>
      <c r="E16" s="81">
        <v>0.76160000000000005</v>
      </c>
      <c r="F16" s="81"/>
      <c r="G16" s="28"/>
      <c r="H16" s="28"/>
    </row>
    <row r="17" spans="1:8" ht="18.75" customHeight="1" x14ac:dyDescent="0.25">
      <c r="A17" s="7">
        <v>60</v>
      </c>
      <c r="B17" s="79">
        <v>1.0113699999999999E-3</v>
      </c>
      <c r="C17" s="80">
        <v>248.91</v>
      </c>
      <c r="D17" s="80">
        <v>262.06</v>
      </c>
      <c r="E17" s="81">
        <v>0.82443999999999995</v>
      </c>
      <c r="F17" s="81"/>
      <c r="G17" s="28"/>
      <c r="H17" s="28"/>
    </row>
    <row r="18" spans="1:8" ht="18.75" customHeight="1" x14ac:dyDescent="0.25">
      <c r="A18" s="7">
        <v>65</v>
      </c>
      <c r="B18" s="79">
        <v>1.01406E-3</v>
      </c>
      <c r="C18" s="80">
        <v>269.68</v>
      </c>
      <c r="D18" s="80">
        <v>282.86</v>
      </c>
      <c r="E18" s="81">
        <v>0.88639000000000001</v>
      </c>
      <c r="F18" s="81"/>
      <c r="G18" s="28"/>
      <c r="H18" s="28"/>
    </row>
    <row r="19" spans="1:8" ht="18.75" customHeight="1" x14ac:dyDescent="0.25">
      <c r="A19" s="7">
        <v>70</v>
      </c>
      <c r="B19" s="79">
        <v>1.01691E-3</v>
      </c>
      <c r="C19" s="80">
        <v>290.44</v>
      </c>
      <c r="D19" s="80">
        <v>303.66000000000003</v>
      </c>
      <c r="E19" s="81">
        <v>0.94747999999999999</v>
      </c>
      <c r="F19" s="81"/>
      <c r="G19" s="28"/>
      <c r="H19" s="28"/>
    </row>
    <row r="20" spans="1:8" ht="18.75" customHeight="1" x14ac:dyDescent="0.25">
      <c r="A20" s="7">
        <v>75</v>
      </c>
      <c r="B20" s="79">
        <v>1.0199E-3</v>
      </c>
      <c r="C20" s="80">
        <v>311.23</v>
      </c>
      <c r="D20" s="80">
        <v>324.49</v>
      </c>
      <c r="E20" s="82">
        <v>1.0077</v>
      </c>
      <c r="F20" s="82"/>
      <c r="G20" s="28"/>
      <c r="H20" s="28"/>
    </row>
    <row r="21" spans="1:8" ht="18.75" customHeight="1" x14ac:dyDescent="0.25">
      <c r="A21" s="7">
        <v>80</v>
      </c>
      <c r="B21" s="79">
        <v>1.02304E-3</v>
      </c>
      <c r="C21" s="80">
        <v>332.02</v>
      </c>
      <c r="D21" s="80">
        <v>345.32</v>
      </c>
      <c r="E21" s="82">
        <v>1.0670999999999999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1.0263200000000001E-3</v>
      </c>
      <c r="C22" s="80">
        <v>352.84</v>
      </c>
      <c r="D22" s="80">
        <v>366.18</v>
      </c>
      <c r="E22" s="82">
        <v>1.1257999999999999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1.0297500000000001E-3</v>
      </c>
      <c r="C23" s="80">
        <v>373.67</v>
      </c>
      <c r="D23" s="80">
        <v>387.06</v>
      </c>
      <c r="E23" s="82">
        <v>1.1837</v>
      </c>
      <c r="F23" s="82"/>
      <c r="G23" s="28"/>
      <c r="H23" s="28"/>
    </row>
    <row r="24" spans="1:8" ht="18.75" customHeight="1" x14ac:dyDescent="0.25">
      <c r="A24" s="7">
        <v>95</v>
      </c>
      <c r="B24" s="79">
        <v>1.03331E-3</v>
      </c>
      <c r="C24" s="80">
        <v>394.53</v>
      </c>
      <c r="D24" s="80">
        <v>407.96</v>
      </c>
      <c r="E24" s="82">
        <v>1.2407999999999999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1.03702E-3</v>
      </c>
      <c r="C25" s="80">
        <v>415.4</v>
      </c>
      <c r="D25" s="80">
        <v>428.88</v>
      </c>
      <c r="E25" s="82">
        <v>1.2972999999999999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1.0408800000000001E-3</v>
      </c>
      <c r="C26" s="80">
        <v>436.3</v>
      </c>
      <c r="D26" s="80">
        <v>449.83</v>
      </c>
      <c r="E26" s="82">
        <v>1.3531</v>
      </c>
      <c r="F26" s="82"/>
      <c r="G26" s="28"/>
      <c r="H26" s="28"/>
    </row>
    <row r="27" spans="1:8" ht="18.75" customHeight="1" x14ac:dyDescent="0.25">
      <c r="A27" s="7">
        <v>110</v>
      </c>
      <c r="B27" s="79">
        <v>1.04488E-3</v>
      </c>
      <c r="C27" s="80">
        <v>457.23</v>
      </c>
      <c r="D27" s="80">
        <v>470.81</v>
      </c>
      <c r="E27" s="82">
        <v>1.4081999999999999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1.0490199999999999E-3</v>
      </c>
      <c r="C28" s="80">
        <v>478.17</v>
      </c>
      <c r="D28" s="80">
        <v>491.81</v>
      </c>
      <c r="E28" s="82">
        <v>1.4625999999999999</v>
      </c>
      <c r="F28" s="82"/>
      <c r="G28" s="28"/>
      <c r="H28" s="28"/>
    </row>
    <row r="29" spans="1:8" ht="18.75" customHeight="1" x14ac:dyDescent="0.25">
      <c r="A29" s="7">
        <v>120</v>
      </c>
      <c r="B29" s="79">
        <v>1.05331E-3</v>
      </c>
      <c r="C29" s="80">
        <v>499.17</v>
      </c>
      <c r="D29" s="80">
        <v>512.86</v>
      </c>
      <c r="E29" s="82">
        <v>1.5165</v>
      </c>
      <c r="F29" s="82"/>
      <c r="G29" s="28"/>
      <c r="H29" s="28"/>
    </row>
    <row r="30" spans="1:8" ht="18.75" customHeight="1" x14ac:dyDescent="0.25">
      <c r="A30" s="7">
        <v>125</v>
      </c>
      <c r="B30" s="79">
        <v>1.0577500000000001E-3</v>
      </c>
      <c r="C30" s="80">
        <v>520.19000000000005</v>
      </c>
      <c r="D30" s="80">
        <v>533.94000000000005</v>
      </c>
      <c r="E30" s="82">
        <v>1.5698000000000001</v>
      </c>
      <c r="F30" s="82"/>
      <c r="G30" s="28"/>
      <c r="H30" s="28"/>
    </row>
    <row r="31" spans="1:8" ht="18.75" customHeight="1" x14ac:dyDescent="0.25">
      <c r="A31" s="7">
        <v>130</v>
      </c>
      <c r="B31" s="79">
        <v>1.0623399999999999E-3</v>
      </c>
      <c r="C31" s="80">
        <v>541.25</v>
      </c>
      <c r="D31" s="80">
        <v>555.05999999999995</v>
      </c>
      <c r="E31" s="82">
        <v>1.6225000000000001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1.0670899999999999E-3</v>
      </c>
      <c r="C32" s="80">
        <v>562.35</v>
      </c>
      <c r="D32" s="80">
        <v>576.22</v>
      </c>
      <c r="E32" s="82">
        <v>1.6747000000000001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1.072E-3</v>
      </c>
      <c r="C33" s="80">
        <v>583.49</v>
      </c>
      <c r="D33" s="80">
        <v>597.42999999999995</v>
      </c>
      <c r="E33" s="82">
        <v>1.7262999999999999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1.0770700000000001E-3</v>
      </c>
      <c r="C34" s="80">
        <v>604.69000000000005</v>
      </c>
      <c r="D34" s="80">
        <v>618.69000000000005</v>
      </c>
      <c r="E34" s="82">
        <v>1.7775000000000001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1.08231E-3</v>
      </c>
      <c r="C35" s="80">
        <v>625.92999999999995</v>
      </c>
      <c r="D35" s="80">
        <v>640</v>
      </c>
      <c r="E35" s="82">
        <v>1.8281000000000001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1.0877199999999999E-3</v>
      </c>
      <c r="C36" s="80">
        <v>647.23</v>
      </c>
      <c r="D36" s="80">
        <v>661.37</v>
      </c>
      <c r="E36" s="82">
        <v>1.8783000000000001</v>
      </c>
      <c r="F36" s="82"/>
      <c r="G36" s="28"/>
      <c r="H36" s="28"/>
    </row>
    <row r="37" spans="1:8" ht="18.75" customHeight="1" x14ac:dyDescent="0.25">
      <c r="A37" s="7">
        <v>160</v>
      </c>
      <c r="B37" s="79">
        <v>1.0933E-3</v>
      </c>
      <c r="C37" s="80">
        <v>668.6</v>
      </c>
      <c r="D37" s="80">
        <v>682.81</v>
      </c>
      <c r="E37" s="82">
        <v>1.9280999999999999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1.0990799999999999E-3</v>
      </c>
      <c r="C38" s="80">
        <v>690.02</v>
      </c>
      <c r="D38" s="80">
        <v>704.31</v>
      </c>
      <c r="E38" s="82">
        <v>1.9775</v>
      </c>
      <c r="F38" s="82"/>
      <c r="G38" s="28"/>
      <c r="H38" s="28"/>
    </row>
    <row r="39" spans="1:8" ht="18.75" customHeight="1" x14ac:dyDescent="0.25">
      <c r="A39" s="7">
        <v>170</v>
      </c>
      <c r="B39" s="79">
        <v>1.1050400000000001E-3</v>
      </c>
      <c r="C39" s="80">
        <v>711.51</v>
      </c>
      <c r="D39" s="80">
        <v>725.88</v>
      </c>
      <c r="E39" s="82">
        <v>2.0264000000000002</v>
      </c>
      <c r="F39" s="82"/>
      <c r="G39" s="28"/>
      <c r="H39" s="28"/>
    </row>
    <row r="40" spans="1:8" ht="18.75" customHeight="1" x14ac:dyDescent="0.25">
      <c r="A40" s="7">
        <v>175</v>
      </c>
      <c r="B40" s="79">
        <v>1.1112100000000001E-3</v>
      </c>
      <c r="C40" s="80">
        <v>733.08</v>
      </c>
      <c r="D40" s="80">
        <v>747.53</v>
      </c>
      <c r="E40" s="82">
        <v>2.0750000000000002</v>
      </c>
      <c r="F40" s="82"/>
      <c r="G40" s="28"/>
      <c r="H40" s="28"/>
    </row>
    <row r="41" spans="1:8" ht="18.75" customHeight="1" x14ac:dyDescent="0.25">
      <c r="A41" s="7">
        <v>180</v>
      </c>
      <c r="B41" s="79">
        <v>1.11758E-3</v>
      </c>
      <c r="C41" s="80">
        <v>754.73</v>
      </c>
      <c r="D41" s="80">
        <v>769.26</v>
      </c>
      <c r="E41" s="82">
        <v>2.1232000000000002</v>
      </c>
      <c r="F41" s="82"/>
      <c r="G41" s="28"/>
      <c r="H41" s="28"/>
    </row>
    <row r="42" spans="1:8" ht="18.75" customHeight="1" x14ac:dyDescent="0.25">
      <c r="A42" s="7">
        <v>185</v>
      </c>
      <c r="B42" s="79">
        <v>1.1241700000000001E-3</v>
      </c>
      <c r="C42" s="80">
        <v>776.46</v>
      </c>
      <c r="D42" s="80">
        <v>791.07</v>
      </c>
      <c r="E42" s="82">
        <v>2.1711</v>
      </c>
      <c r="F42" s="82"/>
      <c r="G42" s="28"/>
      <c r="H42" s="28"/>
    </row>
    <row r="43" spans="1:8" ht="18.75" customHeight="1" x14ac:dyDescent="0.25">
      <c r="A43" s="7">
        <v>190</v>
      </c>
      <c r="B43" s="79">
        <v>1.1309899999999999E-3</v>
      </c>
      <c r="C43" s="80">
        <v>798.28</v>
      </c>
      <c r="D43" s="80">
        <v>812.98</v>
      </c>
      <c r="E43" s="82">
        <v>2.2187000000000001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1.13805E-3</v>
      </c>
      <c r="C44" s="80">
        <v>820.2</v>
      </c>
      <c r="D44" s="80">
        <v>834.99</v>
      </c>
      <c r="E44" s="82">
        <v>2.2658999999999998</v>
      </c>
      <c r="F44" s="82"/>
      <c r="G44" s="28"/>
      <c r="H44" s="28"/>
    </row>
    <row r="45" spans="1:8" ht="18.75" customHeight="1" x14ac:dyDescent="0.25">
      <c r="A45" s="7">
        <v>200</v>
      </c>
      <c r="B45" s="79">
        <v>1.14536E-3</v>
      </c>
      <c r="C45" s="80">
        <v>842.22</v>
      </c>
      <c r="D45" s="80">
        <v>857.11</v>
      </c>
      <c r="E45" s="82">
        <v>2.3129</v>
      </c>
      <c r="F45" s="82"/>
      <c r="G45" s="28"/>
      <c r="H45" s="28"/>
    </row>
    <row r="46" spans="1:8" ht="18.75" customHeight="1" x14ac:dyDescent="0.25">
      <c r="A46" s="7">
        <v>210</v>
      </c>
      <c r="B46" s="79">
        <v>1.1607900000000001E-3</v>
      </c>
      <c r="C46" s="80">
        <v>886.59</v>
      </c>
      <c r="D46" s="80">
        <v>901.68</v>
      </c>
      <c r="E46" s="82">
        <v>2.4060999999999999</v>
      </c>
      <c r="F46" s="82"/>
      <c r="G46" s="28"/>
      <c r="H46" s="28"/>
    </row>
    <row r="47" spans="1:8" ht="18.75" customHeight="1" x14ac:dyDescent="0.25">
      <c r="A47" s="7">
        <v>220</v>
      </c>
      <c r="B47" s="79">
        <v>1.17741E-3</v>
      </c>
      <c r="C47" s="80">
        <v>931.46</v>
      </c>
      <c r="D47" s="80">
        <v>946.77</v>
      </c>
      <c r="E47" s="82">
        <v>2.4984999999999999</v>
      </c>
      <c r="F47" s="82"/>
      <c r="G47" s="28"/>
      <c r="H47" s="28"/>
    </row>
    <row r="48" spans="1:8" ht="18.75" customHeight="1" x14ac:dyDescent="0.25">
      <c r="A48" s="7">
        <v>230</v>
      </c>
      <c r="B48" s="79">
        <v>1.19538E-3</v>
      </c>
      <c r="C48" s="80">
        <v>976.91</v>
      </c>
      <c r="D48" s="80">
        <v>992.45</v>
      </c>
      <c r="E48" s="82">
        <v>2.5901999999999998</v>
      </c>
      <c r="F48" s="82"/>
      <c r="G48" s="28"/>
      <c r="H48" s="28"/>
    </row>
    <row r="49" spans="1:8" ht="18.75" customHeight="1" x14ac:dyDescent="0.25">
      <c r="A49" s="7">
        <v>240</v>
      </c>
      <c r="B49" s="79">
        <v>1.2148899999999999E-3</v>
      </c>
      <c r="C49" s="83">
        <v>1023</v>
      </c>
      <c r="D49" s="83">
        <v>1038.8</v>
      </c>
      <c r="E49" s="82">
        <v>2.6814</v>
      </c>
      <c r="F49" s="82"/>
      <c r="G49" s="28"/>
      <c r="H49" s="28"/>
    </row>
    <row r="50" spans="1:8" ht="18.75" customHeight="1" x14ac:dyDescent="0.25">
      <c r="A50" s="7">
        <v>250</v>
      </c>
      <c r="B50" s="79">
        <v>1.2362E-3</v>
      </c>
      <c r="C50" s="83">
        <v>1069.9000000000001</v>
      </c>
      <c r="D50" s="83">
        <v>1086</v>
      </c>
      <c r="E50" s="82">
        <v>2.7724000000000002</v>
      </c>
      <c r="F50" s="82"/>
      <c r="G50" s="28"/>
      <c r="H50" s="28"/>
    </row>
    <row r="51" spans="1:8" ht="18.75" customHeight="1" x14ac:dyDescent="0.25">
      <c r="A51" s="7">
        <v>260</v>
      </c>
      <c r="B51" s="79">
        <v>1.2596300000000001E-3</v>
      </c>
      <c r="C51" s="83">
        <v>1117.5999999999999</v>
      </c>
      <c r="D51" s="83">
        <v>1134</v>
      </c>
      <c r="E51" s="82">
        <v>2.8635000000000002</v>
      </c>
      <c r="F51" s="82"/>
      <c r="G51" s="28"/>
      <c r="H51" s="28"/>
    </row>
    <row r="52" spans="1:8" ht="18.75" customHeight="1" x14ac:dyDescent="0.25">
      <c r="A52" s="7">
        <v>270</v>
      </c>
      <c r="B52" s="79">
        <v>1.2855900000000001E-3</v>
      </c>
      <c r="C52" s="83">
        <v>1166.5</v>
      </c>
      <c r="D52" s="83">
        <v>1183.2</v>
      </c>
      <c r="E52" s="82">
        <v>2.9548999999999999</v>
      </c>
      <c r="F52" s="82"/>
      <c r="G52" s="28"/>
      <c r="H52" s="28"/>
    </row>
    <row r="53" spans="1:8" ht="18.75" customHeight="1" x14ac:dyDescent="0.25">
      <c r="A53" s="7">
        <v>280</v>
      </c>
      <c r="B53" s="79">
        <v>1.31467E-3</v>
      </c>
      <c r="C53" s="83">
        <v>1216.5999999999999</v>
      </c>
      <c r="D53" s="83">
        <v>1233.7</v>
      </c>
      <c r="E53" s="82">
        <v>3.0470000000000002</v>
      </c>
      <c r="F53" s="82"/>
      <c r="G53" s="28"/>
      <c r="H53" s="28"/>
    </row>
    <row r="54" spans="1:8" ht="18.75" customHeight="1" x14ac:dyDescent="0.25">
      <c r="A54" s="7">
        <v>290</v>
      </c>
      <c r="B54" s="79">
        <v>1.34768E-3</v>
      </c>
      <c r="C54" s="83">
        <v>1268.4000000000001</v>
      </c>
      <c r="D54" s="83">
        <v>1285.9000000000001</v>
      </c>
      <c r="E54" s="82">
        <v>3.1404999999999998</v>
      </c>
      <c r="F54" s="82"/>
      <c r="G54" s="28"/>
      <c r="H54" s="28"/>
    </row>
    <row r="55" spans="1:8" ht="18.75" customHeight="1" x14ac:dyDescent="0.25">
      <c r="A55" s="7">
        <v>300</v>
      </c>
      <c r="B55" s="79">
        <v>1.3858099999999999E-3</v>
      </c>
      <c r="C55" s="83">
        <v>1322.2</v>
      </c>
      <c r="D55" s="83">
        <v>1340.2</v>
      </c>
      <c r="E55" s="82">
        <v>3.2360000000000002</v>
      </c>
      <c r="F55" s="82"/>
      <c r="G55" s="28"/>
      <c r="H55" s="28"/>
    </row>
    <row r="56" spans="1:8" ht="18.75" customHeight="1" x14ac:dyDescent="0.25">
      <c r="A56" s="7">
        <v>310</v>
      </c>
      <c r="B56" s="79">
        <v>1.4309800000000001E-3</v>
      </c>
      <c r="C56" s="83">
        <v>1378.6</v>
      </c>
      <c r="D56" s="83">
        <v>1397.2</v>
      </c>
      <c r="E56" s="82">
        <v>3.3346</v>
      </c>
      <c r="F56" s="82"/>
      <c r="G56" s="28"/>
      <c r="H56" s="28"/>
    </row>
    <row r="57" spans="1:8" ht="18.75" customHeight="1" x14ac:dyDescent="0.25">
      <c r="A57" s="7">
        <v>320</v>
      </c>
      <c r="B57" s="79">
        <v>1.4865E-3</v>
      </c>
      <c r="C57" s="83">
        <v>1438.9</v>
      </c>
      <c r="D57" s="83">
        <v>1458.2</v>
      </c>
      <c r="E57" s="82">
        <v>3.4382999999999999</v>
      </c>
      <c r="F57" s="82"/>
      <c r="G57" s="28"/>
      <c r="H57" s="28"/>
    </row>
    <row r="58" spans="1:8" ht="18.75" customHeight="1" x14ac:dyDescent="0.25">
      <c r="A58" s="7">
        <v>330</v>
      </c>
      <c r="B58" s="79">
        <v>1.55909E-3</v>
      </c>
      <c r="C58" s="83">
        <v>1505.1</v>
      </c>
      <c r="D58" s="83">
        <v>1525.4</v>
      </c>
      <c r="E58" s="82">
        <v>3.5506000000000002</v>
      </c>
      <c r="F58" s="82"/>
      <c r="G58" s="28"/>
      <c r="H58" s="28"/>
    </row>
    <row r="59" spans="1:8" ht="18.75" customHeight="1" x14ac:dyDescent="0.25">
      <c r="A59" s="7">
        <v>340</v>
      </c>
      <c r="B59" s="85">
        <v>1.4029E-2</v>
      </c>
      <c r="C59" s="83">
        <v>2556.6</v>
      </c>
      <c r="D59" s="83">
        <v>2739</v>
      </c>
      <c r="E59" s="82">
        <v>5.5590999999999999</v>
      </c>
      <c r="F59" s="82"/>
      <c r="G59" s="28"/>
      <c r="H59" s="28"/>
    </row>
    <row r="60" spans="1:8" ht="18.75" customHeight="1" x14ac:dyDescent="0.25">
      <c r="A60" s="7">
        <v>350</v>
      </c>
      <c r="B60" s="85">
        <v>1.5119E-2</v>
      </c>
      <c r="C60" s="83">
        <v>2607.1999999999998</v>
      </c>
      <c r="D60" s="83">
        <v>2803.7</v>
      </c>
      <c r="E60" s="82">
        <v>5.6638000000000002</v>
      </c>
      <c r="F60" s="82"/>
      <c r="G60" s="28"/>
      <c r="H60" s="28"/>
    </row>
    <row r="61" spans="1:8" ht="18.75" customHeight="1" x14ac:dyDescent="0.25">
      <c r="A61" s="7">
        <v>360</v>
      </c>
      <c r="B61" s="85">
        <v>1.6053000000000001E-2</v>
      </c>
      <c r="C61" s="83">
        <v>2649.4</v>
      </c>
      <c r="D61" s="83">
        <v>2858.1</v>
      </c>
      <c r="E61" s="82">
        <v>5.7504</v>
      </c>
      <c r="F61" s="82"/>
      <c r="G61" s="28"/>
      <c r="H61" s="28"/>
    </row>
    <row r="62" spans="1:8" ht="18.75" customHeight="1" x14ac:dyDescent="0.25">
      <c r="A62" s="7">
        <v>370</v>
      </c>
      <c r="B62" s="85">
        <v>1.6888E-2</v>
      </c>
      <c r="C62" s="83">
        <v>2686.7</v>
      </c>
      <c r="D62" s="83">
        <v>2906.2</v>
      </c>
      <c r="E62" s="82">
        <v>5.8257000000000003</v>
      </c>
      <c r="F62" s="82"/>
      <c r="G62" s="28"/>
      <c r="H62" s="28"/>
    </row>
    <row r="63" spans="1:8" ht="18.75" customHeight="1" x14ac:dyDescent="0.25">
      <c r="A63" s="7">
        <v>380</v>
      </c>
      <c r="B63" s="85">
        <v>1.7652999999999999E-2</v>
      </c>
      <c r="C63" s="83">
        <v>2720.2</v>
      </c>
      <c r="D63" s="83">
        <v>2949.7</v>
      </c>
      <c r="E63" s="82">
        <v>5.8929</v>
      </c>
      <c r="F63" s="82"/>
      <c r="G63" s="28"/>
      <c r="H63" s="28"/>
    </row>
    <row r="64" spans="1:8" ht="18.75" customHeight="1" x14ac:dyDescent="0.25">
      <c r="A64" s="7">
        <v>390</v>
      </c>
      <c r="B64" s="85">
        <v>1.8363999999999998E-2</v>
      </c>
      <c r="C64" s="83">
        <v>2751.3</v>
      </c>
      <c r="D64" s="83">
        <v>2990</v>
      </c>
      <c r="E64" s="82">
        <v>5.9541000000000004</v>
      </c>
      <c r="F64" s="82"/>
      <c r="G64" s="28"/>
      <c r="H64" s="28"/>
    </row>
    <row r="65" spans="1:8" ht="18.75" customHeight="1" x14ac:dyDescent="0.25">
      <c r="A65" s="7">
        <v>400</v>
      </c>
      <c r="B65" s="85">
        <v>1.9033000000000001E-2</v>
      </c>
      <c r="C65" s="83">
        <v>2780.3</v>
      </c>
      <c r="D65" s="83">
        <v>3027.7</v>
      </c>
      <c r="E65" s="82">
        <v>6.0106000000000002</v>
      </c>
      <c r="F65" s="82"/>
      <c r="G65" s="28"/>
      <c r="H65" s="28"/>
    </row>
    <row r="66" spans="1:8" ht="18.75" customHeight="1" x14ac:dyDescent="0.25">
      <c r="A66" s="7">
        <v>410</v>
      </c>
      <c r="B66" s="85">
        <v>1.9668999999999999E-2</v>
      </c>
      <c r="C66" s="83">
        <v>2807.8</v>
      </c>
      <c r="D66" s="83">
        <v>3063.5</v>
      </c>
      <c r="E66" s="82">
        <v>6.0632999999999999</v>
      </c>
      <c r="F66" s="82"/>
      <c r="G66" s="28"/>
      <c r="H66" s="28"/>
    </row>
    <row r="67" spans="1:8" ht="18.75" customHeight="1" x14ac:dyDescent="0.25">
      <c r="A67" s="7">
        <v>420</v>
      </c>
      <c r="B67" s="85">
        <v>2.0275999999999999E-2</v>
      </c>
      <c r="C67" s="83">
        <v>2834</v>
      </c>
      <c r="D67" s="83">
        <v>3097.6</v>
      </c>
      <c r="E67" s="82">
        <v>6.1128999999999998</v>
      </c>
      <c r="F67" s="82"/>
      <c r="G67" s="28"/>
      <c r="H67" s="28"/>
    </row>
    <row r="68" spans="1:8" ht="18.75" customHeight="1" x14ac:dyDescent="0.25">
      <c r="A68" s="7">
        <v>430</v>
      </c>
      <c r="B68" s="85">
        <v>2.0861000000000001E-2</v>
      </c>
      <c r="C68" s="83">
        <v>2859.2</v>
      </c>
      <c r="D68" s="83">
        <v>3130.4</v>
      </c>
      <c r="E68" s="82">
        <v>6.1599000000000004</v>
      </c>
      <c r="F68" s="82"/>
      <c r="G68" s="28"/>
      <c r="H68" s="28"/>
    </row>
    <row r="69" spans="1:8" ht="18.75" customHeight="1" x14ac:dyDescent="0.25">
      <c r="A69" s="7">
        <v>440</v>
      </c>
      <c r="B69" s="85">
        <v>2.1426000000000001E-2</v>
      </c>
      <c r="C69" s="83">
        <v>2883.7</v>
      </c>
      <c r="D69" s="83">
        <v>3162.2</v>
      </c>
      <c r="E69" s="82">
        <v>6.2046999999999999</v>
      </c>
      <c r="F69" s="82"/>
      <c r="G69" s="28"/>
      <c r="H69" s="28"/>
    </row>
    <row r="70" spans="1:8" ht="18.75" customHeight="1" x14ac:dyDescent="0.25">
      <c r="A70" s="7">
        <v>450</v>
      </c>
      <c r="B70" s="85">
        <v>2.1974E-2</v>
      </c>
      <c r="C70" s="83">
        <v>2907.3</v>
      </c>
      <c r="D70" s="83">
        <v>3193</v>
      </c>
      <c r="E70" s="82">
        <v>6.2476000000000003</v>
      </c>
      <c r="F70" s="82"/>
      <c r="G70" s="28"/>
      <c r="H70" s="28"/>
    </row>
    <row r="71" spans="1:8" ht="18.75" customHeight="1" x14ac:dyDescent="0.25">
      <c r="A71" s="7">
        <v>460</v>
      </c>
      <c r="B71" s="85">
        <v>2.2506999999999999E-2</v>
      </c>
      <c r="C71" s="83">
        <v>2930.4</v>
      </c>
      <c r="D71" s="83">
        <v>3223</v>
      </c>
      <c r="E71" s="82">
        <v>6.2888000000000002</v>
      </c>
      <c r="F71" s="82"/>
      <c r="G71" s="28"/>
      <c r="H71" s="28"/>
    </row>
    <row r="72" spans="1:8" ht="18.75" customHeight="1" x14ac:dyDescent="0.25">
      <c r="A72" s="7">
        <v>470</v>
      </c>
      <c r="B72" s="85">
        <v>2.3026999999999999E-2</v>
      </c>
      <c r="C72" s="83">
        <v>2952.9</v>
      </c>
      <c r="D72" s="83">
        <v>3252.3</v>
      </c>
      <c r="E72" s="82">
        <v>6.3285999999999998</v>
      </c>
      <c r="F72" s="82"/>
      <c r="G72" s="28"/>
      <c r="H72" s="28"/>
    </row>
    <row r="73" spans="1:8" ht="18.75" customHeight="1" x14ac:dyDescent="0.25">
      <c r="A73" s="7">
        <v>480</v>
      </c>
      <c r="B73" s="85">
        <v>2.3535E-2</v>
      </c>
      <c r="C73" s="83">
        <v>2975.1</v>
      </c>
      <c r="D73" s="83">
        <v>3281.1</v>
      </c>
      <c r="E73" s="82">
        <v>6.367</v>
      </c>
      <c r="F73" s="82"/>
      <c r="G73" s="28"/>
      <c r="H73" s="28"/>
    </row>
    <row r="74" spans="1:8" ht="18.75" customHeight="1" x14ac:dyDescent="0.25">
      <c r="A74" s="7">
        <v>490</v>
      </c>
      <c r="B74" s="85">
        <v>2.4034E-2</v>
      </c>
      <c r="C74" s="83">
        <v>2996.9</v>
      </c>
      <c r="D74" s="83">
        <v>3309.3</v>
      </c>
      <c r="E74" s="82">
        <v>6.4043000000000001</v>
      </c>
      <c r="F74" s="82"/>
      <c r="G74" s="28"/>
      <c r="H74" s="28"/>
    </row>
    <row r="75" spans="1:8" ht="18.75" customHeight="1" x14ac:dyDescent="0.25">
      <c r="A75" s="7">
        <v>500</v>
      </c>
      <c r="B75" s="85">
        <v>2.4523E-2</v>
      </c>
      <c r="C75" s="83">
        <v>3018.3</v>
      </c>
      <c r="D75" s="83">
        <v>3337.1</v>
      </c>
      <c r="E75" s="82">
        <v>6.4405000000000001</v>
      </c>
      <c r="F75" s="82"/>
      <c r="G75" s="28"/>
      <c r="H75" s="28"/>
    </row>
    <row r="76" spans="1:8" ht="18.75" customHeight="1" x14ac:dyDescent="0.25">
      <c r="A76" s="7">
        <v>520</v>
      </c>
      <c r="B76" s="85">
        <v>2.5477E-2</v>
      </c>
      <c r="C76" s="83">
        <v>3060.5</v>
      </c>
      <c r="D76" s="83">
        <v>3391.7</v>
      </c>
      <c r="E76" s="82">
        <v>6.5101000000000004</v>
      </c>
      <c r="F76" s="82"/>
      <c r="G76" s="28"/>
      <c r="H76" s="28"/>
    </row>
    <row r="77" spans="1:8" ht="18.75" customHeight="1" x14ac:dyDescent="0.25">
      <c r="A77" s="7">
        <v>540</v>
      </c>
      <c r="B77" s="85">
        <v>2.6404E-2</v>
      </c>
      <c r="C77" s="83">
        <v>3101.7</v>
      </c>
      <c r="D77" s="83">
        <v>3445</v>
      </c>
      <c r="E77" s="82">
        <v>6.5766</v>
      </c>
      <c r="F77" s="82"/>
      <c r="G77" s="28"/>
      <c r="H77" s="28"/>
    </row>
    <row r="78" spans="1:8" ht="18.75" customHeight="1" x14ac:dyDescent="0.25">
      <c r="A78" s="7">
        <v>560</v>
      </c>
      <c r="B78" s="85">
        <v>2.7309E-2</v>
      </c>
      <c r="C78" s="83">
        <v>3142.5</v>
      </c>
      <c r="D78" s="83">
        <v>3497.5</v>
      </c>
      <c r="E78" s="82">
        <v>6.6402999999999999</v>
      </c>
      <c r="F78" s="82"/>
      <c r="G78" s="28"/>
      <c r="H78" s="28"/>
    </row>
    <row r="79" spans="1:8" ht="18.75" customHeight="1" x14ac:dyDescent="0.25">
      <c r="A79" s="7">
        <v>580</v>
      </c>
      <c r="B79" s="85">
        <v>2.8194E-2</v>
      </c>
      <c r="C79" s="83">
        <v>3182.7</v>
      </c>
      <c r="D79" s="83">
        <v>3549.2</v>
      </c>
      <c r="E79" s="82">
        <v>6.7016</v>
      </c>
      <c r="F79" s="82"/>
      <c r="G79" s="28"/>
      <c r="H79" s="28"/>
    </row>
    <row r="80" spans="1:8" ht="18.75" customHeight="1" x14ac:dyDescent="0.25">
      <c r="A80" s="7">
        <v>600</v>
      </c>
      <c r="B80" s="85">
        <v>2.9062999999999999E-2</v>
      </c>
      <c r="C80" s="83">
        <v>3222.6</v>
      </c>
      <c r="D80" s="83">
        <v>3600.4</v>
      </c>
      <c r="E80" s="82">
        <v>6.7609000000000004</v>
      </c>
      <c r="F80" s="82"/>
      <c r="G80" s="28"/>
      <c r="H80" s="28"/>
    </row>
    <row r="81" spans="1:8" ht="18.75" customHeight="1" x14ac:dyDescent="0.25">
      <c r="A81" s="7">
        <v>620</v>
      </c>
      <c r="B81" s="85">
        <v>2.9918E-2</v>
      </c>
      <c r="C81" s="83">
        <v>3262.2</v>
      </c>
      <c r="D81" s="83">
        <v>3651.1</v>
      </c>
      <c r="E81" s="82">
        <v>6.8183999999999996</v>
      </c>
      <c r="F81" s="82"/>
      <c r="G81" s="28"/>
      <c r="H81" s="28"/>
    </row>
    <row r="82" spans="1:8" ht="18.75" customHeight="1" x14ac:dyDescent="0.25">
      <c r="A82" s="7">
        <v>640</v>
      </c>
      <c r="B82" s="85">
        <v>3.0761E-2</v>
      </c>
      <c r="C82" s="83">
        <v>3301.6</v>
      </c>
      <c r="D82" s="83">
        <v>3701.5</v>
      </c>
      <c r="E82" s="82">
        <v>6.8742000000000001</v>
      </c>
      <c r="F82" s="82"/>
      <c r="G82" s="28"/>
      <c r="H82" s="28"/>
    </row>
    <row r="83" spans="1:8" ht="18.75" customHeight="1" x14ac:dyDescent="0.25">
      <c r="A83" s="7">
        <v>660</v>
      </c>
      <c r="B83" s="85">
        <v>3.1593000000000003E-2</v>
      </c>
      <c r="C83" s="83">
        <v>3341</v>
      </c>
      <c r="D83" s="83">
        <v>3751.7</v>
      </c>
      <c r="E83" s="82">
        <v>6.9286000000000003</v>
      </c>
      <c r="F83" s="82"/>
      <c r="G83" s="28"/>
      <c r="H83" s="28"/>
    </row>
    <row r="84" spans="1:8" ht="18.75" customHeight="1" x14ac:dyDescent="0.25">
      <c r="A84" s="7">
        <v>680</v>
      </c>
      <c r="B84" s="85">
        <v>3.2414999999999999E-2</v>
      </c>
      <c r="C84" s="83">
        <v>3380.3</v>
      </c>
      <c r="D84" s="83">
        <v>3801.7</v>
      </c>
      <c r="E84" s="82">
        <v>6.9816000000000003</v>
      </c>
      <c r="F84" s="82"/>
      <c r="G84" s="28"/>
      <c r="H84" s="28"/>
    </row>
    <row r="85" spans="1:8" ht="18.75" customHeight="1" x14ac:dyDescent="0.25">
      <c r="A85" s="7">
        <v>700</v>
      </c>
      <c r="B85" s="85">
        <v>3.3229000000000002E-2</v>
      </c>
      <c r="C85" s="83">
        <v>3419.5</v>
      </c>
      <c r="D85" s="83">
        <v>3851.5</v>
      </c>
      <c r="E85" s="82">
        <v>7.0332999999999997</v>
      </c>
      <c r="F85" s="82"/>
      <c r="G85" s="28"/>
      <c r="H85" s="28"/>
    </row>
    <row r="86" spans="1:8" ht="18.75" customHeight="1" x14ac:dyDescent="0.25">
      <c r="A86" s="7">
        <v>720</v>
      </c>
      <c r="B86" s="85">
        <v>3.4035999999999997E-2</v>
      </c>
      <c r="C86" s="83">
        <v>3458.8</v>
      </c>
      <c r="D86" s="83">
        <v>3901.3</v>
      </c>
      <c r="E86" s="82">
        <v>7.0839999999999996</v>
      </c>
      <c r="F86" s="82"/>
      <c r="G86" s="28"/>
      <c r="H86" s="28"/>
    </row>
    <row r="87" spans="1:8" ht="18.75" customHeight="1" x14ac:dyDescent="0.25">
      <c r="A87" s="7">
        <v>740</v>
      </c>
      <c r="B87" s="85">
        <v>3.4834999999999998E-2</v>
      </c>
      <c r="C87" s="83">
        <v>3498.2</v>
      </c>
      <c r="D87" s="83">
        <v>3951.1</v>
      </c>
      <c r="E87" s="82">
        <v>7.1336000000000004</v>
      </c>
      <c r="F87" s="82"/>
      <c r="G87" s="28"/>
      <c r="H87" s="28"/>
    </row>
    <row r="88" spans="1:8" ht="18.75" customHeight="1" x14ac:dyDescent="0.25">
      <c r="A88" s="7">
        <v>760</v>
      </c>
      <c r="B88" s="85">
        <v>3.5629000000000001E-2</v>
      </c>
      <c r="C88" s="83">
        <v>3537.6</v>
      </c>
      <c r="D88" s="83">
        <v>4000.8</v>
      </c>
      <c r="E88" s="82">
        <v>7.1821999999999999</v>
      </c>
      <c r="F88" s="82"/>
      <c r="G88" s="28"/>
      <c r="H88" s="28"/>
    </row>
    <row r="89" spans="1:8" ht="18.75" customHeight="1" x14ac:dyDescent="0.25">
      <c r="A89" s="7">
        <v>780</v>
      </c>
      <c r="B89" s="85">
        <v>3.6416999999999998E-2</v>
      </c>
      <c r="C89" s="83">
        <v>3577.2</v>
      </c>
      <c r="D89" s="83">
        <v>4050.6</v>
      </c>
      <c r="E89" s="82">
        <v>7.2298999999999998</v>
      </c>
      <c r="F89" s="82"/>
      <c r="G89" s="28"/>
      <c r="H89" s="28"/>
    </row>
    <row r="90" spans="1:8" ht="18.75" customHeight="1" x14ac:dyDescent="0.25">
      <c r="A90" s="7">
        <v>800</v>
      </c>
      <c r="B90" s="85">
        <v>3.7199999999999997E-2</v>
      </c>
      <c r="C90" s="83">
        <v>3616.8</v>
      </c>
      <c r="D90" s="83">
        <v>4100.3999999999996</v>
      </c>
      <c r="E90" s="82">
        <v>7.2767999999999997</v>
      </c>
      <c r="F90" s="82"/>
      <c r="G90" s="28"/>
      <c r="H90" s="28"/>
    </row>
    <row r="91" spans="1:8" ht="18.75" customHeight="1" x14ac:dyDescent="0.25">
      <c r="A91" s="7">
        <v>820</v>
      </c>
      <c r="B91" s="85">
        <v>3.7977999999999998E-2</v>
      </c>
      <c r="C91" s="83">
        <v>3656.7</v>
      </c>
      <c r="D91" s="83">
        <v>4150.3999999999996</v>
      </c>
      <c r="E91" s="82">
        <v>7.3228999999999997</v>
      </c>
      <c r="F91" s="82"/>
      <c r="G91" s="28"/>
      <c r="H91" s="28"/>
    </row>
    <row r="92" spans="1:8" ht="18.75" customHeight="1" x14ac:dyDescent="0.25">
      <c r="A92" s="7">
        <v>840</v>
      </c>
      <c r="B92" s="85">
        <v>3.8753000000000003E-2</v>
      </c>
      <c r="C92" s="83">
        <v>3696.5</v>
      </c>
      <c r="D92" s="83">
        <v>4200.3</v>
      </c>
      <c r="E92" s="82">
        <v>7.3681999999999999</v>
      </c>
      <c r="F92" s="82"/>
      <c r="G92" s="28"/>
      <c r="H92" s="28"/>
    </row>
    <row r="93" spans="1:8" ht="18.75" customHeight="1" x14ac:dyDescent="0.25">
      <c r="A93" s="7">
        <v>860</v>
      </c>
      <c r="B93" s="85">
        <v>3.9523000000000003E-2</v>
      </c>
      <c r="C93" s="83">
        <v>3736.7</v>
      </c>
      <c r="D93" s="83">
        <v>4250.5</v>
      </c>
      <c r="E93" s="82">
        <v>7.4127999999999998</v>
      </c>
      <c r="F93" s="82"/>
      <c r="G93" s="28"/>
      <c r="H93" s="28"/>
    </row>
    <row r="94" spans="1:8" ht="18.75" customHeight="1" x14ac:dyDescent="0.25">
      <c r="A94" s="7">
        <v>880</v>
      </c>
      <c r="B94" s="85">
        <v>4.0289999999999999E-2</v>
      </c>
      <c r="C94" s="83">
        <v>3776.9</v>
      </c>
      <c r="D94" s="83">
        <v>4300.7</v>
      </c>
      <c r="E94" s="82">
        <v>7.4566999999999997</v>
      </c>
      <c r="F94" s="82"/>
      <c r="G94" s="28"/>
      <c r="H94" s="28"/>
    </row>
    <row r="95" spans="1:8" ht="18.75" customHeight="1" x14ac:dyDescent="0.25">
      <c r="A95" s="7">
        <v>900</v>
      </c>
      <c r="B95" s="85">
        <v>4.1054E-2</v>
      </c>
      <c r="C95" s="83">
        <v>3817.3</v>
      </c>
      <c r="D95" s="83">
        <v>4351</v>
      </c>
      <c r="E95" s="82">
        <v>7.5</v>
      </c>
      <c r="F95" s="82"/>
      <c r="G95" s="28"/>
      <c r="H95" s="28"/>
    </row>
    <row r="96" spans="1:8" ht="18.75" customHeight="1" x14ac:dyDescent="0.25">
      <c r="A96" s="7">
        <v>920</v>
      </c>
      <c r="B96" s="85">
        <v>4.1814999999999998E-2</v>
      </c>
      <c r="C96" s="83">
        <v>3857.9</v>
      </c>
      <c r="D96" s="83">
        <v>4401.5</v>
      </c>
      <c r="E96" s="82">
        <v>7.5427</v>
      </c>
      <c r="F96" s="82"/>
      <c r="G96" s="28"/>
      <c r="H96" s="28"/>
    </row>
    <row r="97" spans="1:8" ht="18.75" customHeight="1" x14ac:dyDescent="0.25">
      <c r="A97" s="7">
        <v>940</v>
      </c>
      <c r="B97" s="85">
        <v>4.2573E-2</v>
      </c>
      <c r="C97" s="83">
        <v>3898.8</v>
      </c>
      <c r="D97" s="83">
        <v>4452.2</v>
      </c>
      <c r="E97" s="82">
        <v>7.5848000000000004</v>
      </c>
      <c r="F97" s="82"/>
      <c r="G97" s="28"/>
      <c r="H97" s="28"/>
    </row>
    <row r="98" spans="1:8" ht="18.75" customHeight="1" x14ac:dyDescent="0.25">
      <c r="A98" s="7">
        <v>960</v>
      </c>
      <c r="B98" s="85">
        <v>4.3328999999999999E-2</v>
      </c>
      <c r="C98" s="83">
        <v>3939.7</v>
      </c>
      <c r="D98" s="83">
        <v>4503</v>
      </c>
      <c r="E98" s="82">
        <v>7.6262999999999996</v>
      </c>
      <c r="F98" s="82"/>
      <c r="G98" s="28"/>
      <c r="H98" s="28"/>
    </row>
    <row r="99" spans="1:8" ht="18.75" customHeight="1" x14ac:dyDescent="0.25">
      <c r="A99" s="7">
        <v>980</v>
      </c>
      <c r="B99" s="85">
        <v>4.4082000000000003E-2</v>
      </c>
      <c r="C99" s="83">
        <v>3980.8</v>
      </c>
      <c r="D99" s="83">
        <v>4553.8999999999996</v>
      </c>
      <c r="E99" s="82">
        <v>7.6673</v>
      </c>
      <c r="F99" s="82"/>
      <c r="G99" s="28"/>
      <c r="H99" s="28"/>
    </row>
    <row r="100" spans="1:8" ht="18.75" customHeight="1" x14ac:dyDescent="0.25">
      <c r="A100" s="7">
        <v>1000</v>
      </c>
      <c r="B100" s="85">
        <v>4.4832999999999998E-2</v>
      </c>
      <c r="C100" s="83">
        <v>4022.2</v>
      </c>
      <c r="D100" s="83">
        <v>4605</v>
      </c>
      <c r="E100" s="82">
        <v>7.7077999999999998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H100"/>
  <sheetViews>
    <sheetView topLeftCell="A52" workbookViewId="0">
      <selection activeCell="A59" sqref="A59:XFD59"/>
    </sheetView>
  </sheetViews>
  <sheetFormatPr defaultRowHeight="13.2" x14ac:dyDescent="0.25"/>
  <cols>
    <col min="1" max="1" width="10.33203125" customWidth="1"/>
    <col min="2" max="2" width="10.77734375" customWidth="1"/>
    <col min="3" max="3" width="7.77734375" customWidth="1"/>
    <col min="4" max="4" width="7.44140625" customWidth="1"/>
    <col min="5" max="5" width="9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93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14000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9.9324999999999999E-4</v>
      </c>
      <c r="C5" s="80">
        <v>0.16</v>
      </c>
      <c r="D5" s="80">
        <v>14.07</v>
      </c>
      <c r="E5" s="81">
        <v>4.2999999999999999E-4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9.9335000000000005E-4</v>
      </c>
      <c r="C6" s="80">
        <v>20.92</v>
      </c>
      <c r="D6" s="80">
        <v>34.83</v>
      </c>
      <c r="E6" s="81">
        <v>7.5740000000000002E-2</v>
      </c>
      <c r="F6" s="81"/>
      <c r="G6" s="28"/>
      <c r="H6" s="28"/>
    </row>
    <row r="7" spans="1:8" ht="18.75" customHeight="1" x14ac:dyDescent="0.25">
      <c r="A7" s="7">
        <v>10</v>
      </c>
      <c r="B7" s="79">
        <v>9.9379000000000004E-4</v>
      </c>
      <c r="C7" s="80">
        <v>41.66</v>
      </c>
      <c r="D7" s="80">
        <v>55.57</v>
      </c>
      <c r="E7" s="81">
        <v>0.14963000000000001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9.9452999999999998E-4</v>
      </c>
      <c r="C8" s="80">
        <v>62.37</v>
      </c>
      <c r="D8" s="80">
        <v>76.290000000000006</v>
      </c>
      <c r="E8" s="81">
        <v>0.22217999999999999</v>
      </c>
      <c r="F8" s="81"/>
      <c r="G8" s="28"/>
      <c r="H8" s="28"/>
    </row>
    <row r="9" spans="1:8" ht="18.75" customHeight="1" x14ac:dyDescent="0.25">
      <c r="A9" s="7">
        <v>20</v>
      </c>
      <c r="B9" s="79">
        <v>9.9554000000000005E-4</v>
      </c>
      <c r="C9" s="80">
        <v>83.06</v>
      </c>
      <c r="D9" s="80">
        <v>97</v>
      </c>
      <c r="E9" s="81">
        <v>0.29344999999999999</v>
      </c>
      <c r="F9" s="81"/>
      <c r="G9" s="28"/>
      <c r="H9" s="28"/>
    </row>
    <row r="10" spans="1:8" ht="18.75" customHeight="1" x14ac:dyDescent="0.25">
      <c r="A10" s="7">
        <v>25</v>
      </c>
      <c r="B10" s="79">
        <v>9.9678000000000006E-4</v>
      </c>
      <c r="C10" s="80">
        <v>103.77</v>
      </c>
      <c r="D10" s="80">
        <v>117.72</v>
      </c>
      <c r="E10" s="81">
        <v>0.36352000000000001</v>
      </c>
      <c r="F10" s="81"/>
      <c r="G10" s="28"/>
      <c r="H10" s="28"/>
    </row>
    <row r="11" spans="1:8" ht="18.75" customHeight="1" x14ac:dyDescent="0.25">
      <c r="A11" s="7">
        <v>30</v>
      </c>
      <c r="B11" s="79">
        <v>9.9825000000000001E-4</v>
      </c>
      <c r="C11" s="80">
        <v>124.46</v>
      </c>
      <c r="D11" s="80">
        <v>138.44</v>
      </c>
      <c r="E11" s="81">
        <v>0.43242999999999998</v>
      </c>
      <c r="F11" s="81"/>
      <c r="G11" s="28"/>
      <c r="H11" s="28"/>
    </row>
    <row r="12" spans="1:8" ht="18.75" customHeight="1" x14ac:dyDescent="0.25">
      <c r="A12" s="7">
        <v>35</v>
      </c>
      <c r="B12" s="79">
        <v>9.9992000000000006E-4</v>
      </c>
      <c r="C12" s="80">
        <v>145.16</v>
      </c>
      <c r="D12" s="80">
        <v>159.16</v>
      </c>
      <c r="E12" s="81">
        <v>0.50022</v>
      </c>
      <c r="F12" s="81"/>
      <c r="G12" s="28"/>
      <c r="H12" s="28"/>
    </row>
    <row r="13" spans="1:8" ht="18.75" customHeight="1" x14ac:dyDescent="0.25">
      <c r="A13" s="7">
        <v>40</v>
      </c>
      <c r="B13" s="79">
        <v>1.0017800000000001E-3</v>
      </c>
      <c r="C13" s="80">
        <v>165.87</v>
      </c>
      <c r="D13" s="80">
        <v>179.89</v>
      </c>
      <c r="E13" s="81">
        <v>0.56694999999999995</v>
      </c>
      <c r="F13" s="81"/>
      <c r="G13" s="28"/>
      <c r="H13" s="28"/>
    </row>
    <row r="14" spans="1:8" ht="18.75" customHeight="1" x14ac:dyDescent="0.25">
      <c r="A14" s="7">
        <v>45</v>
      </c>
      <c r="B14" s="79">
        <v>1.0038200000000001E-3</v>
      </c>
      <c r="C14" s="80">
        <v>186.57</v>
      </c>
      <c r="D14" s="80">
        <v>200.62</v>
      </c>
      <c r="E14" s="81">
        <v>0.63265000000000005</v>
      </c>
      <c r="F14" s="81"/>
      <c r="G14" s="28"/>
      <c r="H14" s="28"/>
    </row>
    <row r="15" spans="1:8" ht="18.75" customHeight="1" x14ac:dyDescent="0.25">
      <c r="A15" s="7">
        <v>50</v>
      </c>
      <c r="B15" s="79">
        <v>1.00603E-3</v>
      </c>
      <c r="C15" s="80">
        <v>207.29</v>
      </c>
      <c r="D15" s="80">
        <v>221.37</v>
      </c>
      <c r="E15" s="81">
        <v>0.69735999999999998</v>
      </c>
      <c r="F15" s="81"/>
      <c r="G15" s="28"/>
      <c r="H15" s="28"/>
    </row>
    <row r="16" spans="1:8" ht="18.75" customHeight="1" x14ac:dyDescent="0.25">
      <c r="A16" s="7">
        <v>55</v>
      </c>
      <c r="B16" s="79">
        <v>1.0084E-3</v>
      </c>
      <c r="C16" s="80">
        <v>228.01</v>
      </c>
      <c r="D16" s="80">
        <v>242.13</v>
      </c>
      <c r="E16" s="81">
        <v>0.7611</v>
      </c>
      <c r="F16" s="81"/>
      <c r="G16" s="28"/>
      <c r="H16" s="28"/>
    </row>
    <row r="17" spans="1:8" ht="18.75" customHeight="1" x14ac:dyDescent="0.25">
      <c r="A17" s="7">
        <v>60</v>
      </c>
      <c r="B17" s="79">
        <v>1.0109400000000001E-3</v>
      </c>
      <c r="C17" s="80">
        <v>248.75</v>
      </c>
      <c r="D17" s="80">
        <v>262.89999999999998</v>
      </c>
      <c r="E17" s="81">
        <v>0.82391999999999999</v>
      </c>
      <c r="F17" s="81"/>
      <c r="G17" s="28"/>
      <c r="H17" s="28"/>
    </row>
    <row r="18" spans="1:8" ht="18.75" customHeight="1" x14ac:dyDescent="0.25">
      <c r="A18" s="7">
        <v>65</v>
      </c>
      <c r="B18" s="79">
        <v>1.01363E-3</v>
      </c>
      <c r="C18" s="80">
        <v>269.49</v>
      </c>
      <c r="D18" s="80">
        <v>283.68</v>
      </c>
      <c r="E18" s="81">
        <v>0.88583999999999996</v>
      </c>
      <c r="F18" s="81"/>
      <c r="G18" s="28"/>
      <c r="H18" s="28"/>
    </row>
    <row r="19" spans="1:8" ht="18.75" customHeight="1" x14ac:dyDescent="0.25">
      <c r="A19" s="7">
        <v>70</v>
      </c>
      <c r="B19" s="79">
        <v>1.01647E-3</v>
      </c>
      <c r="C19" s="80">
        <v>290.25</v>
      </c>
      <c r="D19" s="80">
        <v>304.48</v>
      </c>
      <c r="E19" s="81">
        <v>0.94689000000000001</v>
      </c>
      <c r="F19" s="81"/>
      <c r="G19" s="28"/>
      <c r="H19" s="28"/>
    </row>
    <row r="20" spans="1:8" ht="18.75" customHeight="1" x14ac:dyDescent="0.25">
      <c r="A20" s="7">
        <v>75</v>
      </c>
      <c r="B20" s="79">
        <v>1.0194500000000001E-3</v>
      </c>
      <c r="C20" s="80">
        <v>311.02</v>
      </c>
      <c r="D20" s="80">
        <v>325.29000000000002</v>
      </c>
      <c r="E20" s="82">
        <v>1.0071000000000001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1.0225799999999999E-3</v>
      </c>
      <c r="C21" s="80">
        <v>331.8</v>
      </c>
      <c r="D21" s="80">
        <v>346.12</v>
      </c>
      <c r="E21" s="82">
        <v>1.0665</v>
      </c>
      <c r="F21" s="82"/>
      <c r="G21" s="28"/>
      <c r="H21" s="28"/>
    </row>
    <row r="22" spans="1:8" ht="18.75" customHeight="1" x14ac:dyDescent="0.25">
      <c r="A22" s="7">
        <v>85</v>
      </c>
      <c r="B22" s="79">
        <v>1.02586E-3</v>
      </c>
      <c r="C22" s="80">
        <v>352.61</v>
      </c>
      <c r="D22" s="80">
        <v>366.97</v>
      </c>
      <c r="E22" s="82">
        <v>1.1251</v>
      </c>
      <c r="F22" s="82"/>
      <c r="G22" s="28"/>
      <c r="H22" s="28"/>
    </row>
    <row r="23" spans="1:8" ht="18.75" customHeight="1" x14ac:dyDescent="0.25">
      <c r="A23" s="7">
        <v>90</v>
      </c>
      <c r="B23" s="79">
        <v>1.02928E-3</v>
      </c>
      <c r="C23" s="80">
        <v>373.42</v>
      </c>
      <c r="D23" s="80">
        <v>387.83</v>
      </c>
      <c r="E23" s="82">
        <v>1.1830000000000001</v>
      </c>
      <c r="F23" s="82"/>
      <c r="G23" s="28"/>
      <c r="H23" s="28"/>
    </row>
    <row r="24" spans="1:8" ht="18.75" customHeight="1" x14ac:dyDescent="0.25">
      <c r="A24" s="7">
        <v>95</v>
      </c>
      <c r="B24" s="79">
        <v>1.0328399999999999E-3</v>
      </c>
      <c r="C24" s="80">
        <v>394.26</v>
      </c>
      <c r="D24" s="80">
        <v>408.72</v>
      </c>
      <c r="E24" s="82">
        <v>1.2401</v>
      </c>
      <c r="F24" s="82"/>
      <c r="G24" s="28"/>
      <c r="H24" s="28"/>
    </row>
    <row r="25" spans="1:8" ht="18.75" customHeight="1" x14ac:dyDescent="0.25">
      <c r="A25" s="7">
        <v>100</v>
      </c>
      <c r="B25" s="79">
        <v>1.0365400000000001E-3</v>
      </c>
      <c r="C25" s="80">
        <v>415.12</v>
      </c>
      <c r="D25" s="80">
        <v>429.63</v>
      </c>
      <c r="E25" s="82">
        <v>1.2965</v>
      </c>
      <c r="F25" s="82"/>
      <c r="G25" s="28"/>
      <c r="H25" s="28"/>
    </row>
    <row r="26" spans="1:8" ht="18.75" customHeight="1" x14ac:dyDescent="0.25">
      <c r="A26" s="7">
        <v>105</v>
      </c>
      <c r="B26" s="79">
        <v>1.04038E-3</v>
      </c>
      <c r="C26" s="80">
        <v>436</v>
      </c>
      <c r="D26" s="80">
        <v>450.57</v>
      </c>
      <c r="E26" s="82">
        <v>1.3523000000000001</v>
      </c>
      <c r="F26" s="82"/>
      <c r="G26" s="28"/>
      <c r="H26" s="28"/>
    </row>
    <row r="27" spans="1:8" ht="18.75" customHeight="1" x14ac:dyDescent="0.25">
      <c r="A27" s="7">
        <v>110</v>
      </c>
      <c r="B27" s="79">
        <v>1.04437E-3</v>
      </c>
      <c r="C27" s="80">
        <v>456.92</v>
      </c>
      <c r="D27" s="80">
        <v>471.54</v>
      </c>
      <c r="E27" s="82">
        <v>1.4073</v>
      </c>
      <c r="F27" s="82"/>
      <c r="G27" s="28"/>
      <c r="H27" s="28"/>
    </row>
    <row r="28" spans="1:8" ht="18.75" customHeight="1" x14ac:dyDescent="0.25">
      <c r="A28" s="7">
        <v>115</v>
      </c>
      <c r="B28" s="79">
        <v>1.0485E-3</v>
      </c>
      <c r="C28" s="80">
        <v>477.86</v>
      </c>
      <c r="D28" s="80">
        <v>492.54</v>
      </c>
      <c r="E28" s="82">
        <v>1.4618</v>
      </c>
      <c r="F28" s="82"/>
      <c r="G28" s="28"/>
      <c r="H28" s="28"/>
    </row>
    <row r="29" spans="1:8" ht="18.75" customHeight="1" x14ac:dyDescent="0.25">
      <c r="A29" s="7">
        <v>120</v>
      </c>
      <c r="B29" s="79">
        <v>1.0527799999999999E-3</v>
      </c>
      <c r="C29" s="80">
        <v>498.83</v>
      </c>
      <c r="D29" s="80">
        <v>513.57000000000005</v>
      </c>
      <c r="E29" s="82">
        <v>1.5156000000000001</v>
      </c>
      <c r="F29" s="82"/>
      <c r="G29" s="28"/>
      <c r="H29" s="28"/>
    </row>
    <row r="30" spans="1:8" ht="18.75" customHeight="1" x14ac:dyDescent="0.25">
      <c r="A30" s="7">
        <v>125</v>
      </c>
      <c r="B30" s="79">
        <v>1.0571999999999999E-3</v>
      </c>
      <c r="C30" s="80">
        <v>519.83000000000004</v>
      </c>
      <c r="D30" s="80">
        <v>534.63</v>
      </c>
      <c r="E30" s="82">
        <v>1.5689</v>
      </c>
      <c r="F30" s="82"/>
      <c r="G30" s="28"/>
      <c r="H30" s="28"/>
    </row>
    <row r="31" spans="1:8" ht="18.75" customHeight="1" x14ac:dyDescent="0.25">
      <c r="A31" s="7">
        <v>130</v>
      </c>
      <c r="B31" s="79">
        <v>1.06178E-3</v>
      </c>
      <c r="C31" s="80">
        <v>540.88</v>
      </c>
      <c r="D31" s="80">
        <v>555.74</v>
      </c>
      <c r="E31" s="82">
        <v>1.6215999999999999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1.0665099999999999E-3</v>
      </c>
      <c r="C32" s="80">
        <v>561.96</v>
      </c>
      <c r="D32" s="80">
        <v>576.89</v>
      </c>
      <c r="E32" s="82">
        <v>1.6737</v>
      </c>
      <c r="F32" s="82"/>
      <c r="G32" s="28"/>
      <c r="H32" s="28"/>
    </row>
    <row r="33" spans="1:8" ht="18.75" customHeight="1" x14ac:dyDescent="0.25">
      <c r="A33" s="7">
        <v>140</v>
      </c>
      <c r="B33" s="79">
        <v>1.0713999999999999E-3</v>
      </c>
      <c r="C33" s="80">
        <v>583.09</v>
      </c>
      <c r="D33" s="80">
        <v>598.09</v>
      </c>
      <c r="E33" s="82">
        <v>1.7253000000000001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1.07646E-3</v>
      </c>
      <c r="C34" s="80">
        <v>604.26</v>
      </c>
      <c r="D34" s="80">
        <v>619.33000000000004</v>
      </c>
      <c r="E34" s="82">
        <v>1.7764</v>
      </c>
      <c r="F34" s="82"/>
      <c r="G34" s="28"/>
      <c r="H34" s="28"/>
    </row>
    <row r="35" spans="1:8" ht="18.75" customHeight="1" x14ac:dyDescent="0.25">
      <c r="A35" s="7">
        <v>150</v>
      </c>
      <c r="B35" s="79">
        <v>1.0816700000000001E-3</v>
      </c>
      <c r="C35" s="80">
        <v>625.49</v>
      </c>
      <c r="D35" s="80">
        <v>640.63</v>
      </c>
      <c r="E35" s="82">
        <v>1.8270999999999999</v>
      </c>
      <c r="F35" s="82"/>
      <c r="G35" s="28"/>
      <c r="H35" s="28"/>
    </row>
    <row r="36" spans="1:8" ht="18.75" customHeight="1" x14ac:dyDescent="0.25">
      <c r="A36" s="7">
        <v>155</v>
      </c>
      <c r="B36" s="79">
        <v>1.0870599999999999E-3</v>
      </c>
      <c r="C36" s="80">
        <v>646.77</v>
      </c>
      <c r="D36" s="80">
        <v>661.99</v>
      </c>
      <c r="E36" s="82">
        <v>1.8772</v>
      </c>
      <c r="F36" s="82"/>
      <c r="G36" s="28"/>
      <c r="H36" s="28"/>
    </row>
    <row r="37" spans="1:8" ht="18.75" customHeight="1" x14ac:dyDescent="0.25">
      <c r="A37" s="7">
        <v>160</v>
      </c>
      <c r="B37" s="79">
        <v>1.09263E-3</v>
      </c>
      <c r="C37" s="80">
        <v>668.11</v>
      </c>
      <c r="D37" s="80">
        <v>683.41</v>
      </c>
      <c r="E37" s="82">
        <v>1.927</v>
      </c>
      <c r="F37" s="82"/>
      <c r="G37" s="28"/>
      <c r="H37" s="28"/>
    </row>
    <row r="38" spans="1:8" ht="18.75" customHeight="1" x14ac:dyDescent="0.25">
      <c r="A38" s="7">
        <v>165</v>
      </c>
      <c r="B38" s="79">
        <v>1.0983799999999999E-3</v>
      </c>
      <c r="C38" s="80">
        <v>689.51</v>
      </c>
      <c r="D38" s="80">
        <v>704.89</v>
      </c>
      <c r="E38" s="82">
        <v>1.9762999999999999</v>
      </c>
      <c r="F38" s="82"/>
      <c r="G38" s="28"/>
      <c r="H38" s="28"/>
    </row>
    <row r="39" spans="1:8" ht="18.75" customHeight="1" x14ac:dyDescent="0.25">
      <c r="A39" s="7">
        <v>170</v>
      </c>
      <c r="B39" s="79">
        <v>1.10432E-3</v>
      </c>
      <c r="C39" s="80">
        <v>710.99</v>
      </c>
      <c r="D39" s="80">
        <v>726.45</v>
      </c>
      <c r="E39" s="82">
        <v>2.0251999999999999</v>
      </c>
      <c r="F39" s="82"/>
      <c r="G39" s="28"/>
      <c r="H39" s="28"/>
    </row>
    <row r="40" spans="1:8" ht="18.75" customHeight="1" x14ac:dyDescent="0.25">
      <c r="A40" s="7">
        <v>175</v>
      </c>
      <c r="B40" s="79">
        <v>1.11046E-3</v>
      </c>
      <c r="C40" s="80">
        <v>732.53</v>
      </c>
      <c r="D40" s="80">
        <v>748.08</v>
      </c>
      <c r="E40" s="82">
        <v>2.0737999999999999</v>
      </c>
      <c r="F40" s="82"/>
      <c r="G40" s="28"/>
      <c r="H40" s="28"/>
    </row>
    <row r="41" spans="1:8" ht="18.75" customHeight="1" x14ac:dyDescent="0.25">
      <c r="A41" s="7">
        <v>180</v>
      </c>
      <c r="B41" s="79">
        <v>1.1168E-3</v>
      </c>
      <c r="C41" s="80">
        <v>754.15</v>
      </c>
      <c r="D41" s="80">
        <v>769.79</v>
      </c>
      <c r="E41" s="82">
        <v>2.1219000000000001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1.1233599999999999E-3</v>
      </c>
      <c r="C42" s="80">
        <v>775.86</v>
      </c>
      <c r="D42" s="80">
        <v>791.59</v>
      </c>
      <c r="E42" s="82">
        <v>2.1698</v>
      </c>
      <c r="F42" s="82"/>
      <c r="G42" s="28"/>
      <c r="H42" s="28"/>
    </row>
    <row r="43" spans="1:8" ht="18.75" customHeight="1" x14ac:dyDescent="0.25">
      <c r="A43" s="7">
        <v>190</v>
      </c>
      <c r="B43" s="79">
        <v>1.13014E-3</v>
      </c>
      <c r="C43" s="80">
        <v>797.65</v>
      </c>
      <c r="D43" s="80">
        <v>813.47</v>
      </c>
      <c r="E43" s="82">
        <v>2.2172999999999998</v>
      </c>
      <c r="F43" s="82"/>
      <c r="G43" s="28"/>
      <c r="H43" s="28"/>
    </row>
    <row r="44" spans="1:8" ht="18.75" customHeight="1" x14ac:dyDescent="0.25">
      <c r="A44" s="7">
        <v>195</v>
      </c>
      <c r="B44" s="79">
        <v>1.1371599999999999E-3</v>
      </c>
      <c r="C44" s="80">
        <v>819.54</v>
      </c>
      <c r="D44" s="80">
        <v>835.46</v>
      </c>
      <c r="E44" s="82">
        <v>2.2645</v>
      </c>
      <c r="F44" s="82"/>
      <c r="G44" s="28"/>
      <c r="H44" s="28"/>
    </row>
    <row r="45" spans="1:8" ht="18.75" customHeight="1" x14ac:dyDescent="0.25">
      <c r="A45" s="7">
        <v>200</v>
      </c>
      <c r="B45" s="79">
        <v>1.1444300000000001E-3</v>
      </c>
      <c r="C45" s="80">
        <v>841.53</v>
      </c>
      <c r="D45" s="80">
        <v>857.55</v>
      </c>
      <c r="E45" s="82">
        <v>2.3113999999999999</v>
      </c>
      <c r="F45" s="82"/>
      <c r="G45" s="28"/>
      <c r="H45" s="28"/>
    </row>
    <row r="46" spans="1:8" ht="18.75" customHeight="1" x14ac:dyDescent="0.25">
      <c r="A46" s="7">
        <v>210</v>
      </c>
      <c r="B46" s="79">
        <v>1.1597700000000001E-3</v>
      </c>
      <c r="C46" s="80">
        <v>885.83</v>
      </c>
      <c r="D46" s="80">
        <v>902.07</v>
      </c>
      <c r="E46" s="82">
        <v>2.4045000000000001</v>
      </c>
      <c r="F46" s="82"/>
      <c r="G46" s="28"/>
      <c r="H46" s="28"/>
    </row>
    <row r="47" spans="1:8" ht="18.75" customHeight="1" x14ac:dyDescent="0.25">
      <c r="A47" s="7">
        <v>220</v>
      </c>
      <c r="B47" s="79">
        <v>1.17628E-3</v>
      </c>
      <c r="C47" s="80">
        <v>930.63</v>
      </c>
      <c r="D47" s="80">
        <v>947.1</v>
      </c>
      <c r="E47" s="82">
        <v>2.4967999999999999</v>
      </c>
      <c r="F47" s="82"/>
      <c r="G47" s="28"/>
      <c r="H47" s="28"/>
    </row>
    <row r="48" spans="1:8" ht="18.75" customHeight="1" x14ac:dyDescent="0.25">
      <c r="A48" s="7">
        <v>230</v>
      </c>
      <c r="B48" s="79">
        <v>1.1941199999999999E-3</v>
      </c>
      <c r="C48" s="80">
        <v>975.99</v>
      </c>
      <c r="D48" s="80">
        <v>992.71</v>
      </c>
      <c r="E48" s="82">
        <v>2.5882999999999998</v>
      </c>
      <c r="F48" s="82"/>
      <c r="G48" s="28"/>
      <c r="H48" s="28"/>
    </row>
    <row r="49" spans="1:8" ht="18.75" customHeight="1" x14ac:dyDescent="0.25">
      <c r="A49" s="7">
        <v>240</v>
      </c>
      <c r="B49" s="79">
        <v>1.2134800000000001E-3</v>
      </c>
      <c r="C49" s="83">
        <v>1022</v>
      </c>
      <c r="D49" s="83">
        <v>1039</v>
      </c>
      <c r="E49" s="82">
        <v>2.6793999999999998</v>
      </c>
      <c r="F49" s="82"/>
      <c r="G49" s="28"/>
      <c r="H49" s="28"/>
    </row>
    <row r="50" spans="1:8" ht="18.75" customHeight="1" x14ac:dyDescent="0.25">
      <c r="A50" s="7">
        <v>250</v>
      </c>
      <c r="B50" s="79">
        <v>1.23459E-3</v>
      </c>
      <c r="C50" s="83">
        <v>1068.7</v>
      </c>
      <c r="D50" s="83">
        <v>1086</v>
      </c>
      <c r="E50" s="82">
        <v>2.7702</v>
      </c>
      <c r="F50" s="82"/>
      <c r="G50" s="28"/>
      <c r="H50" s="28"/>
    </row>
    <row r="51" spans="1:8" ht="18.75" customHeight="1" x14ac:dyDescent="0.25">
      <c r="A51" s="7">
        <v>260</v>
      </c>
      <c r="B51" s="79">
        <v>1.25778E-3</v>
      </c>
      <c r="C51" s="83">
        <v>1116.4000000000001</v>
      </c>
      <c r="D51" s="83">
        <v>1134</v>
      </c>
      <c r="E51" s="82">
        <v>2.8610000000000002</v>
      </c>
      <c r="F51" s="82"/>
      <c r="G51" s="28"/>
      <c r="H51" s="28"/>
    </row>
    <row r="52" spans="1:8" ht="18.75" customHeight="1" x14ac:dyDescent="0.25">
      <c r="A52" s="7">
        <v>270</v>
      </c>
      <c r="B52" s="79">
        <v>1.2834400000000001E-3</v>
      </c>
      <c r="C52" s="83">
        <v>1165</v>
      </c>
      <c r="D52" s="83">
        <v>1183</v>
      </c>
      <c r="E52" s="82">
        <v>2.9521000000000002</v>
      </c>
      <c r="F52" s="82"/>
      <c r="G52" s="28"/>
      <c r="H52" s="28"/>
    </row>
    <row r="53" spans="1:8" ht="18.75" customHeight="1" x14ac:dyDescent="0.25">
      <c r="A53" s="7">
        <v>280</v>
      </c>
      <c r="B53" s="79">
        <v>1.31212E-3</v>
      </c>
      <c r="C53" s="83">
        <v>1215</v>
      </c>
      <c r="D53" s="83">
        <v>1233.4000000000001</v>
      </c>
      <c r="E53" s="82">
        <v>3.044</v>
      </c>
      <c r="F53" s="82"/>
      <c r="G53" s="28"/>
      <c r="H53" s="28"/>
    </row>
    <row r="54" spans="1:8" ht="18.75" customHeight="1" x14ac:dyDescent="0.25">
      <c r="A54" s="7">
        <v>290</v>
      </c>
      <c r="B54" s="79">
        <v>1.3446E-3</v>
      </c>
      <c r="C54" s="83">
        <v>1266.5</v>
      </c>
      <c r="D54" s="83">
        <v>1285.3</v>
      </c>
      <c r="E54" s="82">
        <v>3.137</v>
      </c>
      <c r="F54" s="82"/>
      <c r="G54" s="28"/>
      <c r="H54" s="28"/>
    </row>
    <row r="55" spans="1:8" ht="18.75" customHeight="1" x14ac:dyDescent="0.25">
      <c r="A55" s="7">
        <v>300</v>
      </c>
      <c r="B55" s="79">
        <v>1.3819800000000001E-3</v>
      </c>
      <c r="C55" s="83">
        <v>1319.9</v>
      </c>
      <c r="D55" s="83">
        <v>1339.2</v>
      </c>
      <c r="E55" s="82">
        <v>3.2319</v>
      </c>
      <c r="F55" s="82"/>
      <c r="G55" s="28"/>
      <c r="H55" s="28"/>
    </row>
    <row r="56" spans="1:8" ht="18.75" customHeight="1" x14ac:dyDescent="0.25">
      <c r="A56" s="7">
        <v>310</v>
      </c>
      <c r="B56" s="79">
        <v>1.42603E-3</v>
      </c>
      <c r="C56" s="83">
        <v>1375.8</v>
      </c>
      <c r="D56" s="83">
        <v>1395.8</v>
      </c>
      <c r="E56" s="82">
        <v>3.3296999999999999</v>
      </c>
      <c r="F56" s="82"/>
      <c r="G56" s="28"/>
      <c r="H56" s="28"/>
    </row>
    <row r="57" spans="1:8" ht="18.75" customHeight="1" x14ac:dyDescent="0.25">
      <c r="A57" s="7">
        <v>320</v>
      </c>
      <c r="B57" s="79">
        <v>1.4797199999999999E-3</v>
      </c>
      <c r="C57" s="83">
        <v>1435.3</v>
      </c>
      <c r="D57" s="83">
        <v>1456</v>
      </c>
      <c r="E57" s="82">
        <v>3.4321999999999999</v>
      </c>
      <c r="F57" s="82"/>
      <c r="G57" s="28"/>
      <c r="H57" s="28"/>
    </row>
    <row r="58" spans="1:8" ht="18.75" customHeight="1" x14ac:dyDescent="0.25">
      <c r="A58" s="7">
        <v>330</v>
      </c>
      <c r="B58" s="79">
        <v>1.54883E-3</v>
      </c>
      <c r="C58" s="83">
        <v>1500.2</v>
      </c>
      <c r="D58" s="83">
        <v>1521.9</v>
      </c>
      <c r="E58" s="82">
        <v>3.5423</v>
      </c>
      <c r="F58" s="82"/>
      <c r="G58" s="28"/>
      <c r="H58" s="28"/>
    </row>
    <row r="59" spans="1:8" ht="18.75" customHeight="1" x14ac:dyDescent="0.25">
      <c r="A59" s="7">
        <v>340</v>
      </c>
      <c r="B59" s="85">
        <v>1.1997000000000001E-2</v>
      </c>
      <c r="C59" s="83">
        <v>2504.3000000000002</v>
      </c>
      <c r="D59" s="83">
        <v>2672.3</v>
      </c>
      <c r="E59" s="82">
        <v>5.4290000000000003</v>
      </c>
      <c r="F59" s="82"/>
      <c r="G59" s="28"/>
      <c r="H59" s="28"/>
    </row>
    <row r="60" spans="1:8" ht="18.75" customHeight="1" x14ac:dyDescent="0.25">
      <c r="A60" s="7">
        <v>350</v>
      </c>
      <c r="B60" s="85">
        <v>1.3232000000000001E-2</v>
      </c>
      <c r="C60" s="83">
        <v>2567.9</v>
      </c>
      <c r="D60" s="83">
        <v>2753.1</v>
      </c>
      <c r="E60" s="82">
        <v>5.5598000000000001</v>
      </c>
      <c r="F60" s="82"/>
      <c r="G60" s="28"/>
      <c r="H60" s="28"/>
    </row>
    <row r="61" spans="1:8" ht="18.75" customHeight="1" x14ac:dyDescent="0.25">
      <c r="A61" s="7">
        <v>360</v>
      </c>
      <c r="B61" s="85">
        <v>1.4227999999999999E-2</v>
      </c>
      <c r="C61" s="83">
        <v>2617.3000000000002</v>
      </c>
      <c r="D61" s="83">
        <v>2816.5</v>
      </c>
      <c r="E61" s="82">
        <v>5.6607000000000003</v>
      </c>
      <c r="F61" s="82"/>
      <c r="G61" s="28"/>
      <c r="H61" s="28"/>
    </row>
    <row r="62" spans="1:8" ht="18.75" customHeight="1" x14ac:dyDescent="0.25">
      <c r="A62" s="7">
        <v>370</v>
      </c>
      <c r="B62" s="85">
        <v>1.5091E-2</v>
      </c>
      <c r="C62" s="83">
        <v>2659.1</v>
      </c>
      <c r="D62" s="83">
        <v>2870.4</v>
      </c>
      <c r="E62" s="82">
        <v>5.7453000000000003</v>
      </c>
      <c r="F62" s="82"/>
      <c r="G62" s="28"/>
      <c r="H62" s="28"/>
    </row>
    <row r="63" spans="1:8" ht="18.75" customHeight="1" x14ac:dyDescent="0.25">
      <c r="A63" s="7">
        <v>380</v>
      </c>
      <c r="B63" s="85">
        <v>1.5866000000000002E-2</v>
      </c>
      <c r="C63" s="83">
        <v>2696.2</v>
      </c>
      <c r="D63" s="83">
        <v>2918.3</v>
      </c>
      <c r="E63" s="82">
        <v>5.8192000000000004</v>
      </c>
      <c r="F63" s="82"/>
      <c r="G63" s="28"/>
      <c r="H63" s="28"/>
    </row>
    <row r="64" spans="1:8" ht="18.75" customHeight="1" x14ac:dyDescent="0.25">
      <c r="A64" s="7">
        <v>390</v>
      </c>
      <c r="B64" s="85">
        <v>1.6577000000000001E-2</v>
      </c>
      <c r="C64" s="83">
        <v>2729.8</v>
      </c>
      <c r="D64" s="83">
        <v>2961.9</v>
      </c>
      <c r="E64" s="82">
        <v>5.8855000000000004</v>
      </c>
      <c r="F64" s="82"/>
      <c r="G64" s="28"/>
      <c r="H64" s="28"/>
    </row>
    <row r="65" spans="1:8" ht="18.75" customHeight="1" x14ac:dyDescent="0.25">
      <c r="A65" s="7">
        <v>400</v>
      </c>
      <c r="B65" s="85">
        <v>1.7239999999999998E-2</v>
      </c>
      <c r="C65" s="83">
        <v>2760.9</v>
      </c>
      <c r="D65" s="83">
        <v>3002.3</v>
      </c>
      <c r="E65" s="82">
        <v>5.9459</v>
      </c>
      <c r="F65" s="82"/>
      <c r="G65" s="28"/>
      <c r="H65" s="28"/>
    </row>
    <row r="66" spans="1:8" ht="18.75" customHeight="1" x14ac:dyDescent="0.25">
      <c r="A66" s="7">
        <v>410</v>
      </c>
      <c r="B66" s="85">
        <v>1.7864999999999999E-2</v>
      </c>
      <c r="C66" s="83">
        <v>2790.2</v>
      </c>
      <c r="D66" s="83">
        <v>3040.3</v>
      </c>
      <c r="E66" s="82">
        <v>6.0019</v>
      </c>
      <c r="F66" s="82"/>
      <c r="G66" s="28"/>
      <c r="H66" s="28"/>
    </row>
    <row r="67" spans="1:8" ht="18.75" customHeight="1" x14ac:dyDescent="0.25">
      <c r="A67" s="7">
        <v>420</v>
      </c>
      <c r="B67" s="85">
        <v>1.8459E-2</v>
      </c>
      <c r="C67" s="83">
        <v>2817.8</v>
      </c>
      <c r="D67" s="83">
        <v>3076.2</v>
      </c>
      <c r="E67" s="82">
        <v>6.0541999999999998</v>
      </c>
      <c r="F67" s="82"/>
      <c r="G67" s="28"/>
      <c r="H67" s="28"/>
    </row>
    <row r="68" spans="1:8" ht="18.75" customHeight="1" x14ac:dyDescent="0.25">
      <c r="A68" s="7">
        <v>430</v>
      </c>
      <c r="B68" s="85">
        <v>1.9028E-2</v>
      </c>
      <c r="C68" s="83">
        <v>2844.2</v>
      </c>
      <c r="D68" s="83">
        <v>3110.6</v>
      </c>
      <c r="E68" s="82">
        <v>6.1033999999999997</v>
      </c>
      <c r="F68" s="82"/>
      <c r="G68" s="28"/>
      <c r="H68" s="28"/>
    </row>
    <row r="69" spans="1:8" ht="18.75" customHeight="1" x14ac:dyDescent="0.25">
      <c r="A69" s="7">
        <v>440</v>
      </c>
      <c r="B69" s="85">
        <v>1.9574999999999999E-2</v>
      </c>
      <c r="C69" s="83">
        <v>2869.6</v>
      </c>
      <c r="D69" s="83">
        <v>3143.7</v>
      </c>
      <c r="E69" s="82">
        <v>6.1501000000000001</v>
      </c>
      <c r="F69" s="82"/>
      <c r="G69" s="28"/>
      <c r="H69" s="28"/>
    </row>
    <row r="70" spans="1:8" ht="18.75" customHeight="1" x14ac:dyDescent="0.25">
      <c r="A70" s="7">
        <v>450</v>
      </c>
      <c r="B70" s="85">
        <v>2.0104E-2</v>
      </c>
      <c r="C70" s="83">
        <v>2894.2</v>
      </c>
      <c r="D70" s="83">
        <v>3175.7</v>
      </c>
      <c r="E70" s="82">
        <v>6.1946000000000003</v>
      </c>
      <c r="F70" s="82"/>
      <c r="G70" s="28"/>
      <c r="H70" s="28"/>
    </row>
    <row r="71" spans="1:8" ht="18.75" customHeight="1" x14ac:dyDescent="0.25">
      <c r="A71" s="7">
        <v>460</v>
      </c>
      <c r="B71" s="85">
        <v>2.0615999999999999E-2</v>
      </c>
      <c r="C71" s="83">
        <v>2918.1</v>
      </c>
      <c r="D71" s="83">
        <v>3206.7</v>
      </c>
      <c r="E71" s="82">
        <v>6.2373000000000003</v>
      </c>
      <c r="F71" s="82"/>
      <c r="G71" s="28"/>
      <c r="H71" s="28"/>
    </row>
    <row r="72" spans="1:8" ht="18.75" customHeight="1" x14ac:dyDescent="0.25">
      <c r="A72" s="7">
        <v>470</v>
      </c>
      <c r="B72" s="85">
        <v>2.1114999999999998E-2</v>
      </c>
      <c r="C72" s="83">
        <v>2941.4</v>
      </c>
      <c r="D72" s="83">
        <v>3237</v>
      </c>
      <c r="E72" s="82">
        <v>6.2782999999999998</v>
      </c>
      <c r="F72" s="82"/>
      <c r="G72" s="28"/>
      <c r="H72" s="28"/>
    </row>
    <row r="73" spans="1:8" ht="18.75" customHeight="1" x14ac:dyDescent="0.25">
      <c r="A73" s="7">
        <v>480</v>
      </c>
      <c r="B73" s="85">
        <v>2.1602E-2</v>
      </c>
      <c r="C73" s="83">
        <v>2964.2</v>
      </c>
      <c r="D73" s="83">
        <v>3266.6</v>
      </c>
      <c r="E73" s="82">
        <v>6.3178000000000001</v>
      </c>
      <c r="F73" s="82"/>
      <c r="G73" s="28"/>
      <c r="H73" s="28"/>
    </row>
    <row r="74" spans="1:8" ht="18.75" customHeight="1" x14ac:dyDescent="0.25">
      <c r="A74" s="7">
        <v>490</v>
      </c>
      <c r="B74" s="85">
        <v>2.2078E-2</v>
      </c>
      <c r="C74" s="83">
        <v>2986.5</v>
      </c>
      <c r="D74" s="83">
        <v>3295.6</v>
      </c>
      <c r="E74" s="82">
        <v>6.3560999999999996</v>
      </c>
      <c r="F74" s="82"/>
      <c r="G74" s="28"/>
      <c r="H74" s="28"/>
    </row>
    <row r="75" spans="1:8" ht="18.75" customHeight="1" x14ac:dyDescent="0.25">
      <c r="A75" s="7">
        <v>500</v>
      </c>
      <c r="B75" s="85">
        <v>2.2544000000000002E-2</v>
      </c>
      <c r="C75" s="83">
        <v>3008.5</v>
      </c>
      <c r="D75" s="83">
        <v>3324.1</v>
      </c>
      <c r="E75" s="82">
        <v>6.3932000000000002</v>
      </c>
      <c r="F75" s="82"/>
      <c r="G75" s="28"/>
      <c r="H75" s="28"/>
    </row>
    <row r="76" spans="1:8" ht="18.75" customHeight="1" x14ac:dyDescent="0.25">
      <c r="A76" s="7">
        <v>520</v>
      </c>
      <c r="B76" s="85">
        <v>2.3452000000000001E-2</v>
      </c>
      <c r="C76" s="83">
        <v>3051.5</v>
      </c>
      <c r="D76" s="83">
        <v>3379.8</v>
      </c>
      <c r="E76" s="82">
        <v>6.4642999999999997</v>
      </c>
      <c r="F76" s="82"/>
      <c r="G76" s="28"/>
      <c r="H76" s="28"/>
    </row>
    <row r="77" spans="1:8" ht="18.75" customHeight="1" x14ac:dyDescent="0.25">
      <c r="A77" s="7">
        <v>540</v>
      </c>
      <c r="B77" s="85">
        <v>2.4331999999999999E-2</v>
      </c>
      <c r="C77" s="83">
        <v>3093.6</v>
      </c>
      <c r="D77" s="83">
        <v>3434.2</v>
      </c>
      <c r="E77" s="82">
        <v>6.532</v>
      </c>
      <c r="F77" s="82"/>
      <c r="G77" s="28"/>
      <c r="H77" s="28"/>
    </row>
    <row r="78" spans="1:8" ht="18.75" customHeight="1" x14ac:dyDescent="0.25">
      <c r="A78" s="7">
        <v>560</v>
      </c>
      <c r="B78" s="85">
        <v>2.5187999999999999E-2</v>
      </c>
      <c r="C78" s="83">
        <v>3134.9</v>
      </c>
      <c r="D78" s="83">
        <v>3487.5</v>
      </c>
      <c r="E78" s="82">
        <v>6.5968</v>
      </c>
      <c r="F78" s="82"/>
      <c r="G78" s="28"/>
      <c r="H78" s="28"/>
    </row>
    <row r="79" spans="1:8" ht="18.75" customHeight="1" x14ac:dyDescent="0.25">
      <c r="A79" s="7">
        <v>580</v>
      </c>
      <c r="B79" s="85">
        <v>2.6025E-2</v>
      </c>
      <c r="C79" s="83">
        <v>3175.5</v>
      </c>
      <c r="D79" s="83">
        <v>3539.9</v>
      </c>
      <c r="E79" s="82">
        <v>6.6590999999999996</v>
      </c>
      <c r="F79" s="82"/>
      <c r="G79" s="28"/>
      <c r="H79" s="28"/>
    </row>
    <row r="80" spans="1:8" ht="18.75" customHeight="1" x14ac:dyDescent="0.25">
      <c r="A80" s="7">
        <v>600</v>
      </c>
      <c r="B80" s="85">
        <v>2.6845000000000001E-2</v>
      </c>
      <c r="C80" s="83">
        <v>3216</v>
      </c>
      <c r="D80" s="83">
        <v>3591.8</v>
      </c>
      <c r="E80" s="82">
        <v>6.7191000000000001</v>
      </c>
      <c r="F80" s="82"/>
      <c r="G80" s="28"/>
      <c r="H80" s="28"/>
    </row>
    <row r="81" spans="1:8" ht="18.75" customHeight="1" x14ac:dyDescent="0.25">
      <c r="A81" s="7">
        <v>620</v>
      </c>
      <c r="B81" s="85">
        <v>2.7650000000000001E-2</v>
      </c>
      <c r="C81" s="83">
        <v>3256</v>
      </c>
      <c r="D81" s="83">
        <v>3643.1</v>
      </c>
      <c r="E81" s="82">
        <v>6.7771999999999997</v>
      </c>
      <c r="F81" s="82"/>
      <c r="G81" s="28"/>
      <c r="H81" s="28"/>
    </row>
    <row r="82" spans="1:8" ht="18.75" customHeight="1" x14ac:dyDescent="0.25">
      <c r="A82" s="7">
        <v>640</v>
      </c>
      <c r="B82" s="85">
        <v>2.8443E-2</v>
      </c>
      <c r="C82" s="83">
        <v>3295.8</v>
      </c>
      <c r="D82" s="83">
        <v>3694</v>
      </c>
      <c r="E82" s="82">
        <v>6.8335999999999997</v>
      </c>
      <c r="F82" s="82"/>
      <c r="G82" s="28"/>
      <c r="H82" s="28"/>
    </row>
    <row r="83" spans="1:8" ht="18.75" customHeight="1" x14ac:dyDescent="0.25">
      <c r="A83" s="7">
        <v>660</v>
      </c>
      <c r="B83" s="85">
        <v>2.9225000000000001E-2</v>
      </c>
      <c r="C83" s="83">
        <v>3335.6</v>
      </c>
      <c r="D83" s="83">
        <v>3744.7</v>
      </c>
      <c r="E83" s="82">
        <v>6.8884999999999996</v>
      </c>
      <c r="F83" s="82"/>
      <c r="G83" s="28"/>
      <c r="H83" s="28"/>
    </row>
    <row r="84" spans="1:8" ht="18.75" customHeight="1" x14ac:dyDescent="0.25">
      <c r="A84" s="7">
        <v>680</v>
      </c>
      <c r="B84" s="85">
        <v>2.9996999999999999E-2</v>
      </c>
      <c r="C84" s="83">
        <v>3375.1</v>
      </c>
      <c r="D84" s="83">
        <v>3795.1</v>
      </c>
      <c r="E84" s="82">
        <v>6.9419000000000004</v>
      </c>
      <c r="F84" s="82"/>
      <c r="G84" s="28"/>
      <c r="H84" s="28"/>
    </row>
    <row r="85" spans="1:8" ht="18.75" customHeight="1" x14ac:dyDescent="0.25">
      <c r="A85" s="7">
        <v>700</v>
      </c>
      <c r="B85" s="85">
        <v>3.0761E-2</v>
      </c>
      <c r="C85" s="83">
        <v>3414.6</v>
      </c>
      <c r="D85" s="83">
        <v>3845.3</v>
      </c>
      <c r="E85" s="82">
        <v>6.9941000000000004</v>
      </c>
      <c r="F85" s="82"/>
      <c r="G85" s="28"/>
      <c r="H85" s="28"/>
    </row>
    <row r="86" spans="1:8" ht="18.75" customHeight="1" x14ac:dyDescent="0.25">
      <c r="A86" s="7">
        <v>720</v>
      </c>
      <c r="B86" s="85">
        <v>3.1517000000000003E-2</v>
      </c>
      <c r="C86" s="83">
        <v>3454.3</v>
      </c>
      <c r="D86" s="83">
        <v>3895.5</v>
      </c>
      <c r="E86" s="82">
        <v>7.0450999999999997</v>
      </c>
      <c r="F86" s="82"/>
      <c r="G86" s="28"/>
      <c r="H86" s="28"/>
    </row>
    <row r="87" spans="1:8" ht="18.75" customHeight="1" x14ac:dyDescent="0.25">
      <c r="A87" s="7">
        <v>740</v>
      </c>
      <c r="B87" s="85">
        <v>3.2266000000000003E-2</v>
      </c>
      <c r="C87" s="83">
        <v>3493.9</v>
      </c>
      <c r="D87" s="83">
        <v>3945.6</v>
      </c>
      <c r="E87" s="82">
        <v>7.0949999999999998</v>
      </c>
      <c r="F87" s="82"/>
      <c r="G87" s="28"/>
      <c r="H87" s="28"/>
    </row>
    <row r="88" spans="1:8" ht="18.75" customHeight="1" x14ac:dyDescent="0.25">
      <c r="A88" s="7">
        <v>760</v>
      </c>
      <c r="B88" s="85">
        <v>3.3008999999999997E-2</v>
      </c>
      <c r="C88" s="83">
        <v>3533.5</v>
      </c>
      <c r="D88" s="83">
        <v>3995.6</v>
      </c>
      <c r="E88" s="82">
        <v>7.1440000000000001</v>
      </c>
      <c r="F88" s="82"/>
      <c r="G88" s="28"/>
      <c r="H88" s="28"/>
    </row>
    <row r="89" spans="1:8" ht="18.75" customHeight="1" x14ac:dyDescent="0.25">
      <c r="A89" s="7">
        <v>780</v>
      </c>
      <c r="B89" s="85">
        <v>3.3745999999999998E-2</v>
      </c>
      <c r="C89" s="83">
        <v>3573.3</v>
      </c>
      <c r="D89" s="83">
        <v>4045.7</v>
      </c>
      <c r="E89" s="82">
        <v>7.1920000000000002</v>
      </c>
      <c r="F89" s="82"/>
      <c r="G89" s="28"/>
      <c r="H89" s="28"/>
    </row>
    <row r="90" spans="1:8" ht="18.75" customHeight="1" x14ac:dyDescent="0.25">
      <c r="A90" s="7">
        <v>800</v>
      </c>
      <c r="B90" s="85">
        <v>3.4479000000000003E-2</v>
      </c>
      <c r="C90" s="83">
        <v>3613.1</v>
      </c>
      <c r="D90" s="83">
        <v>4095.8</v>
      </c>
      <c r="E90" s="82">
        <v>7.2390999999999996</v>
      </c>
      <c r="F90" s="82"/>
      <c r="G90" s="28"/>
      <c r="H90" s="28"/>
    </row>
    <row r="91" spans="1:8" ht="18.75" customHeight="1" x14ac:dyDescent="0.25">
      <c r="A91" s="7">
        <v>820</v>
      </c>
      <c r="B91" s="85">
        <v>3.5207000000000002E-2</v>
      </c>
      <c r="C91" s="83">
        <v>3653</v>
      </c>
      <c r="D91" s="83">
        <v>4145.8999999999996</v>
      </c>
      <c r="E91" s="82">
        <v>7.2854000000000001</v>
      </c>
      <c r="F91" s="82"/>
      <c r="G91" s="28"/>
      <c r="H91" s="28"/>
    </row>
    <row r="92" spans="1:8" ht="18.75" customHeight="1" x14ac:dyDescent="0.25">
      <c r="A92" s="7">
        <v>840</v>
      </c>
      <c r="B92" s="85">
        <v>3.5930999999999998E-2</v>
      </c>
      <c r="C92" s="83">
        <v>3693.1</v>
      </c>
      <c r="D92" s="83">
        <v>4196.1000000000004</v>
      </c>
      <c r="E92" s="82">
        <v>7.3308999999999997</v>
      </c>
      <c r="F92" s="82"/>
      <c r="G92" s="28"/>
      <c r="H92" s="28"/>
    </row>
    <row r="93" spans="1:8" ht="18.75" customHeight="1" x14ac:dyDescent="0.25">
      <c r="A93" s="7">
        <v>860</v>
      </c>
      <c r="B93" s="85">
        <v>3.6650000000000002E-2</v>
      </c>
      <c r="C93" s="83">
        <v>3733.3</v>
      </c>
      <c r="D93" s="83">
        <v>4246.3999999999996</v>
      </c>
      <c r="E93" s="82">
        <v>7.3757000000000001</v>
      </c>
      <c r="F93" s="82"/>
      <c r="G93" s="28"/>
      <c r="H93" s="28"/>
    </row>
    <row r="94" spans="1:8" ht="18.75" customHeight="1" x14ac:dyDescent="0.25">
      <c r="A94" s="7">
        <v>880</v>
      </c>
      <c r="B94" s="85">
        <v>3.7366999999999997E-2</v>
      </c>
      <c r="C94" s="83">
        <v>3773.7</v>
      </c>
      <c r="D94" s="83">
        <v>4296.8</v>
      </c>
      <c r="E94" s="82">
        <v>7.4198000000000004</v>
      </c>
      <c r="F94" s="82"/>
      <c r="G94" s="28"/>
      <c r="H94" s="28"/>
    </row>
    <row r="95" spans="1:8" ht="18.75" customHeight="1" x14ac:dyDescent="0.25">
      <c r="A95" s="7">
        <v>900</v>
      </c>
      <c r="B95" s="85">
        <v>3.8080000000000003E-2</v>
      </c>
      <c r="C95" s="83">
        <v>3814.3</v>
      </c>
      <c r="D95" s="83">
        <v>4347.3999999999996</v>
      </c>
      <c r="E95" s="82">
        <v>7.4631999999999996</v>
      </c>
      <c r="F95" s="82"/>
      <c r="G95" s="28"/>
      <c r="H95" s="28"/>
    </row>
    <row r="96" spans="1:8" ht="18.75" customHeight="1" x14ac:dyDescent="0.25">
      <c r="A96" s="7">
        <v>920</v>
      </c>
      <c r="B96" s="85">
        <v>3.8789999999999998E-2</v>
      </c>
      <c r="C96" s="83">
        <v>3854.9</v>
      </c>
      <c r="D96" s="83">
        <v>4398</v>
      </c>
      <c r="E96" s="82">
        <v>7.5060000000000002</v>
      </c>
      <c r="F96" s="82"/>
      <c r="G96" s="28"/>
      <c r="H96" s="28"/>
    </row>
    <row r="97" spans="1:8" ht="18.75" customHeight="1" x14ac:dyDescent="0.25">
      <c r="A97" s="7">
        <v>940</v>
      </c>
      <c r="B97" s="85">
        <v>3.9497999999999998E-2</v>
      </c>
      <c r="C97" s="83">
        <v>3895.8</v>
      </c>
      <c r="D97" s="83">
        <v>4448.8</v>
      </c>
      <c r="E97" s="82">
        <v>7.5483000000000002</v>
      </c>
      <c r="F97" s="82"/>
      <c r="G97" s="28"/>
      <c r="H97" s="28"/>
    </row>
    <row r="98" spans="1:8" ht="18.75" customHeight="1" x14ac:dyDescent="0.25">
      <c r="A98" s="7">
        <v>960</v>
      </c>
      <c r="B98" s="85">
        <v>4.0203000000000003E-2</v>
      </c>
      <c r="C98" s="83">
        <v>3937</v>
      </c>
      <c r="D98" s="83">
        <v>4499.8</v>
      </c>
      <c r="E98" s="82">
        <v>7.5899000000000001</v>
      </c>
      <c r="F98" s="82"/>
      <c r="G98" s="28"/>
      <c r="H98" s="28"/>
    </row>
    <row r="99" spans="1:8" ht="18.75" customHeight="1" x14ac:dyDescent="0.25">
      <c r="A99" s="7">
        <v>980</v>
      </c>
      <c r="B99" s="85">
        <v>4.0904999999999997E-2</v>
      </c>
      <c r="C99" s="83">
        <v>3978.2</v>
      </c>
      <c r="D99" s="83">
        <v>4550.8999999999996</v>
      </c>
      <c r="E99" s="82">
        <v>7.6310000000000002</v>
      </c>
      <c r="F99" s="82"/>
      <c r="G99" s="28"/>
      <c r="H99" s="28"/>
    </row>
    <row r="100" spans="1:8" ht="18.75" customHeight="1" x14ac:dyDescent="0.25">
      <c r="A100" s="7">
        <v>1000</v>
      </c>
      <c r="B100" s="85">
        <v>4.1605000000000003E-2</v>
      </c>
      <c r="C100" s="83">
        <v>4019.6</v>
      </c>
      <c r="D100" s="83">
        <v>4602.1000000000004</v>
      </c>
      <c r="E100" s="82">
        <v>7.6715999999999998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H100"/>
  <sheetViews>
    <sheetView topLeftCell="A44" workbookViewId="0">
      <selection activeCell="A60" sqref="A60:XFD60"/>
    </sheetView>
  </sheetViews>
  <sheetFormatPr defaultRowHeight="13.2" x14ac:dyDescent="0.25"/>
  <cols>
    <col min="1" max="1" width="10.21875" customWidth="1"/>
    <col min="2" max="2" width="9.21875" customWidth="1"/>
    <col min="3" max="3" width="6.21875" customWidth="1"/>
    <col min="4" max="4" width="7.109375" customWidth="1"/>
    <col min="5" max="5" width="10.109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206" t="s">
        <v>94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15000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9.9276000000000008E-4</v>
      </c>
      <c r="C5" s="80">
        <v>0.18</v>
      </c>
      <c r="D5" s="80">
        <v>15.07</v>
      </c>
      <c r="E5" s="81">
        <v>4.4999999999999999E-4</v>
      </c>
      <c r="F5" s="81"/>
      <c r="G5" s="47"/>
      <c r="H5" s="47"/>
    </row>
    <row r="6" spans="1:8" ht="18.75" customHeight="1" x14ac:dyDescent="0.25">
      <c r="A6" s="45">
        <v>5</v>
      </c>
      <c r="B6" s="79">
        <v>9.9288000000000002E-4</v>
      </c>
      <c r="C6" s="80">
        <v>20.92</v>
      </c>
      <c r="D6" s="80">
        <v>35.81</v>
      </c>
      <c r="E6" s="81">
        <v>7.5689999999999993E-2</v>
      </c>
      <c r="F6" s="81"/>
      <c r="G6" s="47"/>
      <c r="H6" s="47"/>
    </row>
    <row r="7" spans="1:8" ht="18.75" customHeight="1" x14ac:dyDescent="0.25">
      <c r="A7" s="45">
        <v>10</v>
      </c>
      <c r="B7" s="79">
        <v>9.9334000000000011E-4</v>
      </c>
      <c r="C7" s="80">
        <v>41.63</v>
      </c>
      <c r="D7" s="80">
        <v>56.53</v>
      </c>
      <c r="E7" s="81">
        <v>0.14951</v>
      </c>
      <c r="F7" s="81"/>
      <c r="G7" s="47"/>
      <c r="H7" s="47"/>
    </row>
    <row r="8" spans="1:8" ht="18.75" customHeight="1" x14ac:dyDescent="0.25">
      <c r="A8" s="45">
        <v>15</v>
      </c>
      <c r="B8" s="79">
        <v>9.9408999999999999E-4</v>
      </c>
      <c r="C8" s="80">
        <v>62.32</v>
      </c>
      <c r="D8" s="80">
        <v>77.23</v>
      </c>
      <c r="E8" s="81">
        <v>0.222</v>
      </c>
      <c r="F8" s="81"/>
      <c r="G8" s="47"/>
      <c r="H8" s="47"/>
    </row>
    <row r="9" spans="1:8" ht="18.75" customHeight="1" x14ac:dyDescent="0.25">
      <c r="A9" s="45">
        <v>20</v>
      </c>
      <c r="B9" s="79">
        <v>9.9510000000000006E-4</v>
      </c>
      <c r="C9" s="80">
        <v>83</v>
      </c>
      <c r="D9" s="80">
        <v>97.93</v>
      </c>
      <c r="E9" s="81">
        <v>0.29322999999999999</v>
      </c>
      <c r="F9" s="81"/>
      <c r="G9" s="47"/>
      <c r="H9" s="47"/>
    </row>
    <row r="10" spans="1:8" ht="18.75" customHeight="1" x14ac:dyDescent="0.25">
      <c r="A10" s="45">
        <v>25</v>
      </c>
      <c r="B10" s="79">
        <v>9.9635000000000001E-4</v>
      </c>
      <c r="C10" s="80">
        <v>103.68</v>
      </c>
      <c r="D10" s="80">
        <v>118.63</v>
      </c>
      <c r="E10" s="81">
        <v>0.36325000000000002</v>
      </c>
      <c r="F10" s="81"/>
      <c r="G10" s="47"/>
      <c r="H10" s="47"/>
    </row>
    <row r="11" spans="1:8" ht="18.75" customHeight="1" x14ac:dyDescent="0.25">
      <c r="A11" s="45">
        <v>30</v>
      </c>
      <c r="B11" s="79">
        <v>9.9781999999999996E-4</v>
      </c>
      <c r="C11" s="80">
        <v>124.37</v>
      </c>
      <c r="D11" s="80">
        <v>139.34</v>
      </c>
      <c r="E11" s="81">
        <v>0.43210999999999999</v>
      </c>
      <c r="F11" s="81"/>
      <c r="G11" s="47"/>
      <c r="H11" s="47"/>
    </row>
    <row r="12" spans="1:8" ht="18.75" customHeight="1" x14ac:dyDescent="0.25">
      <c r="A12" s="45">
        <v>35</v>
      </c>
      <c r="B12" s="79">
        <v>9.9949000000000001E-4</v>
      </c>
      <c r="C12" s="80">
        <v>145.06</v>
      </c>
      <c r="D12" s="80">
        <v>160.05000000000001</v>
      </c>
      <c r="E12" s="81">
        <v>0.49986999999999998</v>
      </c>
      <c r="F12" s="81"/>
      <c r="G12" s="47"/>
      <c r="H12" s="47"/>
    </row>
    <row r="13" spans="1:8" ht="18.75" customHeight="1" x14ac:dyDescent="0.25">
      <c r="A13" s="45">
        <v>40</v>
      </c>
      <c r="B13" s="79">
        <v>1.00135E-3</v>
      </c>
      <c r="C13" s="80">
        <v>165.75</v>
      </c>
      <c r="D13" s="80">
        <v>180.77</v>
      </c>
      <c r="E13" s="81">
        <v>0.56655999999999995</v>
      </c>
      <c r="F13" s="81"/>
      <c r="G13" s="47"/>
      <c r="H13" s="47"/>
    </row>
    <row r="14" spans="1:8" ht="18.75" customHeight="1" x14ac:dyDescent="0.25">
      <c r="A14" s="45">
        <v>45</v>
      </c>
      <c r="B14" s="79">
        <v>1.0033900000000001E-3</v>
      </c>
      <c r="C14" s="80">
        <v>186.44</v>
      </c>
      <c r="D14" s="80">
        <v>201.49</v>
      </c>
      <c r="E14" s="81">
        <v>0.63222999999999996</v>
      </c>
      <c r="F14" s="81"/>
      <c r="G14" s="47"/>
      <c r="H14" s="47"/>
    </row>
    <row r="15" spans="1:8" ht="18.75" customHeight="1" x14ac:dyDescent="0.25">
      <c r="A15" s="45">
        <v>50</v>
      </c>
      <c r="B15" s="79">
        <v>1.0055999999999999E-3</v>
      </c>
      <c r="C15" s="80">
        <v>207.15</v>
      </c>
      <c r="D15" s="80">
        <v>222.23</v>
      </c>
      <c r="E15" s="81">
        <v>0.69689999999999996</v>
      </c>
      <c r="F15" s="81"/>
      <c r="G15" s="47"/>
      <c r="H15" s="47"/>
    </row>
    <row r="16" spans="1:8" ht="18.75" customHeight="1" x14ac:dyDescent="0.25">
      <c r="A16" s="45">
        <v>55</v>
      </c>
      <c r="B16" s="79">
        <v>1.00797E-3</v>
      </c>
      <c r="C16" s="80">
        <v>227.86</v>
      </c>
      <c r="D16" s="80">
        <v>242.98</v>
      </c>
      <c r="E16" s="81">
        <v>0.76061000000000001</v>
      </c>
      <c r="F16" s="81"/>
      <c r="G16" s="47"/>
      <c r="H16" s="47"/>
    </row>
    <row r="17" spans="1:8" ht="18.75" customHeight="1" x14ac:dyDescent="0.25">
      <c r="A17" s="45">
        <v>60</v>
      </c>
      <c r="B17" s="79">
        <v>1.0105100000000001E-3</v>
      </c>
      <c r="C17" s="80">
        <v>248.58</v>
      </c>
      <c r="D17" s="80">
        <v>263.74</v>
      </c>
      <c r="E17" s="81">
        <v>0.82340000000000002</v>
      </c>
      <c r="F17" s="81"/>
      <c r="G17" s="47"/>
      <c r="H17" s="47"/>
    </row>
    <row r="18" spans="1:8" ht="18.75" customHeight="1" x14ac:dyDescent="0.25">
      <c r="A18" s="45">
        <v>65</v>
      </c>
      <c r="B18" s="79">
        <v>1.01319E-3</v>
      </c>
      <c r="C18" s="80">
        <v>269.31</v>
      </c>
      <c r="D18" s="80">
        <v>284.51</v>
      </c>
      <c r="E18" s="81">
        <v>0.88529000000000002</v>
      </c>
      <c r="F18" s="81"/>
      <c r="G18" s="47"/>
      <c r="H18" s="47"/>
    </row>
    <row r="19" spans="1:8" ht="18.75" customHeight="1" x14ac:dyDescent="0.25">
      <c r="A19" s="45">
        <v>70</v>
      </c>
      <c r="B19" s="79">
        <v>1.01603E-3</v>
      </c>
      <c r="C19" s="80">
        <v>290.06</v>
      </c>
      <c r="D19" s="80">
        <v>305.3</v>
      </c>
      <c r="E19" s="81">
        <v>0.94630999999999998</v>
      </c>
      <c r="F19" s="81"/>
      <c r="G19" s="47"/>
      <c r="H19" s="47"/>
    </row>
    <row r="20" spans="1:8" ht="18.75" customHeight="1" x14ac:dyDescent="0.25">
      <c r="A20" s="45">
        <v>75</v>
      </c>
      <c r="B20" s="79">
        <v>1.0190100000000001E-3</v>
      </c>
      <c r="C20" s="80">
        <v>310.81</v>
      </c>
      <c r="D20" s="80">
        <v>326.10000000000002</v>
      </c>
      <c r="E20" s="82">
        <v>1.0065</v>
      </c>
      <c r="F20" s="82"/>
      <c r="G20" s="47"/>
      <c r="H20" s="47"/>
    </row>
    <row r="21" spans="1:8" ht="18.75" customHeight="1" x14ac:dyDescent="0.25">
      <c r="A21" s="45">
        <v>80</v>
      </c>
      <c r="B21" s="79">
        <v>1.02213E-3</v>
      </c>
      <c r="C21" s="80">
        <v>331.59</v>
      </c>
      <c r="D21" s="80">
        <v>346.92</v>
      </c>
      <c r="E21" s="82">
        <v>1.0659000000000001</v>
      </c>
      <c r="F21" s="82"/>
      <c r="G21" s="47"/>
      <c r="H21" s="47"/>
    </row>
    <row r="22" spans="1:8" ht="18.75" customHeight="1" x14ac:dyDescent="0.25">
      <c r="A22" s="45">
        <v>85</v>
      </c>
      <c r="B22" s="79">
        <v>1.0254000000000001E-3</v>
      </c>
      <c r="C22" s="80">
        <v>352.37</v>
      </c>
      <c r="D22" s="80">
        <v>367.75</v>
      </c>
      <c r="E22" s="82">
        <v>1.1245000000000001</v>
      </c>
      <c r="F22" s="82"/>
      <c r="G22" s="47"/>
      <c r="H22" s="47"/>
    </row>
    <row r="23" spans="1:8" ht="18.75" customHeight="1" x14ac:dyDescent="0.25">
      <c r="A23" s="45">
        <v>90</v>
      </c>
      <c r="B23" s="79">
        <v>1.02881E-3</v>
      </c>
      <c r="C23" s="80">
        <v>373.18</v>
      </c>
      <c r="D23" s="80">
        <v>388.61</v>
      </c>
      <c r="E23" s="82">
        <v>1.1822999999999999</v>
      </c>
      <c r="F23" s="82"/>
      <c r="G23" s="47"/>
      <c r="H23" s="47"/>
    </row>
    <row r="24" spans="1:8" ht="18.75" customHeight="1" x14ac:dyDescent="0.25">
      <c r="A24" s="45">
        <v>95</v>
      </c>
      <c r="B24" s="79">
        <v>1.03236E-3</v>
      </c>
      <c r="C24" s="80">
        <v>394</v>
      </c>
      <c r="D24" s="80">
        <v>409.49</v>
      </c>
      <c r="E24" s="82">
        <v>1.2394000000000001</v>
      </c>
      <c r="F24" s="82"/>
      <c r="G24" s="47"/>
      <c r="H24" s="47"/>
    </row>
    <row r="25" spans="1:8" ht="18.75" customHeight="1" x14ac:dyDescent="0.25">
      <c r="A25" s="45">
        <v>100</v>
      </c>
      <c r="B25" s="79">
        <v>1.0360499999999999E-3</v>
      </c>
      <c r="C25" s="80">
        <v>414.85</v>
      </c>
      <c r="D25" s="80">
        <v>430.39</v>
      </c>
      <c r="E25" s="82">
        <v>1.2958000000000001</v>
      </c>
      <c r="F25" s="82"/>
      <c r="G25" s="47"/>
      <c r="H25" s="47"/>
    </row>
    <row r="26" spans="1:8" ht="18.75" customHeight="1" x14ac:dyDescent="0.25">
      <c r="A26" s="45">
        <v>105</v>
      </c>
      <c r="B26" s="79">
        <v>1.0398899999999999E-3</v>
      </c>
      <c r="C26" s="80">
        <v>435.72</v>
      </c>
      <c r="D26" s="80">
        <v>451.32</v>
      </c>
      <c r="E26" s="82">
        <v>1.3514999999999999</v>
      </c>
      <c r="F26" s="82"/>
      <c r="G26" s="47"/>
      <c r="H26" s="47"/>
    </row>
    <row r="27" spans="1:8" ht="18.75" customHeight="1" x14ac:dyDescent="0.25">
      <c r="A27" s="45">
        <v>110</v>
      </c>
      <c r="B27" s="79">
        <v>1.04386E-3</v>
      </c>
      <c r="C27" s="80">
        <v>456.61</v>
      </c>
      <c r="D27" s="80">
        <v>472.27</v>
      </c>
      <c r="E27" s="82">
        <v>1.4065000000000001</v>
      </c>
      <c r="F27" s="82"/>
      <c r="G27" s="47"/>
      <c r="H27" s="47"/>
    </row>
    <row r="28" spans="1:8" ht="18.75" customHeight="1" x14ac:dyDescent="0.25">
      <c r="A28" s="45">
        <v>115</v>
      </c>
      <c r="B28" s="79">
        <v>1.04798E-3</v>
      </c>
      <c r="C28" s="80">
        <v>477.54</v>
      </c>
      <c r="D28" s="80">
        <v>493.26</v>
      </c>
      <c r="E28" s="82">
        <v>1.4610000000000001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1.05225E-3</v>
      </c>
      <c r="C29" s="80">
        <v>498.5</v>
      </c>
      <c r="D29" s="80">
        <v>514.28</v>
      </c>
      <c r="E29" s="82">
        <v>1.5147999999999999</v>
      </c>
      <c r="F29" s="82"/>
      <c r="G29" s="47"/>
      <c r="H29" s="47"/>
    </row>
    <row r="30" spans="1:8" ht="18.75" customHeight="1" x14ac:dyDescent="0.25">
      <c r="A30" s="45">
        <v>125</v>
      </c>
      <c r="B30" s="79">
        <v>1.0566600000000001E-3</v>
      </c>
      <c r="C30" s="80">
        <v>519.48</v>
      </c>
      <c r="D30" s="80">
        <v>535.33000000000004</v>
      </c>
      <c r="E30" s="82">
        <v>1.5680000000000001</v>
      </c>
      <c r="F30" s="82"/>
      <c r="G30" s="47"/>
      <c r="H30" s="47"/>
    </row>
    <row r="31" spans="1:8" ht="18.75" customHeight="1" x14ac:dyDescent="0.25">
      <c r="A31" s="45">
        <v>130</v>
      </c>
      <c r="B31" s="79">
        <v>1.0612200000000001E-3</v>
      </c>
      <c r="C31" s="80">
        <v>540.51</v>
      </c>
      <c r="D31" s="80">
        <v>556.42999999999995</v>
      </c>
      <c r="E31" s="82">
        <v>1.6206</v>
      </c>
      <c r="F31" s="82"/>
      <c r="G31" s="47"/>
      <c r="H31" s="47"/>
    </row>
    <row r="32" spans="1:8" ht="18.75" customHeight="1" x14ac:dyDescent="0.25">
      <c r="A32" s="45">
        <v>135</v>
      </c>
      <c r="B32" s="79">
        <v>1.06594E-3</v>
      </c>
      <c r="C32" s="80">
        <v>561.58000000000004</v>
      </c>
      <c r="D32" s="80">
        <v>577.57000000000005</v>
      </c>
      <c r="E32" s="82">
        <v>1.6727000000000001</v>
      </c>
      <c r="F32" s="82"/>
      <c r="G32" s="47"/>
      <c r="H32" s="47"/>
    </row>
    <row r="33" spans="1:8" ht="18.75" customHeight="1" x14ac:dyDescent="0.25">
      <c r="A33" s="45">
        <v>140</v>
      </c>
      <c r="B33" s="79">
        <v>1.0708099999999999E-3</v>
      </c>
      <c r="C33" s="80">
        <v>582.69000000000005</v>
      </c>
      <c r="D33" s="80">
        <v>598.75</v>
      </c>
      <c r="E33" s="82">
        <v>1.7242999999999999</v>
      </c>
      <c r="F33" s="82"/>
      <c r="G33" s="47"/>
      <c r="H33" s="47"/>
    </row>
    <row r="34" spans="1:8" ht="18.75" customHeight="1" x14ac:dyDescent="0.25">
      <c r="A34" s="45">
        <v>145</v>
      </c>
      <c r="B34" s="79">
        <v>1.0758499999999999E-3</v>
      </c>
      <c r="C34" s="80">
        <v>603.84</v>
      </c>
      <c r="D34" s="80">
        <v>619.98</v>
      </c>
      <c r="E34" s="82">
        <v>1.7754000000000001</v>
      </c>
      <c r="F34" s="82"/>
      <c r="G34" s="47"/>
      <c r="H34" s="47"/>
    </row>
    <row r="35" spans="1:8" ht="18.75" customHeight="1" x14ac:dyDescent="0.25">
      <c r="A35" s="45">
        <v>150</v>
      </c>
      <c r="B35" s="79">
        <v>1.0810399999999999E-3</v>
      </c>
      <c r="C35" s="80">
        <v>625.04999999999995</v>
      </c>
      <c r="D35" s="80">
        <v>641.27</v>
      </c>
      <c r="E35" s="82">
        <v>1.8260000000000001</v>
      </c>
      <c r="F35" s="82"/>
      <c r="G35" s="47"/>
      <c r="H35" s="47"/>
    </row>
    <row r="36" spans="1:8" ht="18.75" customHeight="1" x14ac:dyDescent="0.25">
      <c r="A36" s="45">
        <v>155</v>
      </c>
      <c r="B36" s="79">
        <v>1.0864099999999999E-3</v>
      </c>
      <c r="C36" s="80">
        <v>646.30999999999995</v>
      </c>
      <c r="D36" s="80">
        <v>662.61</v>
      </c>
      <c r="E36" s="82">
        <v>1.8762000000000001</v>
      </c>
      <c r="F36" s="82"/>
      <c r="G36" s="47"/>
      <c r="H36" s="47"/>
    </row>
    <row r="37" spans="1:8" ht="18.75" customHeight="1" x14ac:dyDescent="0.25">
      <c r="A37" s="45">
        <v>160</v>
      </c>
      <c r="B37" s="79">
        <v>1.0919599999999999E-3</v>
      </c>
      <c r="C37" s="80">
        <v>667.63</v>
      </c>
      <c r="D37" s="80">
        <v>684.01</v>
      </c>
      <c r="E37" s="82">
        <v>1.9258999999999999</v>
      </c>
      <c r="F37" s="82"/>
      <c r="G37" s="47"/>
      <c r="H37" s="47"/>
    </row>
    <row r="38" spans="1:8" ht="18.75" customHeight="1" x14ac:dyDescent="0.25">
      <c r="A38" s="45">
        <v>165</v>
      </c>
      <c r="B38" s="79">
        <v>1.09768E-3</v>
      </c>
      <c r="C38" s="80">
        <v>689.01</v>
      </c>
      <c r="D38" s="80">
        <v>705.48</v>
      </c>
      <c r="E38" s="82">
        <v>1.9751000000000001</v>
      </c>
      <c r="F38" s="82"/>
      <c r="G38" s="47"/>
      <c r="H38" s="47"/>
    </row>
    <row r="39" spans="1:8" ht="18.75" customHeight="1" x14ac:dyDescent="0.25">
      <c r="A39" s="45">
        <v>170</v>
      </c>
      <c r="B39" s="79">
        <v>1.1035999999999999E-3</v>
      </c>
      <c r="C39" s="80">
        <v>710.47</v>
      </c>
      <c r="D39" s="80">
        <v>727.02</v>
      </c>
      <c r="E39" s="82">
        <v>2.024</v>
      </c>
      <c r="F39" s="82"/>
      <c r="G39" s="47"/>
      <c r="H39" s="47"/>
    </row>
    <row r="40" spans="1:8" ht="18.75" customHeight="1" x14ac:dyDescent="0.25">
      <c r="A40" s="45">
        <v>175</v>
      </c>
      <c r="B40" s="79">
        <v>1.1097100000000001E-3</v>
      </c>
      <c r="C40" s="80">
        <v>731.98</v>
      </c>
      <c r="D40" s="80">
        <v>748.63</v>
      </c>
      <c r="E40" s="82">
        <v>2.0724999999999998</v>
      </c>
      <c r="F40" s="82"/>
      <c r="G40" s="47"/>
      <c r="H40" s="47"/>
    </row>
    <row r="41" spans="1:8" ht="18.75" customHeight="1" x14ac:dyDescent="0.25">
      <c r="A41" s="45">
        <v>180</v>
      </c>
      <c r="B41" s="79">
        <v>1.1160199999999999E-3</v>
      </c>
      <c r="C41" s="80">
        <v>753.58</v>
      </c>
      <c r="D41" s="80">
        <v>770.32</v>
      </c>
      <c r="E41" s="82">
        <v>2.1206</v>
      </c>
      <c r="F41" s="82"/>
      <c r="G41" s="47"/>
      <c r="H41" s="47"/>
    </row>
    <row r="42" spans="1:8" ht="18.75" customHeight="1" x14ac:dyDescent="0.25">
      <c r="A42" s="45">
        <v>185</v>
      </c>
      <c r="B42" s="79">
        <v>1.1225499999999999E-3</v>
      </c>
      <c r="C42" s="80">
        <v>775.26</v>
      </c>
      <c r="D42" s="80">
        <v>792.1</v>
      </c>
      <c r="E42" s="82">
        <v>2.1684000000000001</v>
      </c>
      <c r="F42" s="82"/>
      <c r="G42" s="47"/>
      <c r="H42" s="47"/>
    </row>
    <row r="43" spans="1:8" ht="18.75" customHeight="1" x14ac:dyDescent="0.25">
      <c r="A43" s="45">
        <v>190</v>
      </c>
      <c r="B43" s="79">
        <v>1.1293E-3</v>
      </c>
      <c r="C43" s="80">
        <v>797.03</v>
      </c>
      <c r="D43" s="80">
        <v>813.97</v>
      </c>
      <c r="E43" s="82">
        <v>2.2159</v>
      </c>
      <c r="F43" s="82"/>
      <c r="G43" s="47"/>
      <c r="H43" s="47"/>
    </row>
    <row r="44" spans="1:8" ht="18.75" customHeight="1" x14ac:dyDescent="0.25">
      <c r="A44" s="45">
        <v>195</v>
      </c>
      <c r="B44" s="79">
        <v>1.1362799999999999E-3</v>
      </c>
      <c r="C44" s="80">
        <v>818.89</v>
      </c>
      <c r="D44" s="80">
        <v>835.93</v>
      </c>
      <c r="E44" s="82">
        <v>2.2631000000000001</v>
      </c>
      <c r="F44" s="82"/>
      <c r="G44" s="47"/>
      <c r="H44" s="47"/>
    </row>
    <row r="45" spans="1:8" ht="18.75" customHeight="1" x14ac:dyDescent="0.25">
      <c r="A45" s="45">
        <v>200</v>
      </c>
      <c r="B45" s="79">
        <v>1.1435099999999999E-3</v>
      </c>
      <c r="C45" s="80">
        <v>840.84</v>
      </c>
      <c r="D45" s="80">
        <v>857.99</v>
      </c>
      <c r="E45" s="82">
        <v>2.31</v>
      </c>
      <c r="F45" s="82"/>
      <c r="G45" s="47"/>
      <c r="H45" s="47"/>
    </row>
    <row r="46" spans="1:8" ht="18.75" customHeight="1" x14ac:dyDescent="0.25">
      <c r="A46" s="45">
        <v>210</v>
      </c>
      <c r="B46" s="79">
        <v>1.15876E-3</v>
      </c>
      <c r="C46" s="80">
        <v>885.08</v>
      </c>
      <c r="D46" s="80">
        <v>902.46</v>
      </c>
      <c r="E46" s="82">
        <v>2.403</v>
      </c>
      <c r="F46" s="82"/>
      <c r="G46" s="47"/>
      <c r="H46" s="47"/>
    </row>
    <row r="47" spans="1:8" ht="18.75" customHeight="1" x14ac:dyDescent="0.25">
      <c r="A47" s="45">
        <v>220</v>
      </c>
      <c r="B47" s="79">
        <v>1.17516E-3</v>
      </c>
      <c r="C47" s="80">
        <v>929.8</v>
      </c>
      <c r="D47" s="80">
        <v>947.43</v>
      </c>
      <c r="E47" s="82">
        <v>2.4950999999999999</v>
      </c>
      <c r="F47" s="82"/>
      <c r="G47" s="47"/>
      <c r="H47" s="47"/>
    </row>
    <row r="48" spans="1:8" ht="18.75" customHeight="1" x14ac:dyDescent="0.25">
      <c r="A48" s="45">
        <v>230</v>
      </c>
      <c r="B48" s="79">
        <v>1.19287E-3</v>
      </c>
      <c r="C48" s="80">
        <v>975.08</v>
      </c>
      <c r="D48" s="80">
        <v>992.97</v>
      </c>
      <c r="E48" s="82">
        <v>2.5865</v>
      </c>
      <c r="F48" s="82"/>
      <c r="G48" s="47"/>
      <c r="H48" s="47"/>
    </row>
    <row r="49" spans="1:8" ht="18.75" customHeight="1" x14ac:dyDescent="0.25">
      <c r="A49" s="45">
        <v>240</v>
      </c>
      <c r="B49" s="79">
        <v>1.2120799999999999E-3</v>
      </c>
      <c r="C49" s="83">
        <v>1021</v>
      </c>
      <c r="D49" s="83">
        <v>1039.2</v>
      </c>
      <c r="E49" s="82">
        <v>2.6774</v>
      </c>
      <c r="F49" s="82"/>
      <c r="G49" s="47"/>
      <c r="H49" s="47"/>
    </row>
    <row r="50" spans="1:8" ht="18.75" customHeight="1" x14ac:dyDescent="0.25">
      <c r="A50" s="45">
        <v>250</v>
      </c>
      <c r="B50" s="79">
        <v>1.2330100000000001E-3</v>
      </c>
      <c r="C50" s="83">
        <v>1067.5999999999999</v>
      </c>
      <c r="D50" s="83">
        <v>1086.0999999999999</v>
      </c>
      <c r="E50" s="82">
        <v>2.7679999999999998</v>
      </c>
      <c r="F50" s="82"/>
      <c r="G50" s="47"/>
      <c r="H50" s="47"/>
    </row>
    <row r="51" spans="1:8" ht="18.75" customHeight="1" x14ac:dyDescent="0.25">
      <c r="A51" s="45">
        <v>260</v>
      </c>
      <c r="B51" s="79">
        <v>1.25596E-3</v>
      </c>
      <c r="C51" s="83">
        <v>1115.2</v>
      </c>
      <c r="D51" s="83">
        <v>1134</v>
      </c>
      <c r="E51" s="82">
        <v>2.8586</v>
      </c>
      <c r="F51" s="82"/>
      <c r="G51" s="47"/>
      <c r="H51" s="47"/>
    </row>
    <row r="52" spans="1:8" ht="18.75" customHeight="1" x14ac:dyDescent="0.25">
      <c r="A52" s="45">
        <v>270</v>
      </c>
      <c r="B52" s="79">
        <v>1.28133E-3</v>
      </c>
      <c r="C52" s="83">
        <v>1163.7</v>
      </c>
      <c r="D52" s="83">
        <v>1182.9000000000001</v>
      </c>
      <c r="E52" s="82">
        <v>2.9495</v>
      </c>
      <c r="F52" s="82"/>
      <c r="G52" s="47"/>
      <c r="H52" s="47"/>
    </row>
    <row r="53" spans="1:8" ht="18.75" customHeight="1" x14ac:dyDescent="0.25">
      <c r="A53" s="45">
        <v>280</v>
      </c>
      <c r="B53" s="79">
        <v>1.30963E-3</v>
      </c>
      <c r="C53" s="83">
        <v>1213.4000000000001</v>
      </c>
      <c r="D53" s="83">
        <v>1233</v>
      </c>
      <c r="E53" s="82">
        <v>3.0409000000000002</v>
      </c>
      <c r="F53" s="82"/>
      <c r="G53" s="47"/>
      <c r="H53" s="47"/>
    </row>
    <row r="54" spans="1:8" ht="18.75" customHeight="1" x14ac:dyDescent="0.25">
      <c r="A54" s="45">
        <v>290</v>
      </c>
      <c r="B54" s="79">
        <v>1.3415899999999999E-3</v>
      </c>
      <c r="C54" s="83">
        <v>1264.5999999999999</v>
      </c>
      <c r="D54" s="83">
        <v>1284.7</v>
      </c>
      <c r="E54" s="82">
        <v>3.1335000000000002</v>
      </c>
      <c r="F54" s="82"/>
      <c r="G54" s="47"/>
      <c r="H54" s="47"/>
    </row>
    <row r="55" spans="1:8" ht="18.75" customHeight="1" x14ac:dyDescent="0.25">
      <c r="A55" s="45">
        <v>300</v>
      </c>
      <c r="B55" s="79">
        <v>1.3782600000000001E-3</v>
      </c>
      <c r="C55" s="83">
        <v>1317.6</v>
      </c>
      <c r="D55" s="83">
        <v>1338.3</v>
      </c>
      <c r="E55" s="82">
        <v>3.2279</v>
      </c>
      <c r="F55" s="82"/>
      <c r="G55" s="47"/>
      <c r="H55" s="47"/>
    </row>
    <row r="56" spans="1:8" ht="18.75" customHeight="1" x14ac:dyDescent="0.25">
      <c r="A56" s="45">
        <v>310</v>
      </c>
      <c r="B56" s="79">
        <v>1.42125E-3</v>
      </c>
      <c r="C56" s="83">
        <v>1373.1</v>
      </c>
      <c r="D56" s="83">
        <v>1394.4</v>
      </c>
      <c r="E56" s="82">
        <v>3.3250000000000002</v>
      </c>
      <c r="F56" s="82"/>
      <c r="G56" s="47"/>
      <c r="H56" s="47"/>
    </row>
    <row r="57" spans="1:8" ht="18.75" customHeight="1" x14ac:dyDescent="0.25">
      <c r="A57" s="45">
        <v>320</v>
      </c>
      <c r="B57" s="79">
        <v>1.4732600000000001E-3</v>
      </c>
      <c r="C57" s="83">
        <v>1431.9</v>
      </c>
      <c r="D57" s="83">
        <v>1454</v>
      </c>
      <c r="E57" s="82">
        <v>3.4262999999999999</v>
      </c>
      <c r="F57" s="82"/>
      <c r="G57" s="47"/>
      <c r="H57" s="47"/>
    </row>
    <row r="58" spans="1:8" ht="18.75" customHeight="1" x14ac:dyDescent="0.25">
      <c r="A58" s="45">
        <v>330</v>
      </c>
      <c r="B58" s="79">
        <v>1.5393200000000001E-3</v>
      </c>
      <c r="C58" s="83">
        <v>1495.7</v>
      </c>
      <c r="D58" s="83">
        <v>1518.8</v>
      </c>
      <c r="E58" s="82">
        <v>3.5345</v>
      </c>
      <c r="F58" s="82"/>
      <c r="G58" s="47"/>
      <c r="H58" s="47"/>
    </row>
    <row r="59" spans="1:8" ht="18.75" customHeight="1" x14ac:dyDescent="0.25">
      <c r="A59" s="45">
        <v>340</v>
      </c>
      <c r="B59" s="79">
        <v>1.6311299999999999E-3</v>
      </c>
      <c r="C59" s="83">
        <v>1567.9</v>
      </c>
      <c r="D59" s="83">
        <v>1592.4</v>
      </c>
      <c r="E59" s="82">
        <v>3.6555</v>
      </c>
      <c r="F59" s="82"/>
      <c r="G59" s="47"/>
      <c r="H59" s="47"/>
    </row>
    <row r="60" spans="1:8" ht="18.75" customHeight="1" x14ac:dyDescent="0.25">
      <c r="A60" s="45">
        <v>350</v>
      </c>
      <c r="B60" s="85">
        <v>1.1481E-2</v>
      </c>
      <c r="C60" s="83">
        <v>2520.9</v>
      </c>
      <c r="D60" s="83">
        <v>2693.1</v>
      </c>
      <c r="E60" s="82">
        <v>5.4436999999999998</v>
      </c>
      <c r="F60" s="82"/>
      <c r="G60" s="47"/>
      <c r="H60" s="47"/>
    </row>
    <row r="61" spans="1:8" ht="18.75" customHeight="1" x14ac:dyDescent="0.25">
      <c r="A61" s="45">
        <v>360</v>
      </c>
      <c r="B61" s="85">
        <v>1.2581999999999999E-2</v>
      </c>
      <c r="C61" s="83">
        <v>2581</v>
      </c>
      <c r="D61" s="83">
        <v>2769.7</v>
      </c>
      <c r="E61" s="82">
        <v>5.5656999999999996</v>
      </c>
      <c r="F61" s="82"/>
      <c r="G61" s="47"/>
      <c r="H61" s="47"/>
    </row>
    <row r="62" spans="1:8" ht="18.75" customHeight="1" x14ac:dyDescent="0.25">
      <c r="A62" s="45">
        <v>370</v>
      </c>
      <c r="B62" s="85">
        <v>1.3493E-2</v>
      </c>
      <c r="C62" s="83">
        <v>2629</v>
      </c>
      <c r="D62" s="83">
        <v>2831.4</v>
      </c>
      <c r="E62" s="82">
        <v>5.6624999999999996</v>
      </c>
      <c r="F62" s="82"/>
      <c r="G62" s="47"/>
      <c r="H62" s="47"/>
    </row>
    <row r="63" spans="1:8" ht="18.75" customHeight="1" x14ac:dyDescent="0.25">
      <c r="A63" s="45">
        <v>380</v>
      </c>
      <c r="B63" s="85">
        <v>1.4289E-2</v>
      </c>
      <c r="C63" s="83">
        <v>2670.4</v>
      </c>
      <c r="D63" s="83">
        <v>2884.7</v>
      </c>
      <c r="E63" s="82">
        <v>5.7446000000000002</v>
      </c>
      <c r="F63" s="82"/>
      <c r="G63" s="47"/>
      <c r="H63" s="47"/>
    </row>
    <row r="64" spans="1:8" ht="18.75" customHeight="1" x14ac:dyDescent="0.25">
      <c r="A64" s="45">
        <v>390</v>
      </c>
      <c r="B64" s="85">
        <v>1.5008000000000001E-2</v>
      </c>
      <c r="C64" s="83">
        <v>2707.1</v>
      </c>
      <c r="D64" s="83">
        <v>2932.2</v>
      </c>
      <c r="E64" s="82">
        <v>5.8167999999999997</v>
      </c>
      <c r="F64" s="82"/>
      <c r="G64" s="47"/>
      <c r="H64" s="47"/>
    </row>
    <row r="65" spans="1:8" ht="18.75" customHeight="1" x14ac:dyDescent="0.25">
      <c r="A65" s="45">
        <v>400</v>
      </c>
      <c r="B65" s="85">
        <v>1.5671000000000001E-2</v>
      </c>
      <c r="C65" s="83">
        <v>2740.6</v>
      </c>
      <c r="D65" s="83">
        <v>2975.7</v>
      </c>
      <c r="E65" s="82">
        <v>5.8818999999999999</v>
      </c>
      <c r="F65" s="82"/>
      <c r="G65" s="47"/>
      <c r="H65" s="47"/>
    </row>
    <row r="66" spans="1:8" ht="18.75" customHeight="1" x14ac:dyDescent="0.25">
      <c r="A66" s="45">
        <v>410</v>
      </c>
      <c r="B66" s="85">
        <v>1.6289999999999999E-2</v>
      </c>
      <c r="C66" s="83">
        <v>2771.8</v>
      </c>
      <c r="D66" s="83">
        <v>3016.1</v>
      </c>
      <c r="E66" s="82">
        <v>5.9414999999999996</v>
      </c>
      <c r="F66" s="82"/>
      <c r="G66" s="47"/>
      <c r="H66" s="47"/>
    </row>
    <row r="67" spans="1:8" ht="18.75" customHeight="1" x14ac:dyDescent="0.25">
      <c r="A67" s="45">
        <v>420</v>
      </c>
      <c r="B67" s="85">
        <v>1.6875000000000001E-2</v>
      </c>
      <c r="C67" s="83">
        <v>2800.9</v>
      </c>
      <c r="D67" s="83">
        <v>3054</v>
      </c>
      <c r="E67" s="82">
        <v>5.9966999999999997</v>
      </c>
      <c r="F67" s="82"/>
      <c r="G67" s="47"/>
      <c r="H67" s="47"/>
    </row>
    <row r="68" spans="1:8" ht="18.75" customHeight="1" x14ac:dyDescent="0.25">
      <c r="A68" s="45">
        <v>430</v>
      </c>
      <c r="B68" s="85">
        <v>1.7430999999999999E-2</v>
      </c>
      <c r="C68" s="83">
        <v>2828.6</v>
      </c>
      <c r="D68" s="83">
        <v>3090.1</v>
      </c>
      <c r="E68" s="82">
        <v>6.0484</v>
      </c>
      <c r="F68" s="82"/>
      <c r="G68" s="47"/>
      <c r="H68" s="47"/>
    </row>
    <row r="69" spans="1:8" ht="18.75" customHeight="1" x14ac:dyDescent="0.25">
      <c r="A69" s="45">
        <v>440</v>
      </c>
      <c r="B69" s="85">
        <v>1.7964000000000001E-2</v>
      </c>
      <c r="C69" s="83">
        <v>2855.2</v>
      </c>
      <c r="D69" s="83">
        <v>3124.7</v>
      </c>
      <c r="E69" s="82">
        <v>6.0971000000000002</v>
      </c>
      <c r="F69" s="82"/>
      <c r="G69" s="47"/>
      <c r="H69" s="47"/>
    </row>
    <row r="70" spans="1:8" ht="18.75" customHeight="1" x14ac:dyDescent="0.25">
      <c r="A70" s="45">
        <v>450</v>
      </c>
      <c r="B70" s="85">
        <v>1.8477E-2</v>
      </c>
      <c r="C70" s="83">
        <v>2880.7</v>
      </c>
      <c r="D70" s="83">
        <v>3157.9</v>
      </c>
      <c r="E70" s="82">
        <v>6.1433999999999997</v>
      </c>
      <c r="F70" s="82"/>
      <c r="G70" s="47"/>
      <c r="H70" s="47"/>
    </row>
    <row r="71" spans="1:8" ht="18.75" customHeight="1" x14ac:dyDescent="0.25">
      <c r="A71" s="45">
        <v>460</v>
      </c>
      <c r="B71" s="85">
        <v>1.8973E-2</v>
      </c>
      <c r="C71" s="83">
        <v>2905.5</v>
      </c>
      <c r="D71" s="83">
        <v>3190.1</v>
      </c>
      <c r="E71" s="82">
        <v>6.1875999999999998</v>
      </c>
      <c r="F71" s="82"/>
      <c r="G71" s="47"/>
      <c r="H71" s="47"/>
    </row>
    <row r="72" spans="1:8" ht="18.75" customHeight="1" x14ac:dyDescent="0.25">
      <c r="A72" s="45">
        <v>470</v>
      </c>
      <c r="B72" s="85">
        <v>1.9455E-2</v>
      </c>
      <c r="C72" s="83">
        <v>2929.5</v>
      </c>
      <c r="D72" s="83">
        <v>3221.3</v>
      </c>
      <c r="E72" s="82">
        <v>6.2298999999999998</v>
      </c>
      <c r="F72" s="82"/>
      <c r="G72" s="47"/>
      <c r="H72" s="47"/>
    </row>
    <row r="73" spans="1:8" ht="18.75" customHeight="1" x14ac:dyDescent="0.25">
      <c r="A73" s="45">
        <v>480</v>
      </c>
      <c r="B73" s="85">
        <v>1.9923E-2</v>
      </c>
      <c r="C73" s="83">
        <v>2953</v>
      </c>
      <c r="D73" s="83">
        <v>3251.8</v>
      </c>
      <c r="E73" s="82">
        <v>6.2706</v>
      </c>
      <c r="F73" s="82"/>
      <c r="G73" s="47"/>
      <c r="H73" s="47"/>
    </row>
    <row r="74" spans="1:8" ht="18.75" customHeight="1" x14ac:dyDescent="0.25">
      <c r="A74" s="45">
        <v>490</v>
      </c>
      <c r="B74" s="85">
        <v>2.0379999999999999E-2</v>
      </c>
      <c r="C74" s="83">
        <v>2975.9</v>
      </c>
      <c r="D74" s="83">
        <v>3281.6</v>
      </c>
      <c r="E74" s="82">
        <v>6.3098999999999998</v>
      </c>
      <c r="F74" s="82"/>
      <c r="G74" s="47"/>
      <c r="H74" s="47"/>
    </row>
    <row r="75" spans="1:8" ht="18.75" customHeight="1" x14ac:dyDescent="0.25">
      <c r="A75" s="45">
        <v>500</v>
      </c>
      <c r="B75" s="85">
        <v>2.0826999999999998E-2</v>
      </c>
      <c r="C75" s="83">
        <v>2998.4</v>
      </c>
      <c r="D75" s="83">
        <v>3310.8</v>
      </c>
      <c r="E75" s="82">
        <v>6.3479999999999999</v>
      </c>
      <c r="F75" s="82"/>
      <c r="G75" s="47"/>
      <c r="H75" s="47"/>
    </row>
    <row r="76" spans="1:8" ht="18.75" customHeight="1" x14ac:dyDescent="0.25">
      <c r="A76" s="45">
        <v>520</v>
      </c>
      <c r="B76" s="85">
        <v>2.1696E-2</v>
      </c>
      <c r="C76" s="83">
        <v>3042.4</v>
      </c>
      <c r="D76" s="83">
        <v>3367.8</v>
      </c>
      <c r="E76" s="82">
        <v>6.4207000000000001</v>
      </c>
      <c r="F76" s="82"/>
      <c r="G76" s="47"/>
      <c r="H76" s="47"/>
    </row>
    <row r="77" spans="1:8" ht="18.75" customHeight="1" x14ac:dyDescent="0.25">
      <c r="A77" s="45">
        <v>540</v>
      </c>
      <c r="B77" s="85">
        <v>2.2533999999999998E-2</v>
      </c>
      <c r="C77" s="83">
        <v>3085.2</v>
      </c>
      <c r="D77" s="83">
        <v>3423.2</v>
      </c>
      <c r="E77" s="82">
        <v>6.4897</v>
      </c>
      <c r="F77" s="82"/>
      <c r="G77" s="47"/>
      <c r="H77" s="47"/>
    </row>
    <row r="78" spans="1:8" ht="18.75" customHeight="1" x14ac:dyDescent="0.25">
      <c r="A78" s="45">
        <v>560</v>
      </c>
      <c r="B78" s="85">
        <v>2.3349000000000002E-2</v>
      </c>
      <c r="C78" s="83">
        <v>3127.2</v>
      </c>
      <c r="D78" s="83">
        <v>3477.4</v>
      </c>
      <c r="E78" s="82">
        <v>6.5556000000000001</v>
      </c>
      <c r="F78" s="82"/>
      <c r="G78" s="47"/>
      <c r="H78" s="47"/>
    </row>
    <row r="79" spans="1:8" ht="18.75" customHeight="1" x14ac:dyDescent="0.25">
      <c r="A79" s="45">
        <v>580</v>
      </c>
      <c r="B79" s="85">
        <v>2.4143999999999999E-2</v>
      </c>
      <c r="C79" s="83">
        <v>3168.4</v>
      </c>
      <c r="D79" s="83">
        <v>3530.6</v>
      </c>
      <c r="E79" s="82">
        <v>6.6186999999999996</v>
      </c>
      <c r="F79" s="82"/>
      <c r="G79" s="47"/>
      <c r="H79" s="47"/>
    </row>
    <row r="80" spans="1:8" ht="18.75" customHeight="1" x14ac:dyDescent="0.25">
      <c r="A80" s="45">
        <v>600</v>
      </c>
      <c r="B80" s="85">
        <v>2.4920999999999999E-2</v>
      </c>
      <c r="C80" s="83">
        <v>3209.3</v>
      </c>
      <c r="D80" s="83">
        <v>3583.1</v>
      </c>
      <c r="E80" s="82">
        <v>6.6795999999999998</v>
      </c>
      <c r="F80" s="82"/>
      <c r="G80" s="47"/>
      <c r="H80" s="47"/>
    </row>
    <row r="81" spans="1:8" ht="18.75" customHeight="1" x14ac:dyDescent="0.25">
      <c r="A81" s="45">
        <v>620</v>
      </c>
      <c r="B81" s="85">
        <v>2.5683999999999998E-2</v>
      </c>
      <c r="C81" s="83">
        <v>3249.8</v>
      </c>
      <c r="D81" s="83">
        <v>3635.1</v>
      </c>
      <c r="E81" s="82">
        <v>6.7384000000000004</v>
      </c>
      <c r="F81" s="82"/>
      <c r="G81" s="47"/>
      <c r="H81" s="47"/>
    </row>
    <row r="82" spans="1:8" ht="18.75" customHeight="1" x14ac:dyDescent="0.25">
      <c r="A82" s="45">
        <v>640</v>
      </c>
      <c r="B82" s="85">
        <v>2.6433000000000002E-2</v>
      </c>
      <c r="C82" s="83">
        <v>3290</v>
      </c>
      <c r="D82" s="83">
        <v>3686.5</v>
      </c>
      <c r="E82" s="82">
        <v>6.7953999999999999</v>
      </c>
      <c r="F82" s="82"/>
      <c r="G82" s="47"/>
      <c r="H82" s="47"/>
    </row>
    <row r="83" spans="1:8" ht="18.75" customHeight="1" x14ac:dyDescent="0.25">
      <c r="A83" s="45">
        <v>660</v>
      </c>
      <c r="B83" s="85">
        <v>2.7172000000000002E-2</v>
      </c>
      <c r="C83" s="83">
        <v>3330</v>
      </c>
      <c r="D83" s="83">
        <v>3737.6</v>
      </c>
      <c r="E83" s="82">
        <v>6.8507999999999996</v>
      </c>
      <c r="F83" s="82"/>
      <c r="G83" s="47"/>
      <c r="H83" s="47"/>
    </row>
    <row r="84" spans="1:8" ht="18.75" customHeight="1" x14ac:dyDescent="0.25">
      <c r="A84" s="45">
        <v>680</v>
      </c>
      <c r="B84" s="85">
        <v>2.7900999999999999E-2</v>
      </c>
      <c r="C84" s="83">
        <v>3370</v>
      </c>
      <c r="D84" s="83">
        <v>3788.5</v>
      </c>
      <c r="E84" s="82">
        <v>6.9047000000000001</v>
      </c>
      <c r="F84" s="82"/>
      <c r="G84" s="47"/>
      <c r="H84" s="47"/>
    </row>
    <row r="85" spans="1:8" ht="18.75" customHeight="1" x14ac:dyDescent="0.25">
      <c r="A85" s="45">
        <v>700</v>
      </c>
      <c r="B85" s="85">
        <v>2.8621000000000001E-2</v>
      </c>
      <c r="C85" s="83">
        <v>3409.8</v>
      </c>
      <c r="D85" s="83">
        <v>3839.1</v>
      </c>
      <c r="E85" s="82">
        <v>6.9572000000000003</v>
      </c>
      <c r="F85" s="82"/>
      <c r="G85" s="47"/>
      <c r="H85" s="47"/>
    </row>
    <row r="86" spans="1:8" ht="18.75" customHeight="1" x14ac:dyDescent="0.25">
      <c r="A86" s="45">
        <v>720</v>
      </c>
      <c r="B86" s="85">
        <v>2.9333999999999999E-2</v>
      </c>
      <c r="C86" s="83">
        <v>3449.6</v>
      </c>
      <c r="D86" s="83">
        <v>3889.6</v>
      </c>
      <c r="E86" s="82">
        <v>7.0086000000000004</v>
      </c>
      <c r="F86" s="82"/>
      <c r="G86" s="47"/>
      <c r="H86" s="47"/>
    </row>
    <row r="87" spans="1:8" ht="18.75" customHeight="1" x14ac:dyDescent="0.25">
      <c r="A87" s="45">
        <v>740</v>
      </c>
      <c r="B87" s="85">
        <v>3.0039E-2</v>
      </c>
      <c r="C87" s="83">
        <v>3489.4</v>
      </c>
      <c r="D87" s="83">
        <v>3940</v>
      </c>
      <c r="E87" s="82">
        <v>7.0589000000000004</v>
      </c>
      <c r="F87" s="82"/>
      <c r="G87" s="47"/>
      <c r="H87" s="47"/>
    </row>
    <row r="88" spans="1:8" ht="18.75" customHeight="1" x14ac:dyDescent="0.25">
      <c r="A88" s="45">
        <v>760</v>
      </c>
      <c r="B88" s="85">
        <v>3.0738000000000001E-2</v>
      </c>
      <c r="C88" s="83">
        <v>3529.3</v>
      </c>
      <c r="D88" s="83">
        <v>3990.4</v>
      </c>
      <c r="E88" s="82">
        <v>7.1081000000000003</v>
      </c>
      <c r="F88" s="82"/>
      <c r="G88" s="47"/>
      <c r="H88" s="47"/>
    </row>
    <row r="89" spans="1:8" ht="18.75" customHeight="1" x14ac:dyDescent="0.25">
      <c r="A89" s="45">
        <v>780</v>
      </c>
      <c r="B89" s="85">
        <v>3.1432000000000002E-2</v>
      </c>
      <c r="C89" s="83">
        <v>3569.2</v>
      </c>
      <c r="D89" s="83">
        <v>4040.7</v>
      </c>
      <c r="E89" s="82">
        <v>7.1562999999999999</v>
      </c>
      <c r="F89" s="82"/>
      <c r="G89" s="47"/>
      <c r="H89" s="47"/>
    </row>
    <row r="90" spans="1:8" ht="18.75" customHeight="1" x14ac:dyDescent="0.25">
      <c r="A90" s="45">
        <v>800</v>
      </c>
      <c r="B90" s="85">
        <v>3.2120999999999997E-2</v>
      </c>
      <c r="C90" s="83">
        <v>3609.3</v>
      </c>
      <c r="D90" s="83">
        <v>4091.1</v>
      </c>
      <c r="E90" s="82">
        <v>7.2037000000000004</v>
      </c>
      <c r="F90" s="82"/>
      <c r="G90" s="47"/>
      <c r="H90" s="47"/>
    </row>
    <row r="91" spans="1:8" ht="18.75" customHeight="1" x14ac:dyDescent="0.25">
      <c r="A91" s="45">
        <v>820</v>
      </c>
      <c r="B91" s="85">
        <v>3.2805000000000001E-2</v>
      </c>
      <c r="C91" s="83">
        <v>3649.3</v>
      </c>
      <c r="D91" s="83">
        <v>4141.3999999999996</v>
      </c>
      <c r="E91" s="82">
        <v>7.2502000000000004</v>
      </c>
      <c r="F91" s="82"/>
      <c r="G91" s="47"/>
      <c r="H91" s="47"/>
    </row>
    <row r="92" spans="1:8" ht="18.75" customHeight="1" x14ac:dyDescent="0.25">
      <c r="A92" s="45">
        <v>840</v>
      </c>
      <c r="B92" s="85">
        <v>3.3485000000000001E-2</v>
      </c>
      <c r="C92" s="83">
        <v>3689.6</v>
      </c>
      <c r="D92" s="83">
        <v>4191.8999999999996</v>
      </c>
      <c r="E92" s="82">
        <v>7.2958999999999996</v>
      </c>
      <c r="F92" s="82"/>
      <c r="G92" s="47"/>
      <c r="H92" s="47"/>
    </row>
    <row r="93" spans="1:8" ht="18.75" customHeight="1" x14ac:dyDescent="0.25">
      <c r="A93" s="45">
        <v>860</v>
      </c>
      <c r="B93" s="85">
        <v>3.4160999999999997E-2</v>
      </c>
      <c r="C93" s="83">
        <v>3730</v>
      </c>
      <c r="D93" s="83">
        <v>4242.3999999999996</v>
      </c>
      <c r="E93" s="82">
        <v>7.3409000000000004</v>
      </c>
      <c r="F93" s="82"/>
      <c r="G93" s="47"/>
      <c r="H93" s="47"/>
    </row>
    <row r="94" spans="1:8" ht="18.75" customHeight="1" x14ac:dyDescent="0.25">
      <c r="A94" s="45">
        <v>880</v>
      </c>
      <c r="B94" s="85">
        <v>3.4833000000000003E-2</v>
      </c>
      <c r="C94" s="83">
        <v>3770.5</v>
      </c>
      <c r="D94" s="83">
        <v>4293</v>
      </c>
      <c r="E94" s="82">
        <v>7.3852000000000002</v>
      </c>
      <c r="F94" s="82"/>
      <c r="G94" s="47"/>
      <c r="H94" s="47"/>
    </row>
    <row r="95" spans="1:8" ht="18.75" customHeight="1" x14ac:dyDescent="0.25">
      <c r="A95" s="45">
        <v>900</v>
      </c>
      <c r="B95" s="85">
        <v>3.5503E-2</v>
      </c>
      <c r="C95" s="83">
        <v>3811.2</v>
      </c>
      <c r="D95" s="83">
        <v>4343.7</v>
      </c>
      <c r="E95" s="82">
        <v>7.4287999999999998</v>
      </c>
      <c r="F95" s="82"/>
      <c r="G95" s="47"/>
      <c r="H95" s="47"/>
    </row>
    <row r="96" spans="1:8" ht="18.75" customHeight="1" x14ac:dyDescent="0.25">
      <c r="A96" s="45">
        <v>920</v>
      </c>
      <c r="B96" s="85">
        <v>3.6169E-2</v>
      </c>
      <c r="C96" s="83">
        <v>3852</v>
      </c>
      <c r="D96" s="83">
        <v>4394.5</v>
      </c>
      <c r="E96" s="82">
        <v>7.4717000000000002</v>
      </c>
      <c r="F96" s="82"/>
      <c r="G96" s="47"/>
      <c r="H96" s="47"/>
    </row>
    <row r="97" spans="1:8" ht="18.75" customHeight="1" x14ac:dyDescent="0.25">
      <c r="A97" s="45">
        <v>940</v>
      </c>
      <c r="B97" s="85">
        <v>3.6831999999999997E-2</v>
      </c>
      <c r="C97" s="83">
        <v>3893</v>
      </c>
      <c r="D97" s="83">
        <v>4445.5</v>
      </c>
      <c r="E97" s="82">
        <v>7.5141</v>
      </c>
      <c r="F97" s="82"/>
      <c r="G97" s="47"/>
      <c r="H97" s="47"/>
    </row>
    <row r="98" spans="1:8" ht="18.75" customHeight="1" x14ac:dyDescent="0.25">
      <c r="A98" s="45">
        <v>960</v>
      </c>
      <c r="B98" s="85">
        <v>3.7492999999999999E-2</v>
      </c>
      <c r="C98" s="83">
        <v>3934.2</v>
      </c>
      <c r="D98" s="83">
        <v>4496.6000000000004</v>
      </c>
      <c r="E98" s="82">
        <v>7.5559000000000003</v>
      </c>
      <c r="F98" s="82"/>
      <c r="G98" s="47"/>
      <c r="H98" s="47"/>
    </row>
    <row r="99" spans="1:8" ht="18.75" customHeight="1" x14ac:dyDescent="0.25">
      <c r="A99" s="45">
        <v>980</v>
      </c>
      <c r="B99" s="85">
        <v>3.8151999999999998E-2</v>
      </c>
      <c r="C99" s="83">
        <v>3975.5</v>
      </c>
      <c r="D99" s="83">
        <v>4547.8</v>
      </c>
      <c r="E99" s="82">
        <v>7.5971000000000002</v>
      </c>
      <c r="F99" s="82"/>
      <c r="G99" s="47"/>
      <c r="H99" s="47"/>
    </row>
    <row r="100" spans="1:8" ht="18.75" customHeight="1" x14ac:dyDescent="0.25">
      <c r="A100" s="45">
        <v>1000</v>
      </c>
      <c r="B100" s="85">
        <v>3.8808000000000002E-2</v>
      </c>
      <c r="C100" s="83">
        <v>4017.1</v>
      </c>
      <c r="D100" s="83">
        <v>4599.2</v>
      </c>
      <c r="E100" s="82">
        <v>7.6378000000000004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H100"/>
  <sheetViews>
    <sheetView topLeftCell="A40" workbookViewId="0">
      <selection activeCell="A60" sqref="A60:XFD60"/>
    </sheetView>
  </sheetViews>
  <sheetFormatPr defaultRowHeight="13.2" x14ac:dyDescent="0.25"/>
  <cols>
    <col min="1" max="1" width="9.21875" customWidth="1"/>
    <col min="2" max="2" width="10.77734375" customWidth="1"/>
    <col min="3" max="3" width="7.21875" customWidth="1"/>
    <col min="4" max="4" width="8.88671875" customWidth="1"/>
    <col min="5" max="5" width="8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95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16000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9.922799999999999E-4</v>
      </c>
      <c r="C5" s="80">
        <v>0.18</v>
      </c>
      <c r="D5" s="80">
        <v>16.059999999999999</v>
      </c>
      <c r="E5" s="81">
        <v>4.6000000000000001E-4</v>
      </c>
      <c r="F5" s="81"/>
      <c r="G5" s="28"/>
      <c r="H5" s="28"/>
    </row>
    <row r="6" spans="1:8" ht="18.75" customHeight="1" x14ac:dyDescent="0.25">
      <c r="A6" s="7">
        <v>5</v>
      </c>
      <c r="B6" s="79">
        <v>9.9240999999999999E-4</v>
      </c>
      <c r="C6" s="80">
        <v>20.9</v>
      </c>
      <c r="D6" s="80">
        <v>36.78</v>
      </c>
      <c r="E6" s="81">
        <v>7.5630000000000003E-2</v>
      </c>
      <c r="F6" s="81"/>
      <c r="G6" s="28"/>
      <c r="H6" s="28"/>
    </row>
    <row r="7" spans="1:8" ht="18.75" customHeight="1" x14ac:dyDescent="0.25">
      <c r="A7" s="7">
        <v>10</v>
      </c>
      <c r="B7" s="79">
        <v>9.9288000000000002E-4</v>
      </c>
      <c r="C7" s="80">
        <v>41.59</v>
      </c>
      <c r="D7" s="80">
        <v>57.48</v>
      </c>
      <c r="E7" s="81">
        <v>0.14939</v>
      </c>
      <c r="F7" s="81"/>
      <c r="G7" s="28"/>
      <c r="H7" s="28"/>
    </row>
    <row r="8" spans="1:8" ht="18.75" customHeight="1" x14ac:dyDescent="0.25">
      <c r="A8" s="7">
        <v>15</v>
      </c>
      <c r="B8" s="79">
        <v>9.9364000000000006E-4</v>
      </c>
      <c r="C8" s="80">
        <v>62.28</v>
      </c>
      <c r="D8" s="80">
        <v>78.180000000000007</v>
      </c>
      <c r="E8" s="81">
        <v>0.22181999999999999</v>
      </c>
      <c r="F8" s="81"/>
      <c r="G8" s="28"/>
      <c r="H8" s="28"/>
    </row>
    <row r="9" spans="1:8" ht="18.75" customHeight="1" x14ac:dyDescent="0.25">
      <c r="A9" s="7">
        <v>20</v>
      </c>
      <c r="B9" s="79">
        <v>9.9466000000000008E-4</v>
      </c>
      <c r="C9" s="80">
        <v>82.95</v>
      </c>
      <c r="D9" s="80">
        <v>98.86</v>
      </c>
      <c r="E9" s="81">
        <v>0.29299999999999998</v>
      </c>
      <c r="F9" s="81"/>
      <c r="G9" s="28"/>
      <c r="H9" s="28"/>
    </row>
    <row r="10" spans="1:8" ht="18.75" customHeight="1" x14ac:dyDescent="0.25">
      <c r="A10" s="7">
        <v>25</v>
      </c>
      <c r="B10" s="79">
        <v>9.9591999999999997E-4</v>
      </c>
      <c r="C10" s="80">
        <v>103.62</v>
      </c>
      <c r="D10" s="80">
        <v>119.55</v>
      </c>
      <c r="E10" s="81">
        <v>0.36297000000000001</v>
      </c>
      <c r="F10" s="81"/>
      <c r="G10" s="28"/>
      <c r="H10" s="28"/>
    </row>
    <row r="11" spans="1:8" ht="18.75" customHeight="1" x14ac:dyDescent="0.25">
      <c r="A11" s="7">
        <v>30</v>
      </c>
      <c r="B11" s="79">
        <v>9.9738999999999991E-4</v>
      </c>
      <c r="C11" s="80">
        <v>124.28</v>
      </c>
      <c r="D11" s="80">
        <v>140.24</v>
      </c>
      <c r="E11" s="81">
        <v>0.43180000000000002</v>
      </c>
      <c r="F11" s="81"/>
      <c r="G11" s="28"/>
      <c r="H11" s="28"/>
    </row>
    <row r="12" spans="1:8" ht="18.75" customHeight="1" x14ac:dyDescent="0.25">
      <c r="A12" s="7">
        <v>35</v>
      </c>
      <c r="B12" s="79">
        <v>9.9905999999999997E-4</v>
      </c>
      <c r="C12" s="80">
        <v>144.96</v>
      </c>
      <c r="D12" s="80">
        <v>160.94</v>
      </c>
      <c r="E12" s="81">
        <v>0.49952000000000002</v>
      </c>
      <c r="F12" s="81"/>
      <c r="G12" s="28"/>
      <c r="H12" s="28"/>
    </row>
    <row r="13" spans="1:8" ht="18.75" customHeight="1" x14ac:dyDescent="0.25">
      <c r="A13" s="7">
        <v>40</v>
      </c>
      <c r="B13" s="79">
        <v>1.00092E-3</v>
      </c>
      <c r="C13" s="80">
        <v>165.64</v>
      </c>
      <c r="D13" s="80">
        <v>181.65</v>
      </c>
      <c r="E13" s="81">
        <v>0.56616999999999995</v>
      </c>
      <c r="F13" s="81"/>
      <c r="G13" s="28"/>
      <c r="H13" s="28"/>
    </row>
    <row r="14" spans="1:8" ht="18.75" customHeight="1" x14ac:dyDescent="0.25">
      <c r="A14" s="7">
        <v>45</v>
      </c>
      <c r="B14" s="79">
        <v>1.00296E-3</v>
      </c>
      <c r="C14" s="80">
        <v>186.31</v>
      </c>
      <c r="D14" s="80">
        <v>202.36</v>
      </c>
      <c r="E14" s="81">
        <v>0.63180000000000003</v>
      </c>
      <c r="F14" s="81"/>
      <c r="G14" s="28"/>
      <c r="H14" s="28"/>
    </row>
    <row r="15" spans="1:8" ht="18.75" customHeight="1" x14ac:dyDescent="0.25">
      <c r="A15" s="7">
        <v>50</v>
      </c>
      <c r="B15" s="79">
        <v>1.0051699999999999E-3</v>
      </c>
      <c r="C15" s="80">
        <v>207.01</v>
      </c>
      <c r="D15" s="80">
        <v>223.09</v>
      </c>
      <c r="E15" s="81">
        <v>0.69643999999999995</v>
      </c>
      <c r="F15" s="81"/>
      <c r="G15" s="28"/>
      <c r="H15" s="28"/>
    </row>
    <row r="16" spans="1:8" ht="18.75" customHeight="1" x14ac:dyDescent="0.25">
      <c r="A16" s="7">
        <v>55</v>
      </c>
      <c r="B16" s="79">
        <v>1.0075500000000001E-3</v>
      </c>
      <c r="C16" s="80">
        <v>227.7</v>
      </c>
      <c r="D16" s="80">
        <v>243.82</v>
      </c>
      <c r="E16" s="81">
        <v>0.76012000000000002</v>
      </c>
      <c r="F16" s="81"/>
      <c r="G16" s="28"/>
      <c r="H16" s="28"/>
    </row>
    <row r="17" spans="1:8" ht="18.75" customHeight="1" x14ac:dyDescent="0.25">
      <c r="A17" s="7">
        <v>60</v>
      </c>
      <c r="B17" s="79">
        <v>1.0100700000000001E-3</v>
      </c>
      <c r="C17" s="80">
        <v>248.41</v>
      </c>
      <c r="D17" s="80">
        <v>264.57</v>
      </c>
      <c r="E17" s="81">
        <v>0.82287999999999994</v>
      </c>
      <c r="F17" s="81"/>
      <c r="G17" s="28"/>
      <c r="H17" s="28"/>
    </row>
    <row r="18" spans="1:8" ht="18.75" customHeight="1" x14ac:dyDescent="0.25">
      <c r="A18" s="7">
        <v>65</v>
      </c>
      <c r="B18" s="79">
        <v>1.0127599999999999E-3</v>
      </c>
      <c r="C18" s="80">
        <v>269.14</v>
      </c>
      <c r="D18" s="80">
        <v>285.33999999999997</v>
      </c>
      <c r="E18" s="81">
        <v>0.88473999999999997</v>
      </c>
      <c r="F18" s="81"/>
      <c r="G18" s="28"/>
      <c r="H18" s="28"/>
    </row>
    <row r="19" spans="1:8" ht="18.75" customHeight="1" x14ac:dyDescent="0.25">
      <c r="A19" s="7">
        <v>70</v>
      </c>
      <c r="B19" s="79">
        <v>1.01559E-3</v>
      </c>
      <c r="C19" s="80">
        <v>289.86</v>
      </c>
      <c r="D19" s="80">
        <v>306.11</v>
      </c>
      <c r="E19" s="81">
        <v>0.94572999999999996</v>
      </c>
      <c r="F19" s="81"/>
      <c r="G19" s="28"/>
      <c r="H19" s="28"/>
    </row>
    <row r="20" spans="1:8" ht="18.75" customHeight="1" x14ac:dyDescent="0.25">
      <c r="A20" s="7">
        <v>75</v>
      </c>
      <c r="B20" s="79">
        <v>1.01856E-3</v>
      </c>
      <c r="C20" s="80">
        <v>310.61</v>
      </c>
      <c r="D20" s="80">
        <v>326.91000000000003</v>
      </c>
      <c r="E20" s="82">
        <v>1.0059</v>
      </c>
      <c r="F20" s="82"/>
      <c r="G20" s="28"/>
      <c r="H20" s="28"/>
    </row>
    <row r="21" spans="1:8" ht="18.75" customHeight="1" x14ac:dyDescent="0.25">
      <c r="A21" s="7">
        <v>80</v>
      </c>
      <c r="B21" s="79">
        <v>1.0216800000000001E-3</v>
      </c>
      <c r="C21" s="80">
        <v>331.36</v>
      </c>
      <c r="D21" s="80">
        <v>347.71</v>
      </c>
      <c r="E21" s="82">
        <v>1.0651999999999999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1.02494E-3</v>
      </c>
      <c r="C22" s="80">
        <v>352.14</v>
      </c>
      <c r="D22" s="80">
        <v>368.54</v>
      </c>
      <c r="E22" s="82">
        <v>1.1237999999999999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1.0283499999999999E-3</v>
      </c>
      <c r="C23" s="80">
        <v>372.94</v>
      </c>
      <c r="D23" s="80">
        <v>389.39</v>
      </c>
      <c r="E23" s="82">
        <v>1.1816</v>
      </c>
      <c r="F23" s="82"/>
      <c r="G23" s="28"/>
      <c r="H23" s="28"/>
    </row>
    <row r="24" spans="1:8" ht="18.75" customHeight="1" x14ac:dyDescent="0.25">
      <c r="A24" s="7">
        <v>95</v>
      </c>
      <c r="B24" s="79">
        <v>1.0318899999999999E-3</v>
      </c>
      <c r="C24" s="80">
        <v>393.74</v>
      </c>
      <c r="D24" s="80">
        <v>410.25</v>
      </c>
      <c r="E24" s="82">
        <v>1.2386999999999999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1.03557E-3</v>
      </c>
      <c r="C25" s="80">
        <v>414.57</v>
      </c>
      <c r="D25" s="80">
        <v>431.14</v>
      </c>
      <c r="E25" s="82">
        <v>1.2949999999999999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1.0393900000000001E-3</v>
      </c>
      <c r="C26" s="80">
        <v>435.43</v>
      </c>
      <c r="D26" s="80">
        <v>452.06</v>
      </c>
      <c r="E26" s="82">
        <v>1.3507</v>
      </c>
      <c r="F26" s="82"/>
      <c r="G26" s="28"/>
      <c r="H26" s="28"/>
    </row>
    <row r="27" spans="1:8" ht="18.75" customHeight="1" x14ac:dyDescent="0.25">
      <c r="A27" s="7">
        <v>110</v>
      </c>
      <c r="B27" s="79">
        <v>1.0433599999999999E-3</v>
      </c>
      <c r="C27" s="80">
        <v>456.32</v>
      </c>
      <c r="D27" s="80">
        <v>473.01</v>
      </c>
      <c r="E27" s="82">
        <v>1.4056999999999999</v>
      </c>
      <c r="F27" s="82"/>
      <c r="G27" s="28"/>
      <c r="H27" s="28"/>
    </row>
    <row r="28" spans="1:8" ht="18.75" customHeight="1" x14ac:dyDescent="0.25">
      <c r="A28" s="7">
        <v>115</v>
      </c>
      <c r="B28" s="79">
        <v>1.04747E-3</v>
      </c>
      <c r="C28" s="80">
        <v>477.22</v>
      </c>
      <c r="D28" s="80">
        <v>493.98</v>
      </c>
      <c r="E28" s="82">
        <v>1.4601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1.0517199999999999E-3</v>
      </c>
      <c r="C29" s="80">
        <v>498.16</v>
      </c>
      <c r="D29" s="80">
        <v>514.99</v>
      </c>
      <c r="E29" s="82">
        <v>1.5139</v>
      </c>
      <c r="F29" s="82"/>
      <c r="G29" s="28"/>
      <c r="H29" s="28"/>
    </row>
    <row r="30" spans="1:8" ht="18.75" customHeight="1" x14ac:dyDescent="0.25">
      <c r="A30" s="7">
        <v>125</v>
      </c>
      <c r="B30" s="79">
        <v>1.05612E-3</v>
      </c>
      <c r="C30" s="80">
        <v>519.13</v>
      </c>
      <c r="D30" s="80">
        <v>536.03</v>
      </c>
      <c r="E30" s="82">
        <v>1.5670999999999999</v>
      </c>
      <c r="F30" s="82"/>
      <c r="G30" s="28"/>
      <c r="H30" s="28"/>
    </row>
    <row r="31" spans="1:8" ht="18.75" customHeight="1" x14ac:dyDescent="0.25">
      <c r="A31" s="7">
        <v>130</v>
      </c>
      <c r="B31" s="79">
        <v>1.0606700000000001E-3</v>
      </c>
      <c r="C31" s="80">
        <v>540.15</v>
      </c>
      <c r="D31" s="80">
        <v>557.12</v>
      </c>
      <c r="E31" s="82">
        <v>1.6196999999999999</v>
      </c>
      <c r="F31" s="82"/>
      <c r="G31" s="28"/>
      <c r="H31" s="28"/>
    </row>
    <row r="32" spans="1:8" ht="18.75" customHeight="1" x14ac:dyDescent="0.25">
      <c r="A32" s="7">
        <v>135</v>
      </c>
      <c r="B32" s="79">
        <v>1.0653699999999999E-3</v>
      </c>
      <c r="C32" s="80">
        <v>561.19000000000005</v>
      </c>
      <c r="D32" s="80">
        <v>578.24</v>
      </c>
      <c r="E32" s="82">
        <v>1.6718</v>
      </c>
      <c r="F32" s="82"/>
      <c r="G32" s="28"/>
      <c r="H32" s="28"/>
    </row>
    <row r="33" spans="1:8" ht="18.75" customHeight="1" x14ac:dyDescent="0.25">
      <c r="A33" s="7">
        <v>140</v>
      </c>
      <c r="B33" s="79">
        <v>1.07022E-3</v>
      </c>
      <c r="C33" s="80">
        <v>582.29</v>
      </c>
      <c r="D33" s="80">
        <v>599.41</v>
      </c>
      <c r="E33" s="82">
        <v>1.7233000000000001</v>
      </c>
      <c r="F33" s="82"/>
      <c r="G33" s="28"/>
      <c r="H33" s="28"/>
    </row>
    <row r="34" spans="1:8" ht="18.75" customHeight="1" x14ac:dyDescent="0.25">
      <c r="A34" s="7">
        <v>145</v>
      </c>
      <c r="B34" s="79">
        <v>1.0752400000000001E-3</v>
      </c>
      <c r="C34" s="80">
        <v>603.42999999999995</v>
      </c>
      <c r="D34" s="80">
        <v>620.63</v>
      </c>
      <c r="E34" s="82">
        <v>1.7744</v>
      </c>
      <c r="F34" s="82"/>
      <c r="G34" s="28"/>
      <c r="H34" s="28"/>
    </row>
    <row r="35" spans="1:8" ht="18.75" customHeight="1" x14ac:dyDescent="0.25">
      <c r="A35" s="7">
        <v>150</v>
      </c>
      <c r="B35" s="79">
        <v>1.0804199999999999E-3</v>
      </c>
      <c r="C35" s="80">
        <v>624.61</v>
      </c>
      <c r="D35" s="80">
        <v>641.9</v>
      </c>
      <c r="E35" s="82">
        <v>1.825</v>
      </c>
      <c r="F35" s="82"/>
      <c r="G35" s="28"/>
      <c r="H35" s="28"/>
    </row>
    <row r="36" spans="1:8" ht="18.75" customHeight="1" x14ac:dyDescent="0.25">
      <c r="A36" s="7">
        <v>155</v>
      </c>
      <c r="B36" s="79">
        <v>1.08577E-3</v>
      </c>
      <c r="C36" s="80">
        <v>645.86</v>
      </c>
      <c r="D36" s="80">
        <v>663.23</v>
      </c>
      <c r="E36" s="82">
        <v>1.8751</v>
      </c>
      <c r="F36" s="82"/>
      <c r="G36" s="28"/>
      <c r="H36" s="28"/>
    </row>
    <row r="37" spans="1:8" ht="18.75" customHeight="1" x14ac:dyDescent="0.25">
      <c r="A37" s="7">
        <v>160</v>
      </c>
      <c r="B37" s="79">
        <v>1.09129E-3</v>
      </c>
      <c r="C37" s="80">
        <v>667.16</v>
      </c>
      <c r="D37" s="80">
        <v>684.62</v>
      </c>
      <c r="E37" s="82">
        <v>1.9247000000000001</v>
      </c>
      <c r="F37" s="82"/>
      <c r="G37" s="28"/>
      <c r="H37" s="28"/>
    </row>
    <row r="38" spans="1:8" ht="18.75" customHeight="1" x14ac:dyDescent="0.25">
      <c r="A38" s="7">
        <v>165</v>
      </c>
      <c r="B38" s="79">
        <v>1.0969899999999999E-3</v>
      </c>
      <c r="C38" s="80">
        <v>688.52</v>
      </c>
      <c r="D38" s="80">
        <v>706.07</v>
      </c>
      <c r="E38" s="82">
        <v>1.974</v>
      </c>
      <c r="F38" s="82"/>
      <c r="G38" s="28"/>
      <c r="H38" s="28"/>
    </row>
    <row r="39" spans="1:8" ht="18.75" customHeight="1" x14ac:dyDescent="0.25">
      <c r="A39" s="7">
        <v>170</v>
      </c>
      <c r="B39" s="79">
        <v>1.1028800000000001E-3</v>
      </c>
      <c r="C39" s="80">
        <v>709.94</v>
      </c>
      <c r="D39" s="80">
        <v>727.59</v>
      </c>
      <c r="E39" s="82">
        <v>2.0228000000000002</v>
      </c>
      <c r="F39" s="82"/>
      <c r="G39" s="28"/>
      <c r="H39" s="28"/>
    </row>
    <row r="40" spans="1:8" ht="18.75" customHeight="1" x14ac:dyDescent="0.25">
      <c r="A40" s="7">
        <v>175</v>
      </c>
      <c r="B40" s="79">
        <v>1.10896E-3</v>
      </c>
      <c r="C40" s="80">
        <v>731.44</v>
      </c>
      <c r="D40" s="80">
        <v>749.18</v>
      </c>
      <c r="E40" s="82">
        <v>2.0712999999999999</v>
      </c>
      <c r="F40" s="82"/>
      <c r="G40" s="28"/>
      <c r="H40" s="28"/>
    </row>
    <row r="41" spans="1:8" ht="18.75" customHeight="1" x14ac:dyDescent="0.25">
      <c r="A41" s="7">
        <v>180</v>
      </c>
      <c r="B41" s="79">
        <v>1.1152499999999999E-3</v>
      </c>
      <c r="C41" s="80">
        <v>753.02</v>
      </c>
      <c r="D41" s="80">
        <v>770.86</v>
      </c>
      <c r="E41" s="82">
        <v>2.1194000000000002</v>
      </c>
      <c r="F41" s="82"/>
      <c r="G41" s="28"/>
      <c r="H41" s="28"/>
    </row>
    <row r="42" spans="1:8" ht="18.75" customHeight="1" x14ac:dyDescent="0.25">
      <c r="A42" s="7">
        <v>185</v>
      </c>
      <c r="B42" s="79">
        <v>1.12174E-3</v>
      </c>
      <c r="C42" s="80">
        <v>774.66</v>
      </c>
      <c r="D42" s="80">
        <v>792.61</v>
      </c>
      <c r="E42" s="82">
        <v>2.1671</v>
      </c>
      <c r="F42" s="82"/>
      <c r="G42" s="28"/>
      <c r="H42" s="28"/>
    </row>
    <row r="43" spans="1:8" ht="18.75" customHeight="1" x14ac:dyDescent="0.25">
      <c r="A43" s="7">
        <v>190</v>
      </c>
      <c r="B43" s="79">
        <v>1.12846E-3</v>
      </c>
      <c r="C43" s="80">
        <v>796.4</v>
      </c>
      <c r="D43" s="80">
        <v>814.46</v>
      </c>
      <c r="E43" s="82">
        <v>2.2145000000000001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1.1354E-3</v>
      </c>
      <c r="C44" s="80">
        <v>818.23</v>
      </c>
      <c r="D44" s="80">
        <v>836.4</v>
      </c>
      <c r="E44" s="82">
        <v>2.2616999999999998</v>
      </c>
      <c r="F44" s="82"/>
      <c r="G44" s="28"/>
      <c r="H44" s="28"/>
    </row>
    <row r="45" spans="1:8" ht="18.75" customHeight="1" x14ac:dyDescent="0.25">
      <c r="A45" s="7">
        <v>200</v>
      </c>
      <c r="B45" s="79">
        <v>1.14259E-3</v>
      </c>
      <c r="C45" s="80">
        <v>840.16</v>
      </c>
      <c r="D45" s="80">
        <v>858.44</v>
      </c>
      <c r="E45" s="82">
        <v>2.3085</v>
      </c>
      <c r="F45" s="82"/>
      <c r="G45" s="28"/>
      <c r="H45" s="28"/>
    </row>
    <row r="46" spans="1:8" ht="18.75" customHeight="1" x14ac:dyDescent="0.25">
      <c r="A46" s="7">
        <v>210</v>
      </c>
      <c r="B46" s="79">
        <v>1.1577499999999999E-3</v>
      </c>
      <c r="C46" s="80">
        <v>884.34</v>
      </c>
      <c r="D46" s="80">
        <v>902.86</v>
      </c>
      <c r="E46" s="82">
        <v>2.4014000000000002</v>
      </c>
      <c r="F46" s="82"/>
      <c r="G46" s="28"/>
      <c r="H46" s="28"/>
    </row>
    <row r="47" spans="1:8" ht="18.75" customHeight="1" x14ac:dyDescent="0.25">
      <c r="A47" s="7">
        <v>220</v>
      </c>
      <c r="B47" s="79">
        <v>1.1740500000000001E-3</v>
      </c>
      <c r="C47" s="80">
        <v>928.99</v>
      </c>
      <c r="D47" s="80">
        <v>947.77</v>
      </c>
      <c r="E47" s="82">
        <v>2.4933999999999998</v>
      </c>
      <c r="F47" s="82"/>
      <c r="G47" s="28"/>
      <c r="H47" s="28"/>
    </row>
    <row r="48" spans="1:8" ht="18.75" customHeight="1" x14ac:dyDescent="0.25">
      <c r="A48" s="7">
        <v>230</v>
      </c>
      <c r="B48" s="79">
        <v>1.1916400000000001E-3</v>
      </c>
      <c r="C48" s="80">
        <v>974.17</v>
      </c>
      <c r="D48" s="80">
        <v>993.24</v>
      </c>
      <c r="E48" s="82">
        <v>2.5847000000000002</v>
      </c>
      <c r="F48" s="82"/>
      <c r="G48" s="28"/>
      <c r="H48" s="28"/>
    </row>
    <row r="49" spans="1:8" ht="18.75" customHeight="1" x14ac:dyDescent="0.25">
      <c r="A49" s="7">
        <v>240</v>
      </c>
      <c r="B49" s="79">
        <v>1.2106899999999999E-3</v>
      </c>
      <c r="C49" s="83">
        <v>1020</v>
      </c>
      <c r="D49" s="83">
        <v>1039.4000000000001</v>
      </c>
      <c r="E49" s="82">
        <v>2.6753999999999998</v>
      </c>
      <c r="F49" s="82"/>
      <c r="G49" s="28"/>
      <c r="H49" s="28"/>
    </row>
    <row r="50" spans="1:8" ht="18.75" customHeight="1" x14ac:dyDescent="0.25">
      <c r="A50" s="7">
        <v>250</v>
      </c>
      <c r="B50" s="79">
        <v>1.2314400000000001E-3</v>
      </c>
      <c r="C50" s="83">
        <v>1066.5</v>
      </c>
      <c r="D50" s="83">
        <v>1086.2</v>
      </c>
      <c r="E50" s="82">
        <v>2.7658</v>
      </c>
      <c r="F50" s="82"/>
      <c r="G50" s="28"/>
      <c r="H50" s="28"/>
    </row>
    <row r="51" spans="1:8" ht="18.75" customHeight="1" x14ac:dyDescent="0.25">
      <c r="A51" s="7">
        <v>260</v>
      </c>
      <c r="B51" s="79">
        <v>1.25417E-3</v>
      </c>
      <c r="C51" s="83">
        <v>1113.8</v>
      </c>
      <c r="D51" s="83">
        <v>1133.9000000000001</v>
      </c>
      <c r="E51" s="82">
        <v>2.8561999999999999</v>
      </c>
      <c r="F51" s="82"/>
      <c r="G51" s="28"/>
      <c r="H51" s="28"/>
    </row>
    <row r="52" spans="1:8" ht="18.75" customHeight="1" x14ac:dyDescent="0.25">
      <c r="A52" s="7">
        <v>270</v>
      </c>
      <c r="B52" s="79">
        <v>1.27925E-3</v>
      </c>
      <c r="C52" s="83">
        <v>1162.2</v>
      </c>
      <c r="D52" s="83">
        <v>1182.7</v>
      </c>
      <c r="E52" s="82">
        <v>2.9468000000000001</v>
      </c>
      <c r="F52" s="82"/>
      <c r="G52" s="28"/>
      <c r="H52" s="28"/>
    </row>
    <row r="53" spans="1:8" ht="18.75" customHeight="1" x14ac:dyDescent="0.25">
      <c r="A53" s="7">
        <v>280</v>
      </c>
      <c r="B53" s="79">
        <v>1.30718E-3</v>
      </c>
      <c r="C53" s="83">
        <v>1211.8</v>
      </c>
      <c r="D53" s="83">
        <v>1232.7</v>
      </c>
      <c r="E53" s="82">
        <v>3.0379999999999998</v>
      </c>
      <c r="F53" s="82"/>
      <c r="G53" s="28"/>
      <c r="H53" s="28"/>
    </row>
    <row r="54" spans="1:8" ht="18.75" customHeight="1" x14ac:dyDescent="0.25">
      <c r="A54" s="7">
        <v>290</v>
      </c>
      <c r="B54" s="79">
        <v>1.33865E-3</v>
      </c>
      <c r="C54" s="83">
        <v>1262.7</v>
      </c>
      <c r="D54" s="83">
        <v>1284.0999999999999</v>
      </c>
      <c r="E54" s="82">
        <v>3.1301999999999999</v>
      </c>
      <c r="F54" s="82"/>
      <c r="G54" s="28"/>
      <c r="H54" s="28"/>
    </row>
    <row r="55" spans="1:8" ht="18.75" customHeight="1" x14ac:dyDescent="0.25">
      <c r="A55" s="7">
        <v>300</v>
      </c>
      <c r="B55" s="79">
        <v>1.3746400000000001E-3</v>
      </c>
      <c r="C55" s="83">
        <v>1315.4</v>
      </c>
      <c r="D55" s="83">
        <v>1337.4</v>
      </c>
      <c r="E55" s="82">
        <v>3.2240000000000002</v>
      </c>
      <c r="F55" s="82"/>
      <c r="G55" s="28"/>
      <c r="H55" s="28"/>
    </row>
    <row r="56" spans="1:8" ht="18.75" customHeight="1" x14ac:dyDescent="0.25">
      <c r="A56" s="7">
        <v>310</v>
      </c>
      <c r="B56" s="79">
        <v>1.41665E-3</v>
      </c>
      <c r="C56" s="83">
        <v>1370.5</v>
      </c>
      <c r="D56" s="83">
        <v>1393.2</v>
      </c>
      <c r="E56" s="82">
        <v>3.3203999999999998</v>
      </c>
      <c r="F56" s="82"/>
      <c r="G56" s="28"/>
      <c r="H56" s="28"/>
    </row>
    <row r="57" spans="1:8" ht="18.75" customHeight="1" x14ac:dyDescent="0.25">
      <c r="A57" s="7">
        <v>320</v>
      </c>
      <c r="B57" s="79">
        <v>1.46711E-3</v>
      </c>
      <c r="C57" s="83">
        <v>1428.6</v>
      </c>
      <c r="D57" s="83">
        <v>1452.1</v>
      </c>
      <c r="E57" s="82">
        <v>3.4205999999999999</v>
      </c>
      <c r="F57" s="82"/>
      <c r="G57" s="28"/>
      <c r="H57" s="28"/>
    </row>
    <row r="58" spans="1:8" ht="18.75" customHeight="1" x14ac:dyDescent="0.25">
      <c r="A58" s="7">
        <v>330</v>
      </c>
      <c r="B58" s="79">
        <v>1.5304400000000001E-3</v>
      </c>
      <c r="C58" s="83">
        <v>1491.3</v>
      </c>
      <c r="D58" s="83">
        <v>1515.8</v>
      </c>
      <c r="E58" s="82">
        <v>3.5270999999999999</v>
      </c>
      <c r="F58" s="82"/>
      <c r="G58" s="28"/>
      <c r="H58" s="28"/>
    </row>
    <row r="59" spans="1:8" ht="18.75" customHeight="1" x14ac:dyDescent="0.25">
      <c r="A59" s="7">
        <v>340</v>
      </c>
      <c r="B59" s="79">
        <v>1.6163E-3</v>
      </c>
      <c r="C59" s="83">
        <v>1561.5</v>
      </c>
      <c r="D59" s="83">
        <v>1587.4</v>
      </c>
      <c r="E59" s="82">
        <v>3.6446999999999998</v>
      </c>
      <c r="F59" s="82"/>
      <c r="G59" s="28"/>
      <c r="H59" s="28"/>
    </row>
    <row r="60" spans="1:8" ht="18.75" customHeight="1" x14ac:dyDescent="0.25">
      <c r="A60" s="7">
        <v>350</v>
      </c>
      <c r="B60" s="79">
        <v>9.7657999999999998E-3</v>
      </c>
      <c r="C60" s="83">
        <v>2460.6999999999998</v>
      </c>
      <c r="D60" s="83">
        <v>2617</v>
      </c>
      <c r="E60" s="82">
        <v>5.3045</v>
      </c>
      <c r="F60" s="82"/>
      <c r="G60" s="28"/>
      <c r="H60" s="28"/>
    </row>
    <row r="61" spans="1:8" ht="18.75" customHeight="1" x14ac:dyDescent="0.25">
      <c r="A61" s="7">
        <v>360</v>
      </c>
      <c r="B61" s="85">
        <v>1.1061E-2</v>
      </c>
      <c r="C61" s="83">
        <v>2538.8000000000002</v>
      </c>
      <c r="D61" s="83">
        <v>2715.8</v>
      </c>
      <c r="E61" s="82">
        <v>5.4619</v>
      </c>
      <c r="F61" s="82"/>
      <c r="G61" s="28"/>
      <c r="H61" s="28"/>
    </row>
    <row r="62" spans="1:8" ht="18.75" customHeight="1" x14ac:dyDescent="0.25">
      <c r="A62" s="7">
        <v>370</v>
      </c>
      <c r="B62" s="85">
        <v>1.2045999999999999E-2</v>
      </c>
      <c r="C62" s="83">
        <v>2595.6999999999998</v>
      </c>
      <c r="D62" s="83">
        <v>2788.4</v>
      </c>
      <c r="E62" s="82">
        <v>5.5755999999999997</v>
      </c>
      <c r="F62" s="82"/>
      <c r="G62" s="28"/>
      <c r="H62" s="28"/>
    </row>
    <row r="63" spans="1:8" ht="18.75" customHeight="1" x14ac:dyDescent="0.25">
      <c r="A63" s="7">
        <v>380</v>
      </c>
      <c r="B63" s="85">
        <v>1.2878000000000001E-2</v>
      </c>
      <c r="C63" s="83">
        <v>2642.3</v>
      </c>
      <c r="D63" s="83">
        <v>2848.3</v>
      </c>
      <c r="E63" s="82">
        <v>5.6680999999999999</v>
      </c>
      <c r="F63" s="82"/>
      <c r="G63" s="28"/>
      <c r="H63" s="28"/>
    </row>
    <row r="64" spans="1:8" ht="18.75" customHeight="1" x14ac:dyDescent="0.25">
      <c r="A64" s="7">
        <v>390</v>
      </c>
      <c r="B64" s="85">
        <v>1.3613E-2</v>
      </c>
      <c r="C64" s="83">
        <v>2682.8</v>
      </c>
      <c r="D64" s="83">
        <v>2900.6</v>
      </c>
      <c r="E64" s="82">
        <v>5.7476000000000003</v>
      </c>
      <c r="F64" s="82"/>
      <c r="G64" s="28"/>
      <c r="H64" s="28"/>
    </row>
    <row r="65" spans="1:8" ht="18.75" customHeight="1" x14ac:dyDescent="0.25">
      <c r="A65" s="7">
        <v>400</v>
      </c>
      <c r="B65" s="85">
        <v>1.4281E-2</v>
      </c>
      <c r="C65" s="83">
        <v>2719.1</v>
      </c>
      <c r="D65" s="83">
        <v>2947.6</v>
      </c>
      <c r="E65" s="82">
        <v>5.8178999999999998</v>
      </c>
      <c r="F65" s="82"/>
      <c r="G65" s="28"/>
      <c r="H65" s="28"/>
    </row>
    <row r="66" spans="1:8" ht="18.75" customHeight="1" x14ac:dyDescent="0.25">
      <c r="A66" s="7">
        <v>410</v>
      </c>
      <c r="B66" s="85">
        <v>1.4899000000000001E-2</v>
      </c>
      <c r="C66" s="83">
        <v>2752.3</v>
      </c>
      <c r="D66" s="83">
        <v>2990.7</v>
      </c>
      <c r="E66" s="82">
        <v>5.8815999999999997</v>
      </c>
      <c r="F66" s="82"/>
      <c r="G66" s="28"/>
      <c r="H66" s="28"/>
    </row>
    <row r="67" spans="1:8" ht="18.75" customHeight="1" x14ac:dyDescent="0.25">
      <c r="A67" s="7">
        <v>420</v>
      </c>
      <c r="B67" s="85">
        <v>1.5478E-2</v>
      </c>
      <c r="C67" s="83">
        <v>2783.4</v>
      </c>
      <c r="D67" s="83">
        <v>3031</v>
      </c>
      <c r="E67" s="82">
        <v>5.9401000000000002</v>
      </c>
      <c r="F67" s="82"/>
      <c r="G67" s="28"/>
      <c r="H67" s="28"/>
    </row>
    <row r="68" spans="1:8" ht="18.75" customHeight="1" x14ac:dyDescent="0.25">
      <c r="A68" s="7">
        <v>430</v>
      </c>
      <c r="B68" s="85">
        <v>1.6025999999999999E-2</v>
      </c>
      <c r="C68" s="83">
        <v>2812.6</v>
      </c>
      <c r="D68" s="83">
        <v>3069</v>
      </c>
      <c r="E68" s="82">
        <v>5.9945000000000004</v>
      </c>
      <c r="F68" s="82"/>
      <c r="G68" s="28"/>
      <c r="H68" s="28"/>
    </row>
    <row r="69" spans="1:8" ht="18.75" customHeight="1" x14ac:dyDescent="0.25">
      <c r="A69" s="7">
        <v>440</v>
      </c>
      <c r="B69" s="85">
        <v>1.6548E-2</v>
      </c>
      <c r="C69" s="83">
        <v>2840.3</v>
      </c>
      <c r="D69" s="83">
        <v>3105.1</v>
      </c>
      <c r="E69" s="82">
        <v>6.0454999999999997</v>
      </c>
      <c r="F69" s="82"/>
      <c r="G69" s="28"/>
      <c r="H69" s="28"/>
    </row>
    <row r="70" spans="1:8" ht="18.75" customHeight="1" x14ac:dyDescent="0.25">
      <c r="A70" s="7">
        <v>450</v>
      </c>
      <c r="B70" s="85">
        <v>1.7049000000000002E-2</v>
      </c>
      <c r="C70" s="83">
        <v>2866.9</v>
      </c>
      <c r="D70" s="83">
        <v>3139.7</v>
      </c>
      <c r="E70" s="82">
        <v>6.0937000000000001</v>
      </c>
      <c r="F70" s="82"/>
      <c r="G70" s="28"/>
      <c r="H70" s="28"/>
    </row>
    <row r="71" spans="1:8" ht="18.75" customHeight="1" x14ac:dyDescent="0.25">
      <c r="A71" s="7">
        <v>460</v>
      </c>
      <c r="B71" s="85">
        <v>1.7531000000000001E-2</v>
      </c>
      <c r="C71" s="83">
        <v>2892.5</v>
      </c>
      <c r="D71" s="83">
        <v>3173</v>
      </c>
      <c r="E71" s="82">
        <v>6.1395</v>
      </c>
      <c r="F71" s="82"/>
      <c r="G71" s="28"/>
      <c r="H71" s="28"/>
    </row>
    <row r="72" spans="1:8" ht="18.75" customHeight="1" x14ac:dyDescent="0.25">
      <c r="A72" s="7">
        <v>470</v>
      </c>
      <c r="B72" s="85">
        <v>1.7998E-2</v>
      </c>
      <c r="C72" s="83">
        <v>2917.3</v>
      </c>
      <c r="D72" s="83">
        <v>3205.3</v>
      </c>
      <c r="E72" s="82">
        <v>6.1832000000000003</v>
      </c>
      <c r="F72" s="82"/>
      <c r="G72" s="28"/>
      <c r="H72" s="28"/>
    </row>
    <row r="73" spans="1:8" ht="18.75" customHeight="1" x14ac:dyDescent="0.25">
      <c r="A73" s="7">
        <v>480</v>
      </c>
      <c r="B73" s="85">
        <v>1.8450999999999999E-2</v>
      </c>
      <c r="C73" s="83">
        <v>2941.5</v>
      </c>
      <c r="D73" s="83">
        <v>3236.7</v>
      </c>
      <c r="E73" s="82">
        <v>6.2252000000000001</v>
      </c>
      <c r="F73" s="82"/>
      <c r="G73" s="28"/>
      <c r="H73" s="28"/>
    </row>
    <row r="74" spans="1:8" ht="18.75" customHeight="1" x14ac:dyDescent="0.25">
      <c r="A74" s="7">
        <v>490</v>
      </c>
      <c r="B74" s="85">
        <v>1.8891999999999999E-2</v>
      </c>
      <c r="C74" s="83">
        <v>2965</v>
      </c>
      <c r="D74" s="83">
        <v>3267.3</v>
      </c>
      <c r="E74" s="82">
        <v>6.2656000000000001</v>
      </c>
      <c r="F74" s="82"/>
      <c r="G74" s="28"/>
      <c r="H74" s="28"/>
    </row>
    <row r="75" spans="1:8" ht="18.75" customHeight="1" x14ac:dyDescent="0.25">
      <c r="A75" s="7">
        <v>500</v>
      </c>
      <c r="B75" s="85">
        <v>1.9323E-2</v>
      </c>
      <c r="C75" s="83">
        <v>2988.1</v>
      </c>
      <c r="D75" s="83">
        <v>3297.3</v>
      </c>
      <c r="E75" s="82">
        <v>6.3045999999999998</v>
      </c>
      <c r="F75" s="82"/>
      <c r="G75" s="28"/>
      <c r="H75" s="28"/>
    </row>
    <row r="76" spans="1:8" ht="18.75" customHeight="1" x14ac:dyDescent="0.25">
      <c r="A76" s="7">
        <v>520</v>
      </c>
      <c r="B76" s="85">
        <v>2.0157000000000001E-2</v>
      </c>
      <c r="C76" s="83">
        <v>3033.1</v>
      </c>
      <c r="D76" s="83">
        <v>3355.6</v>
      </c>
      <c r="E76" s="82">
        <v>6.3789999999999996</v>
      </c>
      <c r="F76" s="82"/>
      <c r="G76" s="28"/>
      <c r="H76" s="28"/>
    </row>
    <row r="77" spans="1:8" ht="18.75" customHeight="1" x14ac:dyDescent="0.25">
      <c r="A77" s="7">
        <v>540</v>
      </c>
      <c r="B77" s="85">
        <v>2.0961E-2</v>
      </c>
      <c r="C77" s="83">
        <v>3076.7</v>
      </c>
      <c r="D77" s="83">
        <v>3412.1</v>
      </c>
      <c r="E77" s="82">
        <v>6.4493</v>
      </c>
      <c r="F77" s="82"/>
      <c r="G77" s="28"/>
      <c r="H77" s="28"/>
    </row>
    <row r="78" spans="1:8" ht="18.75" customHeight="1" x14ac:dyDescent="0.25">
      <c r="A78" s="7">
        <v>560</v>
      </c>
      <c r="B78" s="85">
        <v>2.1739000000000001E-2</v>
      </c>
      <c r="C78" s="83">
        <v>3119.4</v>
      </c>
      <c r="D78" s="83">
        <v>3467.2</v>
      </c>
      <c r="E78" s="82">
        <v>6.5163000000000002</v>
      </c>
      <c r="F78" s="82"/>
      <c r="G78" s="28"/>
      <c r="H78" s="28"/>
    </row>
    <row r="79" spans="1:8" ht="18.75" customHeight="1" x14ac:dyDescent="0.25">
      <c r="A79" s="7">
        <v>580</v>
      </c>
      <c r="B79" s="85">
        <v>2.2497E-2</v>
      </c>
      <c r="C79" s="83">
        <v>3161.2</v>
      </c>
      <c r="D79" s="83">
        <v>3521.2</v>
      </c>
      <c r="E79" s="82">
        <v>6.5804</v>
      </c>
      <c r="F79" s="82"/>
      <c r="G79" s="28"/>
      <c r="H79" s="28"/>
    </row>
    <row r="80" spans="1:8" ht="18.75" customHeight="1" x14ac:dyDescent="0.25">
      <c r="A80" s="7">
        <v>600</v>
      </c>
      <c r="B80" s="85">
        <v>2.3238000000000002E-2</v>
      </c>
      <c r="C80" s="83">
        <v>3202.6</v>
      </c>
      <c r="D80" s="83">
        <v>3574.4</v>
      </c>
      <c r="E80" s="82">
        <v>6.6421000000000001</v>
      </c>
      <c r="F80" s="82"/>
      <c r="G80" s="28"/>
      <c r="H80" s="28"/>
    </row>
    <row r="81" spans="1:8" ht="18.75" customHeight="1" x14ac:dyDescent="0.25">
      <c r="A81" s="7">
        <v>620</v>
      </c>
      <c r="B81" s="85">
        <v>2.3963000000000002E-2</v>
      </c>
      <c r="C81" s="83">
        <v>3243.6</v>
      </c>
      <c r="D81" s="83">
        <v>3627</v>
      </c>
      <c r="E81" s="82">
        <v>6.7016</v>
      </c>
      <c r="F81" s="82"/>
      <c r="G81" s="28"/>
      <c r="H81" s="28"/>
    </row>
    <row r="82" spans="1:8" ht="18.75" customHeight="1" x14ac:dyDescent="0.25">
      <c r="A82" s="7">
        <v>640</v>
      </c>
      <c r="B82" s="85">
        <v>2.4674999999999999E-2</v>
      </c>
      <c r="C82" s="83">
        <v>3284.2</v>
      </c>
      <c r="D82" s="83">
        <v>3679</v>
      </c>
      <c r="E82" s="82">
        <v>6.7591000000000001</v>
      </c>
      <c r="F82" s="82"/>
      <c r="G82" s="28"/>
      <c r="H82" s="28"/>
    </row>
    <row r="83" spans="1:8" ht="18.75" customHeight="1" x14ac:dyDescent="0.25">
      <c r="A83" s="7">
        <v>660</v>
      </c>
      <c r="B83" s="85">
        <v>2.5375999999999999E-2</v>
      </c>
      <c r="C83" s="83">
        <v>3324.6</v>
      </c>
      <c r="D83" s="83">
        <v>3730.6</v>
      </c>
      <c r="E83" s="82">
        <v>6.8150000000000004</v>
      </c>
      <c r="F83" s="82"/>
      <c r="G83" s="28"/>
      <c r="H83" s="28"/>
    </row>
    <row r="84" spans="1:8" ht="18.75" customHeight="1" x14ac:dyDescent="0.25">
      <c r="A84" s="7">
        <v>680</v>
      </c>
      <c r="B84" s="85">
        <v>2.6067E-2</v>
      </c>
      <c r="C84" s="83">
        <v>3364.8</v>
      </c>
      <c r="D84" s="83">
        <v>3781.9</v>
      </c>
      <c r="E84" s="82">
        <v>6.8693999999999997</v>
      </c>
      <c r="F84" s="82"/>
      <c r="G84" s="28"/>
      <c r="H84" s="28"/>
    </row>
    <row r="85" spans="1:8" ht="18.75" customHeight="1" x14ac:dyDescent="0.25">
      <c r="A85" s="7">
        <v>700</v>
      </c>
      <c r="B85" s="85">
        <v>2.6748999999999998E-2</v>
      </c>
      <c r="C85" s="83">
        <v>3404.9</v>
      </c>
      <c r="D85" s="83">
        <v>3832.9</v>
      </c>
      <c r="E85" s="82">
        <v>6.9223999999999997</v>
      </c>
      <c r="F85" s="82"/>
      <c r="G85" s="28"/>
      <c r="H85" s="28"/>
    </row>
    <row r="86" spans="1:8" ht="18.75" customHeight="1" x14ac:dyDescent="0.25">
      <c r="A86" s="7">
        <v>720</v>
      </c>
      <c r="B86" s="85">
        <v>2.7422999999999999E-2</v>
      </c>
      <c r="C86" s="83">
        <v>3445</v>
      </c>
      <c r="D86" s="83">
        <v>3883.8</v>
      </c>
      <c r="E86" s="82">
        <v>6.9741</v>
      </c>
      <c r="F86" s="82"/>
      <c r="G86" s="28"/>
      <c r="H86" s="28"/>
    </row>
    <row r="87" spans="1:8" ht="18.75" customHeight="1" x14ac:dyDescent="0.25">
      <c r="A87" s="7">
        <v>740</v>
      </c>
      <c r="B87" s="85">
        <v>2.8091000000000001E-2</v>
      </c>
      <c r="C87" s="83">
        <v>3485</v>
      </c>
      <c r="D87" s="83">
        <v>3934.5</v>
      </c>
      <c r="E87" s="82">
        <v>7.0247000000000002</v>
      </c>
      <c r="F87" s="82"/>
      <c r="G87" s="28"/>
      <c r="H87" s="28"/>
    </row>
    <row r="88" spans="1:8" ht="18.75" customHeight="1" x14ac:dyDescent="0.25">
      <c r="A88" s="7">
        <v>760</v>
      </c>
      <c r="B88" s="85">
        <v>2.8752E-2</v>
      </c>
      <c r="C88" s="83">
        <v>3525.1</v>
      </c>
      <c r="D88" s="83">
        <v>3985.1</v>
      </c>
      <c r="E88" s="82">
        <v>7.0742000000000003</v>
      </c>
      <c r="F88" s="82"/>
      <c r="G88" s="28"/>
      <c r="H88" s="28"/>
    </row>
    <row r="89" spans="1:8" ht="18.75" customHeight="1" x14ac:dyDescent="0.25">
      <c r="A89" s="7">
        <v>780</v>
      </c>
      <c r="B89" s="85">
        <v>2.9406999999999999E-2</v>
      </c>
      <c r="C89" s="83">
        <v>3565.2</v>
      </c>
      <c r="D89" s="83">
        <v>4035.7</v>
      </c>
      <c r="E89" s="82">
        <v>7.1227</v>
      </c>
      <c r="F89" s="82"/>
      <c r="G89" s="28"/>
      <c r="H89" s="28"/>
    </row>
    <row r="90" spans="1:8" ht="18.75" customHeight="1" x14ac:dyDescent="0.25">
      <c r="A90" s="7">
        <v>800</v>
      </c>
      <c r="B90" s="85">
        <v>3.0058000000000001E-2</v>
      </c>
      <c r="C90" s="83">
        <v>3605.4</v>
      </c>
      <c r="D90" s="83">
        <v>4086.3</v>
      </c>
      <c r="E90" s="82">
        <v>7.1703000000000001</v>
      </c>
      <c r="F90" s="82"/>
      <c r="G90" s="28"/>
      <c r="H90" s="28"/>
    </row>
    <row r="91" spans="1:8" ht="18.75" customHeight="1" x14ac:dyDescent="0.25">
      <c r="A91" s="7">
        <v>820</v>
      </c>
      <c r="B91" s="85">
        <v>3.0703000000000001E-2</v>
      </c>
      <c r="C91" s="83">
        <v>3645.8</v>
      </c>
      <c r="D91" s="83">
        <v>4137</v>
      </c>
      <c r="E91" s="82">
        <v>7.2171000000000003</v>
      </c>
      <c r="F91" s="82"/>
      <c r="G91" s="28"/>
      <c r="H91" s="28"/>
    </row>
    <row r="92" spans="1:8" ht="18.75" customHeight="1" x14ac:dyDescent="0.25">
      <c r="A92" s="7">
        <v>840</v>
      </c>
      <c r="B92" s="85">
        <v>3.1344999999999998E-2</v>
      </c>
      <c r="C92" s="83">
        <v>3686.1</v>
      </c>
      <c r="D92" s="83">
        <v>4187.6000000000004</v>
      </c>
      <c r="E92" s="82">
        <v>7.2629999999999999</v>
      </c>
      <c r="F92" s="82"/>
      <c r="G92" s="28"/>
      <c r="H92" s="28"/>
    </row>
    <row r="93" spans="1:8" ht="18.75" customHeight="1" x14ac:dyDescent="0.25">
      <c r="A93" s="7">
        <v>860</v>
      </c>
      <c r="B93" s="85">
        <v>3.1982999999999998E-2</v>
      </c>
      <c r="C93" s="83">
        <v>3726.6</v>
      </c>
      <c r="D93" s="83">
        <v>4238.3</v>
      </c>
      <c r="E93" s="82">
        <v>7.3082000000000003</v>
      </c>
      <c r="F93" s="82"/>
      <c r="G93" s="28"/>
      <c r="H93" s="28"/>
    </row>
    <row r="94" spans="1:8" ht="18.75" customHeight="1" x14ac:dyDescent="0.25">
      <c r="A94" s="7">
        <v>880</v>
      </c>
      <c r="B94" s="85">
        <v>3.2617E-2</v>
      </c>
      <c r="C94" s="83">
        <v>3767.2</v>
      </c>
      <c r="D94" s="83">
        <v>4289.1000000000004</v>
      </c>
      <c r="E94" s="82">
        <v>7.3525999999999998</v>
      </c>
      <c r="F94" s="82"/>
      <c r="G94" s="28"/>
      <c r="H94" s="28"/>
    </row>
    <row r="95" spans="1:8" ht="18.75" customHeight="1" x14ac:dyDescent="0.25">
      <c r="A95" s="7">
        <v>900</v>
      </c>
      <c r="B95" s="85">
        <v>3.3246999999999999E-2</v>
      </c>
      <c r="C95" s="83">
        <v>3808</v>
      </c>
      <c r="D95" s="83">
        <v>4340</v>
      </c>
      <c r="E95" s="82">
        <v>7.3963999999999999</v>
      </c>
      <c r="F95" s="82"/>
      <c r="G95" s="28"/>
      <c r="H95" s="28"/>
    </row>
    <row r="96" spans="1:8" ht="18.75" customHeight="1" x14ac:dyDescent="0.25">
      <c r="A96" s="7">
        <v>920</v>
      </c>
      <c r="B96" s="85">
        <v>3.3875000000000002E-2</v>
      </c>
      <c r="C96" s="83">
        <v>3849</v>
      </c>
      <c r="D96" s="83">
        <v>4391</v>
      </c>
      <c r="E96" s="82">
        <v>7.4394999999999998</v>
      </c>
      <c r="F96" s="82"/>
      <c r="G96" s="28"/>
      <c r="H96" s="28"/>
    </row>
    <row r="97" spans="1:8" ht="18.75" customHeight="1" x14ac:dyDescent="0.25">
      <c r="A97" s="7">
        <v>940</v>
      </c>
      <c r="B97" s="85">
        <v>3.4500000000000003E-2</v>
      </c>
      <c r="C97" s="83">
        <v>3890.2</v>
      </c>
      <c r="D97" s="83">
        <v>4442.2</v>
      </c>
      <c r="E97" s="82">
        <v>7.4819000000000004</v>
      </c>
      <c r="F97" s="82"/>
      <c r="G97" s="28"/>
      <c r="H97" s="28"/>
    </row>
    <row r="98" spans="1:8" ht="18.75" customHeight="1" x14ac:dyDescent="0.25">
      <c r="A98" s="7">
        <v>960</v>
      </c>
      <c r="B98" s="85">
        <v>3.5123000000000001E-2</v>
      </c>
      <c r="C98" s="83">
        <v>3931.4</v>
      </c>
      <c r="D98" s="83">
        <v>4493.3999999999996</v>
      </c>
      <c r="E98" s="82">
        <v>7.5237999999999996</v>
      </c>
      <c r="F98" s="82"/>
      <c r="G98" s="28"/>
      <c r="H98" s="28"/>
    </row>
    <row r="99" spans="1:8" ht="18.75" customHeight="1" x14ac:dyDescent="0.25">
      <c r="A99" s="7">
        <v>980</v>
      </c>
      <c r="B99" s="85">
        <v>3.5742999999999997E-2</v>
      </c>
      <c r="C99" s="83">
        <v>3972.9</v>
      </c>
      <c r="D99" s="83">
        <v>4544.8</v>
      </c>
      <c r="E99" s="82">
        <v>7.5651999999999999</v>
      </c>
      <c r="F99" s="82"/>
      <c r="G99" s="28"/>
      <c r="H99" s="28"/>
    </row>
    <row r="100" spans="1:8" ht="18.75" customHeight="1" x14ac:dyDescent="0.25">
      <c r="A100" s="7">
        <v>1000</v>
      </c>
      <c r="B100" s="85">
        <v>3.6360999999999997E-2</v>
      </c>
      <c r="C100" s="83">
        <v>4014.5</v>
      </c>
      <c r="D100" s="83">
        <v>4596.3</v>
      </c>
      <c r="E100" s="82">
        <v>7.6059999999999999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H100"/>
  <sheetViews>
    <sheetView topLeftCell="A44" workbookViewId="0">
      <selection activeCell="A61" sqref="A61:XFD61"/>
    </sheetView>
  </sheetViews>
  <sheetFormatPr defaultRowHeight="13.2" x14ac:dyDescent="0.25"/>
  <cols>
    <col min="1" max="1" width="9.21875" customWidth="1"/>
    <col min="2" max="2" width="11.5546875" customWidth="1"/>
    <col min="3" max="3" width="7.33203125" customWidth="1"/>
    <col min="4" max="4" width="9.218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96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17000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9.9178999999999999E-4</v>
      </c>
      <c r="C5" s="80">
        <v>0.2</v>
      </c>
      <c r="D5" s="80">
        <v>17.059999999999999</v>
      </c>
      <c r="E5" s="81">
        <v>4.6999999999999999E-4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9.9193999999999997E-4</v>
      </c>
      <c r="C6" s="80">
        <v>20.9</v>
      </c>
      <c r="D6" s="80">
        <v>37.76</v>
      </c>
      <c r="E6" s="81">
        <v>7.5560000000000002E-2</v>
      </c>
      <c r="F6" s="81"/>
      <c r="G6" s="28"/>
      <c r="H6" s="28"/>
    </row>
    <row r="7" spans="1:8" ht="18.75" customHeight="1" x14ac:dyDescent="0.25">
      <c r="A7" s="7">
        <v>10</v>
      </c>
      <c r="B7" s="79">
        <v>9.9241999999999993E-4</v>
      </c>
      <c r="C7" s="80">
        <v>41.57</v>
      </c>
      <c r="D7" s="80">
        <v>58.44</v>
      </c>
      <c r="E7" s="81">
        <v>0.14926</v>
      </c>
      <c r="F7" s="81"/>
      <c r="G7" s="28"/>
      <c r="H7" s="28"/>
    </row>
    <row r="8" spans="1:8" ht="18.75" customHeight="1" x14ac:dyDescent="0.25">
      <c r="A8" s="7">
        <v>15</v>
      </c>
      <c r="B8" s="79">
        <v>9.9318999999999991E-4</v>
      </c>
      <c r="C8" s="80">
        <v>62.24</v>
      </c>
      <c r="D8" s="80">
        <v>79.12</v>
      </c>
      <c r="E8" s="81">
        <v>0.22164</v>
      </c>
      <c r="F8" s="81"/>
      <c r="G8" s="28"/>
      <c r="H8" s="28"/>
    </row>
    <row r="9" spans="1:8" ht="18.75" customHeight="1" x14ac:dyDescent="0.25">
      <c r="A9" s="7">
        <v>20</v>
      </c>
      <c r="B9" s="79">
        <v>9.9422000000000009E-4</v>
      </c>
      <c r="C9" s="80">
        <v>82.89</v>
      </c>
      <c r="D9" s="80">
        <v>99.79</v>
      </c>
      <c r="E9" s="81">
        <v>0.29276999999999997</v>
      </c>
      <c r="F9" s="81"/>
      <c r="G9" s="28"/>
      <c r="H9" s="28"/>
    </row>
    <row r="10" spans="1:8" ht="18.75" customHeight="1" x14ac:dyDescent="0.25">
      <c r="A10" s="7">
        <v>25</v>
      </c>
      <c r="B10" s="79">
        <v>9.9547999999999998E-4</v>
      </c>
      <c r="C10" s="80">
        <v>103.54</v>
      </c>
      <c r="D10" s="80">
        <v>120.46</v>
      </c>
      <c r="E10" s="81">
        <v>0.36270000000000002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9.9696000000000008E-4</v>
      </c>
      <c r="C11" s="80">
        <v>124.19</v>
      </c>
      <c r="D11" s="80">
        <v>141.13999999999999</v>
      </c>
      <c r="E11" s="81">
        <v>0.43147999999999997</v>
      </c>
      <c r="F11" s="81"/>
      <c r="G11" s="28"/>
      <c r="H11" s="28"/>
    </row>
    <row r="12" spans="1:8" ht="18.75" customHeight="1" x14ac:dyDescent="0.25">
      <c r="A12" s="7">
        <v>35</v>
      </c>
      <c r="B12" s="79">
        <v>9.9864000000000007E-4</v>
      </c>
      <c r="C12" s="80">
        <v>144.85</v>
      </c>
      <c r="D12" s="80">
        <v>161.83000000000001</v>
      </c>
      <c r="E12" s="81">
        <v>0.49915999999999999</v>
      </c>
      <c r="F12" s="81"/>
      <c r="G12" s="28"/>
      <c r="H12" s="28"/>
    </row>
    <row r="13" spans="1:8" ht="18.75" customHeight="1" x14ac:dyDescent="0.25">
      <c r="A13" s="7">
        <v>40</v>
      </c>
      <c r="B13" s="79">
        <v>1.0005000000000001E-3</v>
      </c>
      <c r="C13" s="80">
        <v>165.51</v>
      </c>
      <c r="D13" s="80">
        <v>182.52</v>
      </c>
      <c r="E13" s="81">
        <v>0.56577999999999995</v>
      </c>
      <c r="F13" s="81"/>
      <c r="G13" s="28"/>
      <c r="H13" s="28"/>
    </row>
    <row r="14" spans="1:8" ht="18.75" customHeight="1" x14ac:dyDescent="0.25">
      <c r="A14" s="7">
        <v>45</v>
      </c>
      <c r="B14" s="79">
        <v>1.0025399999999999E-3</v>
      </c>
      <c r="C14" s="80">
        <v>186.19</v>
      </c>
      <c r="D14" s="80">
        <v>203.23</v>
      </c>
      <c r="E14" s="81">
        <v>0.63138000000000005</v>
      </c>
      <c r="F14" s="81"/>
      <c r="G14" s="28"/>
      <c r="H14" s="28"/>
    </row>
    <row r="15" spans="1:8" ht="18.75" customHeight="1" x14ac:dyDescent="0.25">
      <c r="A15" s="7">
        <v>50</v>
      </c>
      <c r="B15" s="79">
        <v>1.00475E-3</v>
      </c>
      <c r="C15" s="80">
        <v>206.86</v>
      </c>
      <c r="D15" s="80">
        <v>223.94</v>
      </c>
      <c r="E15" s="81">
        <v>0.69598000000000004</v>
      </c>
      <c r="F15" s="81"/>
      <c r="G15" s="28"/>
      <c r="H15" s="28"/>
    </row>
    <row r="16" spans="1:8" ht="18.75" customHeight="1" x14ac:dyDescent="0.25">
      <c r="A16" s="7">
        <v>55</v>
      </c>
      <c r="B16" s="79">
        <v>1.00712E-3</v>
      </c>
      <c r="C16" s="80">
        <v>227.55</v>
      </c>
      <c r="D16" s="80">
        <v>244.67</v>
      </c>
      <c r="E16" s="81">
        <v>0.75963000000000003</v>
      </c>
      <c r="F16" s="81"/>
      <c r="G16" s="28"/>
      <c r="H16" s="28"/>
    </row>
    <row r="17" spans="1:8" ht="18.75" customHeight="1" x14ac:dyDescent="0.25">
      <c r="A17" s="7">
        <v>60</v>
      </c>
      <c r="B17" s="79">
        <v>1.00964E-3</v>
      </c>
      <c r="C17" s="80">
        <v>248.25</v>
      </c>
      <c r="D17" s="80">
        <v>265.41000000000003</v>
      </c>
      <c r="E17" s="81">
        <v>0.82235999999999998</v>
      </c>
      <c r="F17" s="81"/>
      <c r="G17" s="28"/>
      <c r="H17" s="28"/>
    </row>
    <row r="18" spans="1:8" ht="18.75" customHeight="1" x14ac:dyDescent="0.25">
      <c r="A18" s="7">
        <v>65</v>
      </c>
      <c r="B18" s="79">
        <v>1.0123199999999999E-3</v>
      </c>
      <c r="C18" s="80">
        <v>268.95</v>
      </c>
      <c r="D18" s="80">
        <v>286.16000000000003</v>
      </c>
      <c r="E18" s="81">
        <v>0.88419000000000003</v>
      </c>
      <c r="F18" s="81"/>
      <c r="G18" s="28"/>
      <c r="H18" s="28"/>
    </row>
    <row r="19" spans="1:8" ht="18.75" customHeight="1" x14ac:dyDescent="0.25">
      <c r="A19" s="7">
        <v>70</v>
      </c>
      <c r="B19" s="79">
        <v>1.01515E-3</v>
      </c>
      <c r="C19" s="80">
        <v>289.67</v>
      </c>
      <c r="D19" s="80">
        <v>306.93</v>
      </c>
      <c r="E19" s="81">
        <v>0.94515000000000005</v>
      </c>
      <c r="F19" s="81"/>
      <c r="G19" s="28"/>
      <c r="H19" s="28"/>
    </row>
    <row r="20" spans="1:8" ht="18.75" customHeight="1" x14ac:dyDescent="0.25">
      <c r="A20" s="7">
        <v>75</v>
      </c>
      <c r="B20" s="79">
        <v>1.01812E-3</v>
      </c>
      <c r="C20" s="80">
        <v>310.39999999999998</v>
      </c>
      <c r="D20" s="80">
        <v>327.71</v>
      </c>
      <c r="E20" s="82">
        <v>1.0053000000000001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1.0212299999999999E-3</v>
      </c>
      <c r="C21" s="80">
        <v>331.15</v>
      </c>
      <c r="D21" s="80">
        <v>348.51</v>
      </c>
      <c r="E21" s="82">
        <v>1.0646</v>
      </c>
      <c r="F21" s="82"/>
      <c r="G21" s="28"/>
      <c r="H21" s="28"/>
    </row>
    <row r="22" spans="1:8" ht="18.75" customHeight="1" x14ac:dyDescent="0.25">
      <c r="A22" s="7">
        <v>85</v>
      </c>
      <c r="B22" s="79">
        <v>1.0244900000000001E-3</v>
      </c>
      <c r="C22" s="80">
        <v>351.91</v>
      </c>
      <c r="D22" s="80">
        <v>369.33</v>
      </c>
      <c r="E22" s="82">
        <v>1.1231</v>
      </c>
      <c r="F22" s="82"/>
      <c r="G22" s="28"/>
      <c r="H22" s="28"/>
    </row>
    <row r="23" spans="1:8" ht="18.75" customHeight="1" x14ac:dyDescent="0.25">
      <c r="A23" s="7">
        <v>90</v>
      </c>
      <c r="B23" s="79">
        <v>1.0278799999999999E-3</v>
      </c>
      <c r="C23" s="80">
        <v>372.69</v>
      </c>
      <c r="D23" s="80">
        <v>390.16</v>
      </c>
      <c r="E23" s="82">
        <v>1.1809000000000001</v>
      </c>
      <c r="F23" s="82"/>
      <c r="G23" s="28"/>
      <c r="H23" s="28"/>
    </row>
    <row r="24" spans="1:8" ht="18.75" customHeight="1" x14ac:dyDescent="0.25">
      <c r="A24" s="7">
        <v>95</v>
      </c>
      <c r="B24" s="79">
        <v>1.0314199999999999E-3</v>
      </c>
      <c r="C24" s="80">
        <v>393.49</v>
      </c>
      <c r="D24" s="80">
        <v>411.02</v>
      </c>
      <c r="E24" s="82">
        <v>1.2379</v>
      </c>
      <c r="F24" s="82"/>
      <c r="G24" s="28"/>
      <c r="H24" s="28"/>
    </row>
    <row r="25" spans="1:8" ht="18.75" customHeight="1" x14ac:dyDescent="0.25">
      <c r="A25" s="7">
        <v>100</v>
      </c>
      <c r="B25" s="79">
        <v>1.03509E-3</v>
      </c>
      <c r="C25" s="80">
        <v>414.3</v>
      </c>
      <c r="D25" s="80">
        <v>431.9</v>
      </c>
      <c r="E25" s="82">
        <v>1.2943</v>
      </c>
      <c r="F25" s="82"/>
      <c r="G25" s="28"/>
      <c r="H25" s="28"/>
    </row>
    <row r="26" spans="1:8" ht="18.75" customHeight="1" x14ac:dyDescent="0.25">
      <c r="A26" s="7">
        <v>105</v>
      </c>
      <c r="B26" s="79">
        <v>1.0388999999999999E-3</v>
      </c>
      <c r="C26" s="80">
        <v>435.15</v>
      </c>
      <c r="D26" s="80">
        <v>452.81</v>
      </c>
      <c r="E26" s="82">
        <v>1.3499000000000001</v>
      </c>
      <c r="F26" s="82"/>
      <c r="G26" s="28"/>
      <c r="H26" s="28"/>
    </row>
    <row r="27" spans="1:8" ht="18.75" customHeight="1" x14ac:dyDescent="0.25">
      <c r="A27" s="7">
        <v>110</v>
      </c>
      <c r="B27" s="79">
        <v>1.0428600000000001E-3</v>
      </c>
      <c r="C27" s="80">
        <v>456.01</v>
      </c>
      <c r="D27" s="80">
        <v>473.74</v>
      </c>
      <c r="E27" s="82">
        <v>1.4049</v>
      </c>
      <c r="F27" s="82"/>
      <c r="G27" s="28"/>
      <c r="H27" s="28"/>
    </row>
    <row r="28" spans="1:8" ht="18.75" customHeight="1" x14ac:dyDescent="0.25">
      <c r="A28" s="7">
        <v>115</v>
      </c>
      <c r="B28" s="79">
        <v>1.0469500000000001E-3</v>
      </c>
      <c r="C28" s="80">
        <v>476.9</v>
      </c>
      <c r="D28" s="80">
        <v>494.7</v>
      </c>
      <c r="E28" s="82">
        <v>1.4593</v>
      </c>
      <c r="F28" s="82"/>
      <c r="G28" s="28"/>
      <c r="H28" s="28"/>
    </row>
    <row r="29" spans="1:8" ht="18.75" customHeight="1" x14ac:dyDescent="0.25">
      <c r="A29" s="7">
        <v>120</v>
      </c>
      <c r="B29" s="79">
        <v>1.05119E-3</v>
      </c>
      <c r="C29" s="80">
        <v>497.83</v>
      </c>
      <c r="D29" s="80">
        <v>515.70000000000005</v>
      </c>
      <c r="E29" s="82">
        <v>1.5129999999999999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1.05558E-3</v>
      </c>
      <c r="C30" s="80">
        <v>518.79</v>
      </c>
      <c r="D30" s="80">
        <v>536.73</v>
      </c>
      <c r="E30" s="82">
        <v>1.5662</v>
      </c>
      <c r="F30" s="82"/>
      <c r="G30" s="28"/>
      <c r="H30" s="28"/>
    </row>
    <row r="31" spans="1:8" ht="18.75" customHeight="1" x14ac:dyDescent="0.25">
      <c r="A31" s="7">
        <v>130</v>
      </c>
      <c r="B31" s="79">
        <v>1.06011E-3</v>
      </c>
      <c r="C31" s="80">
        <v>539.78</v>
      </c>
      <c r="D31" s="80">
        <v>557.79999999999995</v>
      </c>
      <c r="E31" s="82">
        <v>1.6188</v>
      </c>
      <c r="F31" s="82"/>
      <c r="G31" s="28"/>
      <c r="H31" s="28"/>
    </row>
    <row r="32" spans="1:8" ht="18.75" customHeight="1" x14ac:dyDescent="0.25">
      <c r="A32" s="7">
        <v>135</v>
      </c>
      <c r="B32" s="79">
        <v>1.0648000000000001E-3</v>
      </c>
      <c r="C32" s="80">
        <v>560.82000000000005</v>
      </c>
      <c r="D32" s="80">
        <v>578.91999999999996</v>
      </c>
      <c r="E32" s="82">
        <v>1.6708000000000001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1.06964E-3</v>
      </c>
      <c r="C33" s="80">
        <v>581.89</v>
      </c>
      <c r="D33" s="80">
        <v>600.07000000000005</v>
      </c>
      <c r="E33" s="82">
        <v>1.7223999999999999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1.07464E-3</v>
      </c>
      <c r="C34" s="80">
        <v>603.01</v>
      </c>
      <c r="D34" s="80">
        <v>621.28</v>
      </c>
      <c r="E34" s="82">
        <v>1.7734000000000001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1.0797999999999999E-3</v>
      </c>
      <c r="C35" s="80">
        <v>624.17999999999995</v>
      </c>
      <c r="D35" s="80">
        <v>642.54</v>
      </c>
      <c r="E35" s="82">
        <v>1.8239000000000001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1.08512E-3</v>
      </c>
      <c r="C36" s="80">
        <v>645.4</v>
      </c>
      <c r="D36" s="80">
        <v>663.85</v>
      </c>
      <c r="E36" s="82">
        <v>1.8740000000000001</v>
      </c>
      <c r="F36" s="82"/>
      <c r="G36" s="28"/>
      <c r="H36" s="28"/>
    </row>
    <row r="37" spans="1:8" ht="18.75" customHeight="1" x14ac:dyDescent="0.25">
      <c r="A37" s="7">
        <v>160</v>
      </c>
      <c r="B37" s="79">
        <v>1.09062E-3</v>
      </c>
      <c r="C37" s="80">
        <v>666.68</v>
      </c>
      <c r="D37" s="80">
        <v>685.22</v>
      </c>
      <c r="E37" s="82">
        <v>1.9236</v>
      </c>
      <c r="F37" s="82"/>
      <c r="G37" s="28"/>
      <c r="H37" s="28"/>
    </row>
    <row r="38" spans="1:8" ht="18.75" customHeight="1" x14ac:dyDescent="0.25">
      <c r="A38" s="7">
        <v>165</v>
      </c>
      <c r="B38" s="79">
        <v>1.0962999999999999E-3</v>
      </c>
      <c r="C38" s="80">
        <v>688.02</v>
      </c>
      <c r="D38" s="80">
        <v>706.66</v>
      </c>
      <c r="E38" s="82">
        <v>1.9728000000000001</v>
      </c>
      <c r="F38" s="82"/>
      <c r="G38" s="28"/>
      <c r="H38" s="28"/>
    </row>
    <row r="39" spans="1:8" ht="18.75" customHeight="1" x14ac:dyDescent="0.25">
      <c r="A39" s="7">
        <v>170</v>
      </c>
      <c r="B39" s="79">
        <v>1.10217E-3</v>
      </c>
      <c r="C39" s="80">
        <v>709.42</v>
      </c>
      <c r="D39" s="80">
        <v>728.16</v>
      </c>
      <c r="E39" s="82">
        <v>2.0215999999999998</v>
      </c>
      <c r="F39" s="82"/>
      <c r="G39" s="28"/>
      <c r="H39" s="28"/>
    </row>
    <row r="40" spans="1:8" ht="18.75" customHeight="1" x14ac:dyDescent="0.25">
      <c r="A40" s="7">
        <v>175</v>
      </c>
      <c r="B40" s="79">
        <v>1.10822E-3</v>
      </c>
      <c r="C40" s="80">
        <v>730.9</v>
      </c>
      <c r="D40" s="80">
        <v>749.74</v>
      </c>
      <c r="E40" s="82">
        <v>2.0699999999999998</v>
      </c>
      <c r="F40" s="82"/>
      <c r="G40" s="28"/>
      <c r="H40" s="28"/>
    </row>
    <row r="41" spans="1:8" ht="18.75" customHeight="1" x14ac:dyDescent="0.25">
      <c r="A41" s="7">
        <v>180</v>
      </c>
      <c r="B41" s="79">
        <v>1.1144799999999999E-3</v>
      </c>
      <c r="C41" s="80">
        <v>752.44</v>
      </c>
      <c r="D41" s="80">
        <v>771.39</v>
      </c>
      <c r="E41" s="82">
        <v>2.1181000000000001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1.12094E-3</v>
      </c>
      <c r="C42" s="80">
        <v>774.07</v>
      </c>
      <c r="D42" s="80">
        <v>793.13</v>
      </c>
      <c r="E42" s="82">
        <v>2.1657999999999999</v>
      </c>
      <c r="F42" s="82"/>
      <c r="G42" s="28"/>
      <c r="H42" s="28"/>
    </row>
    <row r="43" spans="1:8" ht="18.75" customHeight="1" x14ac:dyDescent="0.25">
      <c r="A43" s="7">
        <v>190</v>
      </c>
      <c r="B43" s="79">
        <v>1.12762E-3</v>
      </c>
      <c r="C43" s="80">
        <v>795.79</v>
      </c>
      <c r="D43" s="80">
        <v>814.96</v>
      </c>
      <c r="E43" s="82">
        <v>2.2132000000000001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1.1345299999999999E-3</v>
      </c>
      <c r="C44" s="80">
        <v>817.59</v>
      </c>
      <c r="D44" s="80">
        <v>836.88</v>
      </c>
      <c r="E44" s="82">
        <v>2.2602000000000002</v>
      </c>
      <c r="F44" s="82"/>
      <c r="G44" s="28"/>
      <c r="H44" s="28"/>
    </row>
    <row r="45" spans="1:8" ht="18.75" customHeight="1" x14ac:dyDescent="0.25">
      <c r="A45" s="7">
        <v>200</v>
      </c>
      <c r="B45" s="79">
        <v>1.14168E-3</v>
      </c>
      <c r="C45" s="80">
        <v>839.49</v>
      </c>
      <c r="D45" s="80">
        <v>858.9</v>
      </c>
      <c r="E45" s="82">
        <v>2.3069999999999999</v>
      </c>
      <c r="F45" s="82"/>
      <c r="G45" s="28"/>
      <c r="H45" s="28"/>
    </row>
    <row r="46" spans="1:8" ht="18.75" customHeight="1" x14ac:dyDescent="0.25">
      <c r="A46" s="7">
        <v>210</v>
      </c>
      <c r="B46" s="79">
        <v>1.1567599999999999E-3</v>
      </c>
      <c r="C46" s="80">
        <v>883.6</v>
      </c>
      <c r="D46" s="80">
        <v>903.26</v>
      </c>
      <c r="E46" s="82">
        <v>2.3997999999999999</v>
      </c>
      <c r="F46" s="82"/>
      <c r="G46" s="28"/>
      <c r="H46" s="28"/>
    </row>
    <row r="47" spans="1:8" ht="18.75" customHeight="1" x14ac:dyDescent="0.25">
      <c r="A47" s="7">
        <v>220</v>
      </c>
      <c r="B47" s="79">
        <v>1.1729500000000001E-3</v>
      </c>
      <c r="C47" s="80">
        <v>928.17</v>
      </c>
      <c r="D47" s="80">
        <v>948.11</v>
      </c>
      <c r="E47" s="82">
        <v>2.4916999999999998</v>
      </c>
      <c r="F47" s="82"/>
      <c r="G47" s="28"/>
      <c r="H47" s="28"/>
    </row>
    <row r="48" spans="1:8" ht="18.75" customHeight="1" x14ac:dyDescent="0.25">
      <c r="A48" s="7">
        <v>230</v>
      </c>
      <c r="B48" s="79">
        <v>1.19042E-3</v>
      </c>
      <c r="C48" s="80">
        <v>973.27</v>
      </c>
      <c r="D48" s="80">
        <v>993.51</v>
      </c>
      <c r="E48" s="82">
        <v>2.5828000000000002</v>
      </c>
      <c r="F48" s="82"/>
      <c r="G48" s="28"/>
      <c r="H48" s="28"/>
    </row>
    <row r="49" spans="1:8" ht="18.75" customHeight="1" x14ac:dyDescent="0.25">
      <c r="A49" s="7">
        <v>240</v>
      </c>
      <c r="B49" s="79">
        <v>1.2093200000000001E-3</v>
      </c>
      <c r="C49" s="83">
        <v>1018.9</v>
      </c>
      <c r="D49" s="83">
        <v>1039.5</v>
      </c>
      <c r="E49" s="82">
        <v>2.6734</v>
      </c>
      <c r="F49" s="82"/>
      <c r="G49" s="28"/>
      <c r="H49" s="28"/>
    </row>
    <row r="50" spans="1:8" ht="18.75" customHeight="1" x14ac:dyDescent="0.25">
      <c r="A50" s="7">
        <v>250</v>
      </c>
      <c r="B50" s="79">
        <v>1.22989E-3</v>
      </c>
      <c r="C50" s="83">
        <v>1065.4000000000001</v>
      </c>
      <c r="D50" s="83">
        <v>1086.3</v>
      </c>
      <c r="E50" s="82">
        <v>2.7637</v>
      </c>
      <c r="F50" s="82"/>
      <c r="G50" s="28"/>
      <c r="H50" s="28"/>
    </row>
    <row r="51" spans="1:8" ht="18.75" customHeight="1" x14ac:dyDescent="0.25">
      <c r="A51" s="7">
        <v>260</v>
      </c>
      <c r="B51" s="79">
        <v>1.2524000000000001E-3</v>
      </c>
      <c r="C51" s="83">
        <v>1112.5999999999999</v>
      </c>
      <c r="D51" s="83">
        <v>1133.9000000000001</v>
      </c>
      <c r="E51" s="82">
        <v>2.8538000000000001</v>
      </c>
      <c r="F51" s="82"/>
      <c r="G51" s="28"/>
      <c r="H51" s="28"/>
    </row>
    <row r="52" spans="1:8" ht="18.75" customHeight="1" x14ac:dyDescent="0.25">
      <c r="A52" s="7">
        <v>270</v>
      </c>
      <c r="B52" s="79">
        <v>1.2772E-3</v>
      </c>
      <c r="C52" s="83">
        <v>1160.8</v>
      </c>
      <c r="D52" s="83">
        <v>1182.5</v>
      </c>
      <c r="E52" s="82">
        <v>2.9441999999999999</v>
      </c>
      <c r="F52" s="82"/>
      <c r="G52" s="28"/>
      <c r="H52" s="28"/>
    </row>
    <row r="53" spans="1:8" ht="18.75" customHeight="1" x14ac:dyDescent="0.25">
      <c r="A53" s="7">
        <v>280</v>
      </c>
      <c r="B53" s="79">
        <v>1.30477E-3</v>
      </c>
      <c r="C53" s="83">
        <v>1210.0999999999999</v>
      </c>
      <c r="D53" s="83">
        <v>1232.3</v>
      </c>
      <c r="E53" s="82">
        <v>3.0350000000000001</v>
      </c>
      <c r="F53" s="82"/>
      <c r="G53" s="28"/>
      <c r="H53" s="28"/>
    </row>
    <row r="54" spans="1:8" ht="18.75" customHeight="1" x14ac:dyDescent="0.25">
      <c r="A54" s="7">
        <v>290</v>
      </c>
      <c r="B54" s="79">
        <v>1.33577E-3</v>
      </c>
      <c r="C54" s="83">
        <v>1260.9000000000001</v>
      </c>
      <c r="D54" s="83">
        <v>1283.5999999999999</v>
      </c>
      <c r="E54" s="82">
        <v>3.1267999999999998</v>
      </c>
      <c r="F54" s="82"/>
      <c r="G54" s="28"/>
      <c r="H54" s="28"/>
    </row>
    <row r="55" spans="1:8" ht="18.75" customHeight="1" x14ac:dyDescent="0.25">
      <c r="A55" s="7">
        <v>300</v>
      </c>
      <c r="B55" s="79">
        <v>1.37112E-3</v>
      </c>
      <c r="C55" s="83">
        <v>1313.3</v>
      </c>
      <c r="D55" s="83">
        <v>1336.6</v>
      </c>
      <c r="E55" s="82">
        <v>3.2202000000000002</v>
      </c>
      <c r="F55" s="82"/>
      <c r="G55" s="28"/>
      <c r="H55" s="28"/>
    </row>
    <row r="56" spans="1:8" ht="18.75" customHeight="1" x14ac:dyDescent="0.25">
      <c r="A56" s="7">
        <v>310</v>
      </c>
      <c r="B56" s="79">
        <v>1.41219E-3</v>
      </c>
      <c r="C56" s="83">
        <v>1367.9</v>
      </c>
      <c r="D56" s="83">
        <v>1391.9</v>
      </c>
      <c r="E56" s="82">
        <v>3.3157999999999999</v>
      </c>
      <c r="F56" s="82"/>
      <c r="G56" s="28"/>
      <c r="H56" s="28"/>
    </row>
    <row r="57" spans="1:8" ht="18.75" customHeight="1" x14ac:dyDescent="0.25">
      <c r="A57" s="7">
        <v>320</v>
      </c>
      <c r="B57" s="79">
        <v>1.4612200000000001E-3</v>
      </c>
      <c r="C57" s="83">
        <v>1425.5</v>
      </c>
      <c r="D57" s="83">
        <v>1450.3</v>
      </c>
      <c r="E57" s="82">
        <v>3.4150999999999998</v>
      </c>
      <c r="F57" s="82"/>
      <c r="G57" s="28"/>
      <c r="H57" s="28"/>
    </row>
    <row r="58" spans="1:8" ht="18.75" customHeight="1" x14ac:dyDescent="0.25">
      <c r="A58" s="7">
        <v>330</v>
      </c>
      <c r="B58" s="79">
        <v>1.5221099999999999E-3</v>
      </c>
      <c r="C58" s="83">
        <v>1487.2</v>
      </c>
      <c r="D58" s="83">
        <v>1513.1</v>
      </c>
      <c r="E58" s="82">
        <v>3.5200999999999998</v>
      </c>
      <c r="F58" s="82"/>
      <c r="G58" s="28"/>
      <c r="H58" s="28"/>
    </row>
    <row r="59" spans="1:8" ht="18.75" customHeight="1" x14ac:dyDescent="0.25">
      <c r="A59" s="7">
        <v>340</v>
      </c>
      <c r="B59" s="79">
        <v>1.6029600000000001E-3</v>
      </c>
      <c r="C59" s="83">
        <v>1555.6</v>
      </c>
      <c r="D59" s="83">
        <v>1582.9</v>
      </c>
      <c r="E59" s="82">
        <v>3.6347</v>
      </c>
      <c r="F59" s="82"/>
      <c r="G59" s="28"/>
      <c r="H59" s="28"/>
    </row>
    <row r="60" spans="1:8" ht="18.75" customHeight="1" x14ac:dyDescent="0.25">
      <c r="A60" s="7">
        <v>350</v>
      </c>
      <c r="B60" s="79">
        <v>1.7269799999999999E-3</v>
      </c>
      <c r="C60" s="83">
        <v>1637.2</v>
      </c>
      <c r="D60" s="83">
        <v>1666.6</v>
      </c>
      <c r="E60" s="82">
        <v>3.7702</v>
      </c>
      <c r="F60" s="82"/>
      <c r="G60" s="28"/>
      <c r="H60" s="28"/>
    </row>
    <row r="61" spans="1:8" ht="18.75" customHeight="1" x14ac:dyDescent="0.25">
      <c r="A61" s="7">
        <v>360</v>
      </c>
      <c r="B61" s="79">
        <v>9.6037999999999991E-3</v>
      </c>
      <c r="C61" s="83">
        <v>2487.8000000000002</v>
      </c>
      <c r="D61" s="83">
        <v>2651.1</v>
      </c>
      <c r="E61" s="82">
        <v>5.3433999999999999</v>
      </c>
      <c r="F61" s="82"/>
      <c r="G61" s="28"/>
      <c r="H61" s="28"/>
    </row>
    <row r="62" spans="1:8" ht="18.75" customHeight="1" x14ac:dyDescent="0.25">
      <c r="A62" s="7">
        <v>370</v>
      </c>
      <c r="B62" s="85">
        <v>1.0713E-2</v>
      </c>
      <c r="C62" s="83">
        <v>2557.8000000000002</v>
      </c>
      <c r="D62" s="83">
        <v>2739.9</v>
      </c>
      <c r="E62" s="82">
        <v>5.4825999999999997</v>
      </c>
      <c r="F62" s="82"/>
      <c r="G62" s="28"/>
      <c r="H62" s="28"/>
    </row>
    <row r="63" spans="1:8" ht="18.75" customHeight="1" x14ac:dyDescent="0.25">
      <c r="A63" s="7">
        <v>380</v>
      </c>
      <c r="B63" s="85">
        <v>1.1598000000000001E-2</v>
      </c>
      <c r="C63" s="83">
        <v>2611.5</v>
      </c>
      <c r="D63" s="83">
        <v>2808.7</v>
      </c>
      <c r="E63" s="82">
        <v>5.5888</v>
      </c>
      <c r="F63" s="82"/>
      <c r="G63" s="28"/>
      <c r="H63" s="28"/>
    </row>
    <row r="64" spans="1:8" ht="18.75" customHeight="1" x14ac:dyDescent="0.25">
      <c r="A64" s="7">
        <v>390</v>
      </c>
      <c r="B64" s="85">
        <v>1.2359E-2</v>
      </c>
      <c r="C64" s="83">
        <v>2656.6</v>
      </c>
      <c r="D64" s="83">
        <v>2866.7</v>
      </c>
      <c r="E64" s="82">
        <v>5.6769999999999996</v>
      </c>
      <c r="F64" s="82"/>
      <c r="G64" s="28"/>
      <c r="H64" s="28"/>
    </row>
    <row r="65" spans="1:8" ht="18.75" customHeight="1" x14ac:dyDescent="0.25">
      <c r="A65" s="7">
        <v>400</v>
      </c>
      <c r="B65" s="85">
        <v>1.3037999999999999E-2</v>
      </c>
      <c r="C65" s="83">
        <v>2696.3</v>
      </c>
      <c r="D65" s="83">
        <v>2917.9</v>
      </c>
      <c r="E65" s="82">
        <v>5.7535999999999996</v>
      </c>
      <c r="F65" s="82"/>
      <c r="G65" s="28"/>
      <c r="H65" s="28"/>
    </row>
    <row r="66" spans="1:8" ht="18.75" customHeight="1" x14ac:dyDescent="0.25">
      <c r="A66" s="7">
        <v>410</v>
      </c>
      <c r="B66" s="85">
        <v>1.366E-2</v>
      </c>
      <c r="C66" s="83">
        <v>2732</v>
      </c>
      <c r="D66" s="83">
        <v>2964.2</v>
      </c>
      <c r="E66" s="82">
        <v>5.8219000000000003</v>
      </c>
      <c r="F66" s="82"/>
      <c r="G66" s="28"/>
      <c r="H66" s="28"/>
    </row>
    <row r="67" spans="1:8" ht="18.75" customHeight="1" x14ac:dyDescent="0.25">
      <c r="A67" s="7">
        <v>420</v>
      </c>
      <c r="B67" s="85">
        <v>1.4237E-2</v>
      </c>
      <c r="C67" s="83">
        <v>2765</v>
      </c>
      <c r="D67" s="83">
        <v>3007</v>
      </c>
      <c r="E67" s="82">
        <v>5.8841000000000001</v>
      </c>
      <c r="F67" s="82"/>
      <c r="G67" s="28"/>
      <c r="H67" s="28"/>
    </row>
    <row r="68" spans="1:8" ht="18.75" customHeight="1" x14ac:dyDescent="0.25">
      <c r="A68" s="7">
        <v>430</v>
      </c>
      <c r="B68" s="85">
        <v>1.4779E-2</v>
      </c>
      <c r="C68" s="83">
        <v>2795.9</v>
      </c>
      <c r="D68" s="83">
        <v>3047.1</v>
      </c>
      <c r="E68" s="82">
        <v>5.9413999999999998</v>
      </c>
      <c r="F68" s="82"/>
      <c r="G68" s="28"/>
      <c r="H68" s="28"/>
    </row>
    <row r="69" spans="1:8" ht="18.75" customHeight="1" x14ac:dyDescent="0.25">
      <c r="A69" s="7">
        <v>440</v>
      </c>
      <c r="B69" s="85">
        <v>1.5292999999999999E-2</v>
      </c>
      <c r="C69" s="83">
        <v>2824.9</v>
      </c>
      <c r="D69" s="83">
        <v>3084.9</v>
      </c>
      <c r="E69" s="82">
        <v>5.9949000000000003</v>
      </c>
      <c r="F69" s="82"/>
      <c r="G69" s="28"/>
      <c r="H69" s="28"/>
    </row>
    <row r="70" spans="1:8" ht="18.75" customHeight="1" x14ac:dyDescent="0.25">
      <c r="A70" s="7">
        <v>450</v>
      </c>
      <c r="B70" s="85">
        <v>1.5783999999999999E-2</v>
      </c>
      <c r="C70" s="83">
        <v>2852.7</v>
      </c>
      <c r="D70" s="83">
        <v>3121</v>
      </c>
      <c r="E70" s="82">
        <v>6.0450999999999997</v>
      </c>
      <c r="F70" s="82"/>
      <c r="G70" s="28"/>
      <c r="H70" s="28"/>
    </row>
    <row r="71" spans="1:8" ht="18.75" customHeight="1" x14ac:dyDescent="0.25">
      <c r="A71" s="7">
        <v>460</v>
      </c>
      <c r="B71" s="85">
        <v>1.6254999999999999E-2</v>
      </c>
      <c r="C71" s="83">
        <v>2879.3</v>
      </c>
      <c r="D71" s="83">
        <v>3155.6</v>
      </c>
      <c r="E71" s="82">
        <v>6.0926999999999998</v>
      </c>
      <c r="F71" s="82"/>
      <c r="G71" s="28"/>
      <c r="H71" s="28"/>
    </row>
    <row r="72" spans="1:8" ht="18.75" customHeight="1" x14ac:dyDescent="0.25">
      <c r="A72" s="7">
        <v>470</v>
      </c>
      <c r="B72" s="85">
        <v>1.6709999999999999E-2</v>
      </c>
      <c r="C72" s="83">
        <v>2904.9</v>
      </c>
      <c r="D72" s="83">
        <v>3189</v>
      </c>
      <c r="E72" s="82">
        <v>6.1379000000000001</v>
      </c>
      <c r="F72" s="82"/>
      <c r="G72" s="28"/>
      <c r="H72" s="28"/>
    </row>
    <row r="73" spans="1:8" ht="18.75" customHeight="1" x14ac:dyDescent="0.25">
      <c r="A73" s="7">
        <v>480</v>
      </c>
      <c r="B73" s="85">
        <v>1.7149999999999999E-2</v>
      </c>
      <c r="C73" s="83">
        <v>2929.8</v>
      </c>
      <c r="D73" s="83">
        <v>3221.4</v>
      </c>
      <c r="E73" s="82">
        <v>6.1811999999999996</v>
      </c>
      <c r="F73" s="82"/>
      <c r="G73" s="28"/>
      <c r="H73" s="28"/>
    </row>
    <row r="74" spans="1:8" ht="18.75" customHeight="1" x14ac:dyDescent="0.25">
      <c r="A74" s="7">
        <v>490</v>
      </c>
      <c r="B74" s="85">
        <v>1.7576999999999999E-2</v>
      </c>
      <c r="C74" s="83">
        <v>2954.1</v>
      </c>
      <c r="D74" s="83">
        <v>3252.9</v>
      </c>
      <c r="E74" s="82">
        <v>6.2226999999999997</v>
      </c>
      <c r="F74" s="82"/>
      <c r="G74" s="28"/>
      <c r="H74" s="28"/>
    </row>
    <row r="75" spans="1:8" ht="18.75" customHeight="1" x14ac:dyDescent="0.25">
      <c r="A75" s="7">
        <v>500</v>
      </c>
      <c r="B75" s="85">
        <v>1.7994E-2</v>
      </c>
      <c r="C75" s="83">
        <v>2977.7</v>
      </c>
      <c r="D75" s="83">
        <v>3283.6</v>
      </c>
      <c r="E75" s="82">
        <v>6.2628000000000004</v>
      </c>
      <c r="F75" s="82"/>
      <c r="G75" s="28"/>
      <c r="H75" s="28"/>
    </row>
    <row r="76" spans="1:8" ht="18.75" customHeight="1" x14ac:dyDescent="0.25">
      <c r="A76" s="7">
        <v>520</v>
      </c>
      <c r="B76" s="85">
        <v>1.8797999999999999E-2</v>
      </c>
      <c r="C76" s="83">
        <v>3023.6</v>
      </c>
      <c r="D76" s="83">
        <v>3343.2</v>
      </c>
      <c r="E76" s="82">
        <v>6.3388999999999998</v>
      </c>
      <c r="F76" s="82"/>
      <c r="G76" s="28"/>
      <c r="H76" s="28"/>
    </row>
    <row r="77" spans="1:8" ht="18.75" customHeight="1" x14ac:dyDescent="0.25">
      <c r="A77" s="7">
        <v>540</v>
      </c>
      <c r="B77" s="85">
        <v>1.9571000000000002E-2</v>
      </c>
      <c r="C77" s="83">
        <v>3068.1</v>
      </c>
      <c r="D77" s="83">
        <v>3400.8</v>
      </c>
      <c r="E77" s="82">
        <v>6.4105999999999996</v>
      </c>
      <c r="F77" s="82"/>
      <c r="G77" s="28"/>
      <c r="H77" s="28"/>
    </row>
    <row r="78" spans="1:8" ht="18.75" customHeight="1" x14ac:dyDescent="0.25">
      <c r="A78" s="7">
        <v>560</v>
      </c>
      <c r="B78" s="85">
        <v>2.0317999999999999E-2</v>
      </c>
      <c r="C78" s="83">
        <v>3111.5</v>
      </c>
      <c r="D78" s="83">
        <v>3456.9</v>
      </c>
      <c r="E78" s="82">
        <v>6.4786999999999999</v>
      </c>
      <c r="F78" s="82"/>
      <c r="G78" s="28"/>
      <c r="H78" s="28"/>
    </row>
    <row r="79" spans="1:8" ht="18.75" customHeight="1" x14ac:dyDescent="0.25">
      <c r="A79" s="7">
        <v>580</v>
      </c>
      <c r="B79" s="85">
        <v>2.1044E-2</v>
      </c>
      <c r="C79" s="83">
        <v>3154</v>
      </c>
      <c r="D79" s="83">
        <v>3511.7</v>
      </c>
      <c r="E79" s="82">
        <v>6.5438000000000001</v>
      </c>
      <c r="F79" s="82"/>
      <c r="G79" s="28"/>
      <c r="H79" s="28"/>
    </row>
    <row r="80" spans="1:8" ht="18.75" customHeight="1" x14ac:dyDescent="0.25">
      <c r="A80" s="7">
        <v>600</v>
      </c>
      <c r="B80" s="85">
        <v>2.1752000000000001E-2</v>
      </c>
      <c r="C80" s="83">
        <v>3195.9</v>
      </c>
      <c r="D80" s="83">
        <v>3565.7</v>
      </c>
      <c r="E80" s="82">
        <v>6.6063000000000001</v>
      </c>
      <c r="F80" s="82"/>
      <c r="G80" s="28"/>
      <c r="H80" s="28"/>
    </row>
    <row r="81" spans="1:8" ht="18.75" customHeight="1" x14ac:dyDescent="0.25">
      <c r="A81" s="7">
        <v>620</v>
      </c>
      <c r="B81" s="85">
        <v>2.2443999999999999E-2</v>
      </c>
      <c r="C81" s="83">
        <v>3237.3</v>
      </c>
      <c r="D81" s="83">
        <v>3618.8</v>
      </c>
      <c r="E81" s="82">
        <v>6.6665000000000001</v>
      </c>
      <c r="F81" s="82"/>
      <c r="G81" s="28"/>
      <c r="H81" s="28"/>
    </row>
    <row r="82" spans="1:8" ht="18.75" customHeight="1" x14ac:dyDescent="0.25">
      <c r="A82" s="7">
        <v>640</v>
      </c>
      <c r="B82" s="85">
        <v>2.3123000000000001E-2</v>
      </c>
      <c r="C82" s="83">
        <v>3278.3</v>
      </c>
      <c r="D82" s="83">
        <v>3671.4</v>
      </c>
      <c r="E82" s="82">
        <v>6.7247000000000003</v>
      </c>
      <c r="F82" s="82"/>
      <c r="G82" s="28"/>
      <c r="H82" s="28"/>
    </row>
    <row r="83" spans="1:8" ht="18.75" customHeight="1" x14ac:dyDescent="0.25">
      <c r="A83" s="7">
        <v>660</v>
      </c>
      <c r="B83" s="85">
        <v>2.3791E-2</v>
      </c>
      <c r="C83" s="83">
        <v>3319.1</v>
      </c>
      <c r="D83" s="83">
        <v>3723.5</v>
      </c>
      <c r="E83" s="82">
        <v>6.7811000000000003</v>
      </c>
      <c r="F83" s="82"/>
      <c r="G83" s="28"/>
      <c r="H83" s="28"/>
    </row>
    <row r="84" spans="1:8" ht="18.75" customHeight="1" x14ac:dyDescent="0.25">
      <c r="A84" s="7">
        <v>680</v>
      </c>
      <c r="B84" s="85">
        <v>2.4448999999999999E-2</v>
      </c>
      <c r="C84" s="83">
        <v>3359.6</v>
      </c>
      <c r="D84" s="83">
        <v>3775.2</v>
      </c>
      <c r="E84" s="82">
        <v>6.8360000000000003</v>
      </c>
      <c r="F84" s="82"/>
      <c r="G84" s="28"/>
      <c r="H84" s="28"/>
    </row>
    <row r="85" spans="1:8" ht="18.75" customHeight="1" x14ac:dyDescent="0.25">
      <c r="A85" s="7">
        <v>700</v>
      </c>
      <c r="B85" s="85">
        <v>2.5097000000000001E-2</v>
      </c>
      <c r="C85" s="83">
        <v>3400</v>
      </c>
      <c r="D85" s="83">
        <v>3826.6</v>
      </c>
      <c r="E85" s="82">
        <v>6.8894000000000002</v>
      </c>
      <c r="F85" s="82"/>
      <c r="G85" s="28"/>
      <c r="H85" s="28"/>
    </row>
    <row r="86" spans="1:8" ht="18.75" customHeight="1" x14ac:dyDescent="0.25">
      <c r="A86" s="7">
        <v>720</v>
      </c>
      <c r="B86" s="85">
        <v>2.5738E-2</v>
      </c>
      <c r="C86" s="83">
        <v>3440.4</v>
      </c>
      <c r="D86" s="83">
        <v>3877.9</v>
      </c>
      <c r="E86" s="82">
        <v>6.9414999999999996</v>
      </c>
      <c r="F86" s="82"/>
      <c r="G86" s="28"/>
      <c r="H86" s="28"/>
    </row>
    <row r="87" spans="1:8" ht="18.75" customHeight="1" x14ac:dyDescent="0.25">
      <c r="A87" s="7">
        <v>740</v>
      </c>
      <c r="B87" s="85">
        <v>2.6372E-2</v>
      </c>
      <c r="C87" s="83">
        <v>3480.6</v>
      </c>
      <c r="D87" s="83">
        <v>3928.9</v>
      </c>
      <c r="E87" s="82">
        <v>6.9923999999999999</v>
      </c>
      <c r="F87" s="82"/>
      <c r="G87" s="28"/>
      <c r="H87" s="28"/>
    </row>
    <row r="88" spans="1:8" ht="18.75" customHeight="1" x14ac:dyDescent="0.25">
      <c r="A88" s="7">
        <v>760</v>
      </c>
      <c r="B88" s="85">
        <v>2.6998999999999999E-2</v>
      </c>
      <c r="C88" s="83">
        <v>3520.9</v>
      </c>
      <c r="D88" s="83">
        <v>3979.9</v>
      </c>
      <c r="E88" s="82">
        <v>7.0422000000000002</v>
      </c>
      <c r="F88" s="82"/>
      <c r="G88" s="28"/>
      <c r="H88" s="28"/>
    </row>
    <row r="89" spans="1:8" ht="18.75" customHeight="1" x14ac:dyDescent="0.25">
      <c r="A89" s="7">
        <v>780</v>
      </c>
      <c r="B89" s="85">
        <v>2.7621E-2</v>
      </c>
      <c r="C89" s="83">
        <v>3561.2</v>
      </c>
      <c r="D89" s="83">
        <v>4030.8</v>
      </c>
      <c r="E89" s="82">
        <v>7.0910000000000002</v>
      </c>
      <c r="F89" s="82"/>
      <c r="G89" s="28"/>
      <c r="H89" s="28"/>
    </row>
    <row r="90" spans="1:8" ht="18.75" customHeight="1" x14ac:dyDescent="0.25">
      <c r="A90" s="7">
        <v>800</v>
      </c>
      <c r="B90" s="85">
        <v>2.8237000000000002E-2</v>
      </c>
      <c r="C90" s="83">
        <v>3601.6</v>
      </c>
      <c r="D90" s="83">
        <v>4081.6</v>
      </c>
      <c r="E90" s="82">
        <v>7.1387999999999998</v>
      </c>
      <c r="F90" s="82"/>
      <c r="G90" s="28"/>
      <c r="H90" s="28"/>
    </row>
    <row r="91" spans="1:8" ht="18.75" customHeight="1" x14ac:dyDescent="0.25">
      <c r="A91" s="7">
        <v>820</v>
      </c>
      <c r="B91" s="85">
        <v>2.8849E-2</v>
      </c>
      <c r="C91" s="83">
        <v>3642.1</v>
      </c>
      <c r="D91" s="83">
        <v>4132.5</v>
      </c>
      <c r="E91" s="82">
        <v>7.1858000000000004</v>
      </c>
      <c r="F91" s="82"/>
      <c r="G91" s="28"/>
      <c r="H91" s="28"/>
    </row>
    <row r="92" spans="1:8" ht="18.75" customHeight="1" x14ac:dyDescent="0.25">
      <c r="A92" s="7">
        <v>840</v>
      </c>
      <c r="B92" s="85">
        <v>2.9457000000000001E-2</v>
      </c>
      <c r="C92" s="83">
        <v>3682.6</v>
      </c>
      <c r="D92" s="83">
        <v>4183.3999999999996</v>
      </c>
      <c r="E92" s="82">
        <v>7.2319000000000004</v>
      </c>
      <c r="F92" s="82"/>
      <c r="G92" s="28"/>
      <c r="H92" s="28"/>
    </row>
    <row r="93" spans="1:8" ht="18.75" customHeight="1" x14ac:dyDescent="0.25">
      <c r="A93" s="7">
        <v>860</v>
      </c>
      <c r="B93" s="85">
        <v>3.0061000000000001E-2</v>
      </c>
      <c r="C93" s="83">
        <v>3723.3</v>
      </c>
      <c r="D93" s="83">
        <v>4234.3</v>
      </c>
      <c r="E93" s="82">
        <v>7.2771999999999997</v>
      </c>
      <c r="F93" s="82"/>
      <c r="G93" s="28"/>
      <c r="H93" s="28"/>
    </row>
    <row r="94" spans="1:8" ht="18.75" customHeight="1" x14ac:dyDescent="0.25">
      <c r="A94" s="7">
        <v>880</v>
      </c>
      <c r="B94" s="85">
        <v>3.0661000000000001E-2</v>
      </c>
      <c r="C94" s="83">
        <v>3764.1</v>
      </c>
      <c r="D94" s="83">
        <v>4285.3</v>
      </c>
      <c r="E94" s="82">
        <v>7.3217999999999996</v>
      </c>
      <c r="F94" s="82"/>
      <c r="G94" s="28"/>
      <c r="H94" s="28"/>
    </row>
    <row r="95" spans="1:8" ht="18.75" customHeight="1" x14ac:dyDescent="0.25">
      <c r="A95" s="7">
        <v>900</v>
      </c>
      <c r="B95" s="85">
        <v>3.1258000000000001E-2</v>
      </c>
      <c r="C95" s="83">
        <v>3805</v>
      </c>
      <c r="D95" s="83">
        <v>4336.3999999999996</v>
      </c>
      <c r="E95" s="82">
        <v>7.3658000000000001</v>
      </c>
      <c r="F95" s="82"/>
      <c r="G95" s="28"/>
      <c r="H95" s="28"/>
    </row>
    <row r="96" spans="1:8" ht="18.75" customHeight="1" x14ac:dyDescent="0.25">
      <c r="A96" s="7">
        <v>920</v>
      </c>
      <c r="B96" s="85">
        <v>3.1851999999999998E-2</v>
      </c>
      <c r="C96" s="83">
        <v>3846</v>
      </c>
      <c r="D96" s="83">
        <v>4387.5</v>
      </c>
      <c r="E96" s="82">
        <v>7.4089999999999998</v>
      </c>
      <c r="F96" s="82"/>
      <c r="G96" s="28"/>
      <c r="H96" s="28"/>
    </row>
    <row r="97" spans="1:8" ht="18.75" customHeight="1" x14ac:dyDescent="0.25">
      <c r="A97" s="7">
        <v>940</v>
      </c>
      <c r="B97" s="85">
        <v>3.2443E-2</v>
      </c>
      <c r="C97" s="83">
        <v>3887.3</v>
      </c>
      <c r="D97" s="83">
        <v>4438.8</v>
      </c>
      <c r="E97" s="82">
        <v>7.4516</v>
      </c>
      <c r="F97" s="82"/>
      <c r="G97" s="28"/>
      <c r="H97" s="28"/>
    </row>
    <row r="98" spans="1:8" ht="18.75" customHeight="1" x14ac:dyDescent="0.25">
      <c r="A98" s="7">
        <v>960</v>
      </c>
      <c r="B98" s="85">
        <v>3.3030999999999998E-2</v>
      </c>
      <c r="C98" s="83">
        <v>3928.7</v>
      </c>
      <c r="D98" s="83">
        <v>4490.2</v>
      </c>
      <c r="E98" s="82">
        <v>7.4935999999999998</v>
      </c>
      <c r="F98" s="82"/>
      <c r="G98" s="28"/>
      <c r="H98" s="28"/>
    </row>
    <row r="99" spans="1:8" ht="18.75" customHeight="1" x14ac:dyDescent="0.25">
      <c r="A99" s="7">
        <v>980</v>
      </c>
      <c r="B99" s="85">
        <v>3.3618000000000002E-2</v>
      </c>
      <c r="C99" s="83">
        <v>3970.2</v>
      </c>
      <c r="D99" s="83">
        <v>4541.7</v>
      </c>
      <c r="E99" s="82">
        <v>7.5350999999999999</v>
      </c>
      <c r="F99" s="82"/>
      <c r="G99" s="28"/>
      <c r="H99" s="28"/>
    </row>
    <row r="100" spans="1:8" ht="18.75" customHeight="1" x14ac:dyDescent="0.25">
      <c r="A100" s="7">
        <v>1000</v>
      </c>
      <c r="B100" s="85">
        <v>3.4202000000000003E-2</v>
      </c>
      <c r="C100" s="83">
        <v>4012</v>
      </c>
      <c r="D100" s="83">
        <v>4593.3999999999996</v>
      </c>
      <c r="E100" s="82">
        <v>7.5759999999999996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H100"/>
  <sheetViews>
    <sheetView topLeftCell="A51" workbookViewId="0">
      <selection activeCell="A61" sqref="A61:XFD61"/>
    </sheetView>
  </sheetViews>
  <sheetFormatPr defaultRowHeight="13.2" x14ac:dyDescent="0.25"/>
  <cols>
    <col min="1" max="1" width="8.5546875" customWidth="1"/>
    <col min="2" max="2" width="11.109375" customWidth="1"/>
    <col min="3" max="3" width="6.77734375" customWidth="1"/>
    <col min="4" max="4" width="7" customWidth="1"/>
    <col min="5" max="5" width="8.218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206" t="s">
        <v>97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18000</v>
      </c>
      <c r="C2" s="76"/>
      <c r="D2" s="76"/>
      <c r="E2" s="76"/>
      <c r="F2" s="76"/>
      <c r="G2" s="76"/>
      <c r="H2" s="76"/>
    </row>
    <row r="3" spans="1:8" ht="15.75" customHeight="1" x14ac:dyDescent="0.25">
      <c r="A3" s="43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44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45">
        <v>0</v>
      </c>
      <c r="B5" s="79">
        <v>9.9131000000000002E-4</v>
      </c>
      <c r="C5" s="80">
        <v>0.21</v>
      </c>
      <c r="D5" s="80">
        <v>18.05</v>
      </c>
      <c r="E5" s="81">
        <v>4.6999999999999999E-4</v>
      </c>
      <c r="F5" s="81"/>
      <c r="G5" s="47"/>
      <c r="H5" s="47"/>
    </row>
    <row r="6" spans="1:8" ht="18.75" customHeight="1" x14ac:dyDescent="0.25">
      <c r="A6" s="45">
        <v>5</v>
      </c>
      <c r="B6" s="79">
        <v>9.914800000000001E-4</v>
      </c>
      <c r="C6" s="80">
        <v>20.88</v>
      </c>
      <c r="D6" s="80">
        <v>38.729999999999997</v>
      </c>
      <c r="E6" s="81">
        <v>7.5499999999999998E-2</v>
      </c>
      <c r="F6" s="81"/>
      <c r="G6" s="47"/>
      <c r="H6" s="47"/>
    </row>
    <row r="7" spans="1:8" ht="18.75" customHeight="1" x14ac:dyDescent="0.25">
      <c r="A7" s="45">
        <v>10</v>
      </c>
      <c r="B7" s="79">
        <v>9.9197E-4</v>
      </c>
      <c r="C7" s="80">
        <v>41.54</v>
      </c>
      <c r="D7" s="80">
        <v>59.4</v>
      </c>
      <c r="E7" s="81">
        <v>0.14913999999999999</v>
      </c>
      <c r="F7" s="81"/>
      <c r="G7" s="47"/>
      <c r="H7" s="47"/>
    </row>
    <row r="8" spans="1:8" ht="18.75" customHeight="1" x14ac:dyDescent="0.25">
      <c r="A8" s="45">
        <v>15</v>
      </c>
      <c r="B8" s="79">
        <v>9.9274999999999993E-4</v>
      </c>
      <c r="C8" s="80">
        <v>62.19</v>
      </c>
      <c r="D8" s="80">
        <v>80.06</v>
      </c>
      <c r="E8" s="81">
        <v>0.22145999999999999</v>
      </c>
      <c r="F8" s="81"/>
      <c r="G8" s="47"/>
      <c r="H8" s="47"/>
    </row>
    <row r="9" spans="1:8" ht="18.75" customHeight="1" x14ac:dyDescent="0.25">
      <c r="A9" s="45">
        <v>20</v>
      </c>
      <c r="B9" s="79">
        <v>9.937800000000001E-4</v>
      </c>
      <c r="C9" s="80">
        <v>82.83</v>
      </c>
      <c r="D9" s="80">
        <v>100.72</v>
      </c>
      <c r="E9" s="81">
        <v>0.29254000000000002</v>
      </c>
      <c r="F9" s="81"/>
      <c r="G9" s="47"/>
      <c r="H9" s="47"/>
    </row>
    <row r="10" spans="1:8" ht="18.75" customHeight="1" x14ac:dyDescent="0.25">
      <c r="A10" s="45">
        <v>25</v>
      </c>
      <c r="B10" s="79">
        <v>9.9504999999999993E-4</v>
      </c>
      <c r="C10" s="80">
        <v>103.47</v>
      </c>
      <c r="D10" s="80">
        <v>121.38</v>
      </c>
      <c r="E10" s="81">
        <v>0.36242000000000002</v>
      </c>
      <c r="F10" s="81"/>
      <c r="G10" s="47"/>
      <c r="H10" s="47"/>
    </row>
    <row r="11" spans="1:8" ht="18.75" customHeight="1" x14ac:dyDescent="0.25">
      <c r="A11" s="45">
        <v>30</v>
      </c>
      <c r="B11" s="79">
        <v>9.9653000000000003E-4</v>
      </c>
      <c r="C11" s="80">
        <v>124.1</v>
      </c>
      <c r="D11" s="80">
        <v>142.04</v>
      </c>
      <c r="E11" s="81">
        <v>0.43117</v>
      </c>
      <c r="F11" s="81"/>
      <c r="G11" s="47"/>
      <c r="H11" s="47"/>
    </row>
    <row r="12" spans="1:8" ht="18.75" customHeight="1" x14ac:dyDescent="0.25">
      <c r="A12" s="45">
        <v>35</v>
      </c>
      <c r="B12" s="79">
        <v>9.9821000000000003E-4</v>
      </c>
      <c r="C12" s="80">
        <v>144.75</v>
      </c>
      <c r="D12" s="80">
        <v>162.72</v>
      </c>
      <c r="E12" s="81">
        <v>0.49880999999999998</v>
      </c>
      <c r="F12" s="81"/>
      <c r="G12" s="47"/>
      <c r="H12" s="47"/>
    </row>
    <row r="13" spans="1:8" ht="18.75" customHeight="1" x14ac:dyDescent="0.25">
      <c r="A13" s="45">
        <v>40</v>
      </c>
      <c r="B13" s="79">
        <v>1.00008E-3</v>
      </c>
      <c r="C13" s="80">
        <v>165.4</v>
      </c>
      <c r="D13" s="80">
        <v>183.4</v>
      </c>
      <c r="E13" s="81">
        <v>0.56538999999999995</v>
      </c>
      <c r="F13" s="81"/>
      <c r="G13" s="47"/>
      <c r="H13" s="47"/>
    </row>
    <row r="14" spans="1:8" ht="18.75" customHeight="1" x14ac:dyDescent="0.25">
      <c r="A14" s="45">
        <v>45</v>
      </c>
      <c r="B14" s="79">
        <v>1.00212E-3</v>
      </c>
      <c r="C14" s="80">
        <v>186.06</v>
      </c>
      <c r="D14" s="80">
        <v>204.1</v>
      </c>
      <c r="E14" s="81">
        <v>0.63095000000000001</v>
      </c>
      <c r="F14" s="81"/>
      <c r="G14" s="47"/>
      <c r="H14" s="47"/>
    </row>
    <row r="15" spans="1:8" ht="18.75" customHeight="1" x14ac:dyDescent="0.25">
      <c r="A15" s="45">
        <v>50</v>
      </c>
      <c r="B15" s="79">
        <v>1.00432E-3</v>
      </c>
      <c r="C15" s="80">
        <v>206.72</v>
      </c>
      <c r="D15" s="80">
        <v>224.8</v>
      </c>
      <c r="E15" s="81">
        <v>0.69552999999999998</v>
      </c>
      <c r="F15" s="81"/>
      <c r="G15" s="47"/>
      <c r="H15" s="47"/>
    </row>
    <row r="16" spans="1:8" ht="18.75" customHeight="1" x14ac:dyDescent="0.25">
      <c r="A16" s="45">
        <v>55</v>
      </c>
      <c r="B16" s="79">
        <v>1.00669E-3</v>
      </c>
      <c r="C16" s="80">
        <v>227.4</v>
      </c>
      <c r="D16" s="80">
        <v>245.52</v>
      </c>
      <c r="E16" s="81">
        <v>0.75914000000000004</v>
      </c>
      <c r="F16" s="81"/>
      <c r="G16" s="47"/>
      <c r="H16" s="47"/>
    </row>
    <row r="17" spans="1:8" ht="18.75" customHeight="1" x14ac:dyDescent="0.25">
      <c r="A17" s="45">
        <v>60</v>
      </c>
      <c r="B17" s="79">
        <v>1.0092199999999999E-3</v>
      </c>
      <c r="C17" s="80">
        <v>248.08</v>
      </c>
      <c r="D17" s="80">
        <v>266.25</v>
      </c>
      <c r="E17" s="81">
        <v>0.82184000000000001</v>
      </c>
      <c r="F17" s="81"/>
      <c r="G17" s="47"/>
      <c r="H17" s="47"/>
    </row>
    <row r="18" spans="1:8" ht="18.75" customHeight="1" x14ac:dyDescent="0.25">
      <c r="A18" s="45">
        <v>65</v>
      </c>
      <c r="B18" s="79">
        <v>1.0118900000000001E-3</v>
      </c>
      <c r="C18" s="80">
        <v>268.77999999999997</v>
      </c>
      <c r="D18" s="80">
        <v>286.99</v>
      </c>
      <c r="E18" s="81">
        <v>0.88363999999999998</v>
      </c>
      <c r="F18" s="81"/>
      <c r="G18" s="47"/>
      <c r="H18" s="47"/>
    </row>
    <row r="19" spans="1:8" ht="18.75" customHeight="1" x14ac:dyDescent="0.25">
      <c r="A19" s="45">
        <v>70</v>
      </c>
      <c r="B19" s="79">
        <v>1.01471E-3</v>
      </c>
      <c r="C19" s="80">
        <v>289.49</v>
      </c>
      <c r="D19" s="80">
        <v>307.75</v>
      </c>
      <c r="E19" s="81">
        <v>0.94457000000000002</v>
      </c>
      <c r="F19" s="81"/>
      <c r="G19" s="47"/>
      <c r="H19" s="47"/>
    </row>
    <row r="20" spans="1:8" ht="18.75" customHeight="1" x14ac:dyDescent="0.25">
      <c r="A20" s="45">
        <v>75</v>
      </c>
      <c r="B20" s="79">
        <v>1.01768E-3</v>
      </c>
      <c r="C20" s="80">
        <v>310.2</v>
      </c>
      <c r="D20" s="80">
        <v>328.52</v>
      </c>
      <c r="E20" s="82">
        <v>1.0046999999999999</v>
      </c>
      <c r="F20" s="82"/>
      <c r="G20" s="47"/>
      <c r="H20" s="47"/>
    </row>
    <row r="21" spans="1:8" ht="18.75" customHeight="1" x14ac:dyDescent="0.25">
      <c r="A21" s="45">
        <v>80</v>
      </c>
      <c r="B21" s="79">
        <v>1.0207899999999999E-3</v>
      </c>
      <c r="C21" s="80">
        <v>330.94</v>
      </c>
      <c r="D21" s="80">
        <v>349.31</v>
      </c>
      <c r="E21" s="82">
        <v>1.0640000000000001</v>
      </c>
      <c r="F21" s="82"/>
      <c r="G21" s="47"/>
      <c r="H21" s="47"/>
    </row>
    <row r="22" spans="1:8" ht="18.75" customHeight="1" x14ac:dyDescent="0.25">
      <c r="A22" s="45">
        <v>85</v>
      </c>
      <c r="B22" s="79">
        <v>1.02403E-3</v>
      </c>
      <c r="C22" s="80">
        <v>351.68</v>
      </c>
      <c r="D22" s="80">
        <v>370.11</v>
      </c>
      <c r="E22" s="82">
        <v>1.1225000000000001</v>
      </c>
      <c r="F22" s="82"/>
      <c r="G22" s="47"/>
      <c r="H22" s="47"/>
    </row>
    <row r="23" spans="1:8" ht="18.75" customHeight="1" x14ac:dyDescent="0.25">
      <c r="A23" s="45">
        <v>90</v>
      </c>
      <c r="B23" s="79">
        <v>1.02742E-3</v>
      </c>
      <c r="C23" s="80">
        <v>372.45</v>
      </c>
      <c r="D23" s="80">
        <v>390.94</v>
      </c>
      <c r="E23" s="82">
        <v>1.1801999999999999</v>
      </c>
      <c r="F23" s="82"/>
      <c r="G23" s="47"/>
      <c r="H23" s="47"/>
    </row>
    <row r="24" spans="1:8" ht="18.75" customHeight="1" x14ac:dyDescent="0.25">
      <c r="A24" s="45">
        <v>95</v>
      </c>
      <c r="B24" s="79">
        <v>1.0309500000000001E-3</v>
      </c>
      <c r="C24" s="80">
        <v>393.23</v>
      </c>
      <c r="D24" s="80">
        <v>411.79</v>
      </c>
      <c r="E24" s="82">
        <v>1.2372000000000001</v>
      </c>
      <c r="F24" s="82"/>
      <c r="G24" s="47"/>
      <c r="H24" s="47"/>
    </row>
    <row r="25" spans="1:8" ht="18.75" customHeight="1" x14ac:dyDescent="0.25">
      <c r="A25" s="45">
        <v>100</v>
      </c>
      <c r="B25" s="79">
        <v>1.03461E-3</v>
      </c>
      <c r="C25" s="80">
        <v>414.04</v>
      </c>
      <c r="D25" s="80">
        <v>432.66</v>
      </c>
      <c r="E25" s="82">
        <v>1.2935000000000001</v>
      </c>
      <c r="F25" s="82"/>
      <c r="G25" s="47"/>
      <c r="H25" s="47"/>
    </row>
    <row r="26" spans="1:8" ht="18.75" customHeight="1" x14ac:dyDescent="0.25">
      <c r="A26" s="45">
        <v>105</v>
      </c>
      <c r="B26" s="79">
        <v>1.03841E-3</v>
      </c>
      <c r="C26" s="80">
        <v>434.86</v>
      </c>
      <c r="D26" s="80">
        <v>453.55</v>
      </c>
      <c r="E26" s="82">
        <v>1.3492</v>
      </c>
      <c r="F26" s="82"/>
      <c r="G26" s="47"/>
      <c r="H26" s="47"/>
    </row>
    <row r="27" spans="1:8" ht="18.75" customHeight="1" x14ac:dyDescent="0.25">
      <c r="A27" s="45">
        <v>110</v>
      </c>
      <c r="B27" s="79">
        <v>1.04236E-3</v>
      </c>
      <c r="C27" s="80">
        <v>455.71</v>
      </c>
      <c r="D27" s="80">
        <v>474.47</v>
      </c>
      <c r="E27" s="82">
        <v>1.4040999999999999</v>
      </c>
      <c r="F27" s="82"/>
      <c r="G27" s="47"/>
      <c r="H27" s="47"/>
    </row>
    <row r="28" spans="1:8" ht="18.75" customHeight="1" x14ac:dyDescent="0.25">
      <c r="A28" s="45">
        <v>115</v>
      </c>
      <c r="B28" s="79">
        <v>1.04644E-3</v>
      </c>
      <c r="C28" s="80">
        <v>476.59</v>
      </c>
      <c r="D28" s="80">
        <v>495.43</v>
      </c>
      <c r="E28" s="82">
        <v>1.4584999999999999</v>
      </c>
      <c r="F28" s="82"/>
      <c r="G28" s="47"/>
      <c r="H28" s="47"/>
    </row>
    <row r="29" spans="1:8" ht="18.75" customHeight="1" x14ac:dyDescent="0.25">
      <c r="A29" s="45">
        <v>120</v>
      </c>
      <c r="B29" s="79">
        <v>1.0506700000000001E-3</v>
      </c>
      <c r="C29" s="80">
        <v>497.5</v>
      </c>
      <c r="D29" s="80">
        <v>516.41</v>
      </c>
      <c r="E29" s="82">
        <v>1.5122</v>
      </c>
      <c r="F29" s="82"/>
      <c r="G29" s="47"/>
      <c r="H29" s="47"/>
    </row>
    <row r="30" spans="1:8" ht="18.75" customHeight="1" x14ac:dyDescent="0.25">
      <c r="A30" s="45">
        <v>125</v>
      </c>
      <c r="B30" s="79">
        <v>1.0550399999999999E-3</v>
      </c>
      <c r="C30" s="80">
        <v>518.44000000000005</v>
      </c>
      <c r="D30" s="80">
        <v>537.42999999999995</v>
      </c>
      <c r="E30" s="82">
        <v>1.5652999999999999</v>
      </c>
      <c r="F30" s="82"/>
      <c r="G30" s="47"/>
      <c r="H30" s="47"/>
    </row>
    <row r="31" spans="1:8" ht="18.75" customHeight="1" x14ac:dyDescent="0.25">
      <c r="A31" s="45">
        <v>130</v>
      </c>
      <c r="B31" s="79">
        <v>1.05956E-3</v>
      </c>
      <c r="C31" s="80">
        <v>539.41999999999996</v>
      </c>
      <c r="D31" s="80">
        <v>558.49</v>
      </c>
      <c r="E31" s="82">
        <v>1.6178999999999999</v>
      </c>
      <c r="F31" s="82"/>
      <c r="G31" s="47"/>
      <c r="H31" s="47"/>
    </row>
    <row r="32" spans="1:8" ht="18.75" customHeight="1" x14ac:dyDescent="0.25">
      <c r="A32" s="45">
        <v>135</v>
      </c>
      <c r="B32" s="79">
        <v>1.06423E-3</v>
      </c>
      <c r="C32" s="80">
        <v>560.42999999999995</v>
      </c>
      <c r="D32" s="80">
        <v>579.59</v>
      </c>
      <c r="E32" s="82">
        <v>1.6698999999999999</v>
      </c>
      <c r="F32" s="82"/>
      <c r="G32" s="47"/>
      <c r="H32" s="47"/>
    </row>
    <row r="33" spans="1:8" ht="18.75" customHeight="1" x14ac:dyDescent="0.25">
      <c r="A33" s="45">
        <v>140</v>
      </c>
      <c r="B33" s="79">
        <v>1.06905E-3</v>
      </c>
      <c r="C33" s="80">
        <v>581.5</v>
      </c>
      <c r="D33" s="80">
        <v>600.74</v>
      </c>
      <c r="E33" s="82">
        <v>1.7214</v>
      </c>
      <c r="F33" s="82"/>
      <c r="G33" s="47"/>
      <c r="H33" s="47"/>
    </row>
    <row r="34" spans="1:8" ht="18.75" customHeight="1" x14ac:dyDescent="0.25">
      <c r="A34" s="45">
        <v>145</v>
      </c>
      <c r="B34" s="79">
        <v>1.0740299999999999E-3</v>
      </c>
      <c r="C34" s="80">
        <v>602.6</v>
      </c>
      <c r="D34" s="80">
        <v>621.92999999999995</v>
      </c>
      <c r="E34" s="82">
        <v>1.7724</v>
      </c>
      <c r="F34" s="82"/>
      <c r="G34" s="47"/>
      <c r="H34" s="47"/>
    </row>
    <row r="35" spans="1:8" ht="18.75" customHeight="1" x14ac:dyDescent="0.25">
      <c r="A35" s="45">
        <v>150</v>
      </c>
      <c r="B35" s="79">
        <v>1.0791799999999999E-3</v>
      </c>
      <c r="C35" s="80">
        <v>623.74</v>
      </c>
      <c r="D35" s="80">
        <v>643.16999999999996</v>
      </c>
      <c r="E35" s="82">
        <v>1.8229</v>
      </c>
      <c r="F35" s="82"/>
      <c r="G35" s="47"/>
      <c r="H35" s="47"/>
    </row>
    <row r="36" spans="1:8" ht="18.75" customHeight="1" x14ac:dyDescent="0.25">
      <c r="A36" s="45">
        <v>155</v>
      </c>
      <c r="B36" s="79">
        <v>1.0844800000000001E-3</v>
      </c>
      <c r="C36" s="80">
        <v>644.95000000000005</v>
      </c>
      <c r="D36" s="80">
        <v>664.47</v>
      </c>
      <c r="E36" s="82">
        <v>1.8729</v>
      </c>
      <c r="F36" s="82"/>
      <c r="G36" s="47"/>
      <c r="H36" s="47"/>
    </row>
    <row r="37" spans="1:8" ht="18.75" customHeight="1" x14ac:dyDescent="0.25">
      <c r="A37" s="45">
        <v>160</v>
      </c>
      <c r="B37" s="79">
        <v>1.0899600000000001E-3</v>
      </c>
      <c r="C37" s="80">
        <v>666.21</v>
      </c>
      <c r="D37" s="80">
        <v>685.83</v>
      </c>
      <c r="E37" s="82">
        <v>1.9225000000000001</v>
      </c>
      <c r="F37" s="82"/>
      <c r="G37" s="47"/>
      <c r="H37" s="47"/>
    </row>
    <row r="38" spans="1:8" ht="18.75" customHeight="1" x14ac:dyDescent="0.25">
      <c r="A38" s="45">
        <v>165</v>
      </c>
      <c r="B38" s="79">
        <v>1.0956200000000001E-3</v>
      </c>
      <c r="C38" s="80">
        <v>687.53</v>
      </c>
      <c r="D38" s="80">
        <v>707.25</v>
      </c>
      <c r="E38" s="82">
        <v>1.9717</v>
      </c>
      <c r="F38" s="82"/>
      <c r="G38" s="47"/>
      <c r="H38" s="47"/>
    </row>
    <row r="39" spans="1:8" ht="18.75" customHeight="1" x14ac:dyDescent="0.25">
      <c r="A39" s="45">
        <v>170</v>
      </c>
      <c r="B39" s="79">
        <v>1.1014600000000001E-3</v>
      </c>
      <c r="C39" s="80">
        <v>708.91</v>
      </c>
      <c r="D39" s="80">
        <v>728.74</v>
      </c>
      <c r="E39" s="82">
        <v>2.0204</v>
      </c>
      <c r="F39" s="82"/>
      <c r="G39" s="47"/>
      <c r="H39" s="47"/>
    </row>
    <row r="40" spans="1:8" ht="18.75" customHeight="1" x14ac:dyDescent="0.25">
      <c r="A40" s="45">
        <v>175</v>
      </c>
      <c r="B40" s="79">
        <v>1.10749E-3</v>
      </c>
      <c r="C40" s="80">
        <v>730.37</v>
      </c>
      <c r="D40" s="80">
        <v>750.3</v>
      </c>
      <c r="E40" s="82">
        <v>2.0688</v>
      </c>
      <c r="F40" s="82"/>
      <c r="G40" s="47"/>
      <c r="H40" s="47"/>
    </row>
    <row r="41" spans="1:8" ht="18.75" customHeight="1" x14ac:dyDescent="0.25">
      <c r="A41" s="45">
        <v>180</v>
      </c>
      <c r="B41" s="79">
        <v>1.11371E-3</v>
      </c>
      <c r="C41" s="80">
        <v>751.88</v>
      </c>
      <c r="D41" s="80">
        <v>771.93</v>
      </c>
      <c r="E41" s="82">
        <v>2.1168</v>
      </c>
      <c r="F41" s="82"/>
      <c r="G41" s="47"/>
      <c r="H41" s="47"/>
    </row>
    <row r="42" spans="1:8" ht="18.75" customHeight="1" x14ac:dyDescent="0.25">
      <c r="A42" s="45">
        <v>185</v>
      </c>
      <c r="B42" s="79">
        <v>1.1201500000000001E-3</v>
      </c>
      <c r="C42" s="80">
        <v>773.49</v>
      </c>
      <c r="D42" s="80">
        <v>793.65</v>
      </c>
      <c r="E42" s="82">
        <v>2.1644999999999999</v>
      </c>
      <c r="F42" s="82"/>
      <c r="G42" s="47"/>
      <c r="H42" s="47"/>
    </row>
    <row r="43" spans="1:8" ht="18.75" customHeight="1" x14ac:dyDescent="0.25">
      <c r="A43" s="45">
        <v>190</v>
      </c>
      <c r="B43" s="79">
        <v>1.1268000000000001E-3</v>
      </c>
      <c r="C43" s="80">
        <v>795.18</v>
      </c>
      <c r="D43" s="80">
        <v>815.46</v>
      </c>
      <c r="E43" s="82">
        <v>2.2118000000000002</v>
      </c>
      <c r="F43" s="82"/>
      <c r="G43" s="47"/>
      <c r="H43" s="47"/>
    </row>
    <row r="44" spans="1:8" ht="18.75" customHeight="1" x14ac:dyDescent="0.25">
      <c r="A44" s="45">
        <v>195</v>
      </c>
      <c r="B44" s="79">
        <v>1.13367E-3</v>
      </c>
      <c r="C44" s="80">
        <v>816.94</v>
      </c>
      <c r="D44" s="80">
        <v>837.35</v>
      </c>
      <c r="E44" s="82">
        <v>2.2587999999999999</v>
      </c>
      <c r="F44" s="82"/>
      <c r="G44" s="47"/>
      <c r="H44" s="47"/>
    </row>
    <row r="45" spans="1:8" ht="18.75" customHeight="1" x14ac:dyDescent="0.25">
      <c r="A45" s="45">
        <v>200</v>
      </c>
      <c r="B45" s="79">
        <v>1.1407800000000001E-3</v>
      </c>
      <c r="C45" s="80">
        <v>838.82</v>
      </c>
      <c r="D45" s="80">
        <v>859.35</v>
      </c>
      <c r="E45" s="82">
        <v>2.3056000000000001</v>
      </c>
      <c r="F45" s="82"/>
      <c r="G45" s="47"/>
      <c r="H45" s="47"/>
    </row>
    <row r="46" spans="1:8" ht="18.75" customHeight="1" x14ac:dyDescent="0.25">
      <c r="A46" s="45">
        <v>210</v>
      </c>
      <c r="B46" s="79">
        <v>1.15577E-3</v>
      </c>
      <c r="C46" s="80">
        <v>882.86</v>
      </c>
      <c r="D46" s="80">
        <v>903.66</v>
      </c>
      <c r="E46" s="82">
        <v>2.3982999999999999</v>
      </c>
      <c r="F46" s="82"/>
      <c r="G46" s="47"/>
      <c r="H46" s="47"/>
    </row>
    <row r="47" spans="1:8" ht="18.75" customHeight="1" x14ac:dyDescent="0.25">
      <c r="A47" s="45">
        <v>220</v>
      </c>
      <c r="B47" s="79">
        <v>1.17186E-3</v>
      </c>
      <c r="C47" s="80">
        <v>927.37</v>
      </c>
      <c r="D47" s="80">
        <v>948.46</v>
      </c>
      <c r="E47" s="82">
        <v>2.4900000000000002</v>
      </c>
      <c r="F47" s="82"/>
      <c r="G47" s="47"/>
      <c r="H47" s="47"/>
    </row>
    <row r="48" spans="1:8" ht="18.75" customHeight="1" x14ac:dyDescent="0.25">
      <c r="A48" s="45">
        <v>230</v>
      </c>
      <c r="B48" s="79">
        <v>1.18921E-3</v>
      </c>
      <c r="C48" s="80">
        <v>972.38</v>
      </c>
      <c r="D48" s="80">
        <v>993.79</v>
      </c>
      <c r="E48" s="82">
        <v>2.581</v>
      </c>
      <c r="F48" s="82"/>
      <c r="G48" s="47"/>
      <c r="H48" s="47"/>
    </row>
    <row r="49" spans="1:8" ht="18.75" customHeight="1" x14ac:dyDescent="0.25">
      <c r="A49" s="45">
        <v>240</v>
      </c>
      <c r="B49" s="79">
        <v>1.2079700000000001E-3</v>
      </c>
      <c r="C49" s="83">
        <v>1018</v>
      </c>
      <c r="D49" s="83">
        <v>1039.7</v>
      </c>
      <c r="E49" s="82">
        <v>2.6715</v>
      </c>
      <c r="F49" s="82"/>
      <c r="G49" s="47"/>
      <c r="H49" s="47"/>
    </row>
    <row r="50" spans="1:8" ht="18.75" customHeight="1" x14ac:dyDescent="0.25">
      <c r="A50" s="45">
        <v>250</v>
      </c>
      <c r="B50" s="79">
        <v>1.22836E-3</v>
      </c>
      <c r="C50" s="83">
        <v>1064.3</v>
      </c>
      <c r="D50" s="83">
        <v>1086.4000000000001</v>
      </c>
      <c r="E50" s="82">
        <v>2.7614999999999998</v>
      </c>
      <c r="F50" s="82"/>
      <c r="G50" s="47"/>
      <c r="H50" s="47"/>
    </row>
    <row r="51" spans="1:8" ht="18.75" customHeight="1" x14ac:dyDescent="0.25">
      <c r="A51" s="45">
        <v>260</v>
      </c>
      <c r="B51" s="79">
        <v>1.2506500000000001E-3</v>
      </c>
      <c r="C51" s="83">
        <v>1111.4000000000001</v>
      </c>
      <c r="D51" s="83">
        <v>1133.9000000000001</v>
      </c>
      <c r="E51" s="82">
        <v>2.8515000000000001</v>
      </c>
      <c r="F51" s="82"/>
      <c r="G51" s="47"/>
      <c r="H51" s="47"/>
    </row>
    <row r="52" spans="1:8" ht="18.75" customHeight="1" x14ac:dyDescent="0.25">
      <c r="A52" s="45">
        <v>270</v>
      </c>
      <c r="B52" s="79">
        <v>1.2751800000000001E-3</v>
      </c>
      <c r="C52" s="83">
        <v>1159.4000000000001</v>
      </c>
      <c r="D52" s="83">
        <v>1182.4000000000001</v>
      </c>
      <c r="E52" s="82">
        <v>2.9416000000000002</v>
      </c>
      <c r="F52" s="82"/>
      <c r="G52" s="47"/>
      <c r="H52" s="47"/>
    </row>
    <row r="53" spans="1:8" ht="18.75" customHeight="1" x14ac:dyDescent="0.25">
      <c r="A53" s="45">
        <v>280</v>
      </c>
      <c r="B53" s="79">
        <v>1.3024099999999999E-3</v>
      </c>
      <c r="C53" s="83">
        <v>1208.5999999999999</v>
      </c>
      <c r="D53" s="83">
        <v>1232</v>
      </c>
      <c r="E53" s="82">
        <v>3.0320999999999998</v>
      </c>
      <c r="F53" s="82"/>
      <c r="G53" s="47"/>
      <c r="H53" s="47"/>
    </row>
    <row r="54" spans="1:8" ht="18.75" customHeight="1" x14ac:dyDescent="0.25">
      <c r="A54" s="45">
        <v>290</v>
      </c>
      <c r="B54" s="79">
        <v>1.33296E-3</v>
      </c>
      <c r="C54" s="83">
        <v>1259.0999999999999</v>
      </c>
      <c r="D54" s="83">
        <v>1283.0999999999999</v>
      </c>
      <c r="E54" s="82">
        <v>3.1236000000000002</v>
      </c>
      <c r="F54" s="82"/>
      <c r="G54" s="47"/>
      <c r="H54" s="47"/>
    </row>
    <row r="55" spans="1:8" ht="18.75" customHeight="1" x14ac:dyDescent="0.25">
      <c r="A55" s="45">
        <v>300</v>
      </c>
      <c r="B55" s="79">
        <v>1.36769E-3</v>
      </c>
      <c r="C55" s="83">
        <v>1311.2</v>
      </c>
      <c r="D55" s="83">
        <v>1335.8</v>
      </c>
      <c r="E55" s="82">
        <v>3.2164000000000001</v>
      </c>
      <c r="F55" s="82"/>
      <c r="G55" s="47"/>
      <c r="H55" s="47"/>
    </row>
    <row r="56" spans="1:8" ht="18.75" customHeight="1" x14ac:dyDescent="0.25">
      <c r="A56" s="45">
        <v>310</v>
      </c>
      <c r="B56" s="79">
        <v>1.40789E-3</v>
      </c>
      <c r="C56" s="83">
        <v>1365.5</v>
      </c>
      <c r="D56" s="83">
        <v>1390.8</v>
      </c>
      <c r="E56" s="82">
        <v>3.3113999999999999</v>
      </c>
      <c r="F56" s="82"/>
      <c r="G56" s="47"/>
      <c r="H56" s="47"/>
    </row>
    <row r="57" spans="1:8" ht="18.75" customHeight="1" x14ac:dyDescent="0.25">
      <c r="A57" s="45">
        <v>320</v>
      </c>
      <c r="B57" s="79">
        <v>1.4555799999999999E-3</v>
      </c>
      <c r="C57" s="83">
        <v>1422.4</v>
      </c>
      <c r="D57" s="83">
        <v>1448.6</v>
      </c>
      <c r="E57" s="82">
        <v>3.4098000000000002</v>
      </c>
      <c r="F57" s="82"/>
      <c r="G57" s="47"/>
      <c r="H57" s="47"/>
    </row>
    <row r="58" spans="1:8" ht="18.75" customHeight="1" x14ac:dyDescent="0.25">
      <c r="A58" s="45">
        <v>330</v>
      </c>
      <c r="B58" s="79">
        <v>1.5142599999999999E-3</v>
      </c>
      <c r="C58" s="83">
        <v>1483.3</v>
      </c>
      <c r="D58" s="83">
        <v>1510.6</v>
      </c>
      <c r="E58" s="82">
        <v>3.5133000000000001</v>
      </c>
      <c r="F58" s="82"/>
      <c r="G58" s="47"/>
      <c r="H58" s="47"/>
    </row>
    <row r="59" spans="1:8" ht="18.75" customHeight="1" x14ac:dyDescent="0.25">
      <c r="A59" s="45">
        <v>340</v>
      </c>
      <c r="B59" s="79">
        <v>1.59081E-3</v>
      </c>
      <c r="C59" s="83">
        <v>1550.2</v>
      </c>
      <c r="D59" s="83">
        <v>1578.8</v>
      </c>
      <c r="E59" s="82">
        <v>3.6255000000000002</v>
      </c>
      <c r="F59" s="82"/>
      <c r="G59" s="47"/>
      <c r="H59" s="47"/>
    </row>
    <row r="60" spans="1:8" ht="18.75" customHeight="1" x14ac:dyDescent="0.25">
      <c r="A60" s="45">
        <v>350</v>
      </c>
      <c r="B60" s="79">
        <v>1.702E-3</v>
      </c>
      <c r="C60" s="83">
        <v>1628.1</v>
      </c>
      <c r="D60" s="83">
        <v>1658.7</v>
      </c>
      <c r="E60" s="82">
        <v>3.7547000000000001</v>
      </c>
      <c r="F60" s="82"/>
      <c r="G60" s="47"/>
      <c r="H60" s="47"/>
    </row>
    <row r="61" spans="1:8" ht="18.75" customHeight="1" x14ac:dyDescent="0.25">
      <c r="A61" s="45">
        <v>360</v>
      </c>
      <c r="B61" s="79">
        <v>8.1112000000000007E-3</v>
      </c>
      <c r="C61" s="83">
        <v>2420.1</v>
      </c>
      <c r="D61" s="83">
        <v>2566.1</v>
      </c>
      <c r="E61" s="82">
        <v>5.1951999999999998</v>
      </c>
      <c r="F61" s="82"/>
      <c r="G61" s="47"/>
      <c r="H61" s="47"/>
    </row>
    <row r="62" spans="1:8" ht="18.75" customHeight="1" x14ac:dyDescent="0.25">
      <c r="A62" s="45">
        <v>370</v>
      </c>
      <c r="B62" s="79">
        <v>9.4535000000000001E-3</v>
      </c>
      <c r="C62" s="83">
        <v>2513.6999999999998</v>
      </c>
      <c r="D62" s="83">
        <v>2683.9</v>
      </c>
      <c r="E62" s="82">
        <v>5.3799000000000001</v>
      </c>
      <c r="F62" s="82"/>
      <c r="G62" s="47"/>
      <c r="H62" s="47"/>
    </row>
    <row r="63" spans="1:8" ht="18.75" customHeight="1" x14ac:dyDescent="0.25">
      <c r="A63" s="45">
        <v>380</v>
      </c>
      <c r="B63" s="85">
        <v>1.0418999999999999E-2</v>
      </c>
      <c r="C63" s="83">
        <v>2577.4</v>
      </c>
      <c r="D63" s="83">
        <v>2764.9</v>
      </c>
      <c r="E63" s="82">
        <v>5.5049999999999999</v>
      </c>
      <c r="F63" s="82"/>
      <c r="G63" s="47"/>
      <c r="H63" s="47"/>
    </row>
    <row r="64" spans="1:8" ht="18.75" customHeight="1" x14ac:dyDescent="0.25">
      <c r="A64" s="45">
        <v>390</v>
      </c>
      <c r="B64" s="85">
        <v>1.1218000000000001E-2</v>
      </c>
      <c r="C64" s="83">
        <v>2628.4</v>
      </c>
      <c r="D64" s="83">
        <v>2830.3</v>
      </c>
      <c r="E64" s="82">
        <v>5.6041999999999996</v>
      </c>
      <c r="F64" s="82"/>
      <c r="G64" s="47"/>
      <c r="H64" s="47"/>
    </row>
    <row r="65" spans="1:8" ht="18.75" customHeight="1" x14ac:dyDescent="0.25">
      <c r="A65" s="45">
        <v>400</v>
      </c>
      <c r="B65" s="85">
        <v>1.1916E-2</v>
      </c>
      <c r="C65" s="83">
        <v>2671.9</v>
      </c>
      <c r="D65" s="83">
        <v>2886.4</v>
      </c>
      <c r="E65" s="82">
        <v>5.6882999999999999</v>
      </c>
      <c r="F65" s="82"/>
      <c r="G65" s="47"/>
      <c r="H65" s="47"/>
    </row>
    <row r="66" spans="1:8" ht="18.75" customHeight="1" x14ac:dyDescent="0.25">
      <c r="A66" s="45">
        <v>410</v>
      </c>
      <c r="B66" s="85">
        <v>1.2545000000000001E-2</v>
      </c>
      <c r="C66" s="83">
        <v>2710.6</v>
      </c>
      <c r="D66" s="83">
        <v>2936.4</v>
      </c>
      <c r="E66" s="82">
        <v>5.7619999999999996</v>
      </c>
      <c r="F66" s="82"/>
      <c r="G66" s="47"/>
      <c r="H66" s="47"/>
    </row>
    <row r="67" spans="1:8" ht="18.75" customHeight="1" x14ac:dyDescent="0.25">
      <c r="A67" s="45">
        <v>420</v>
      </c>
      <c r="B67" s="85">
        <v>1.3122999999999999E-2</v>
      </c>
      <c r="C67" s="83">
        <v>2745.8</v>
      </c>
      <c r="D67" s="83">
        <v>2982</v>
      </c>
      <c r="E67" s="82">
        <v>5.8282999999999996</v>
      </c>
      <c r="F67" s="82"/>
      <c r="G67" s="47"/>
      <c r="H67" s="47"/>
    </row>
    <row r="68" spans="1:8" ht="18.75" customHeight="1" x14ac:dyDescent="0.25">
      <c r="A68" s="45">
        <v>430</v>
      </c>
      <c r="B68" s="85">
        <v>1.3663E-2</v>
      </c>
      <c r="C68" s="83">
        <v>2778.5</v>
      </c>
      <c r="D68" s="83">
        <v>3024.4</v>
      </c>
      <c r="E68" s="82">
        <v>5.8890000000000002</v>
      </c>
      <c r="F68" s="82"/>
      <c r="G68" s="47"/>
      <c r="H68" s="47"/>
    </row>
    <row r="69" spans="1:8" ht="18.75" customHeight="1" x14ac:dyDescent="0.25">
      <c r="A69" s="45">
        <v>440</v>
      </c>
      <c r="B69" s="85">
        <v>1.4171E-2</v>
      </c>
      <c r="C69" s="83">
        <v>2809</v>
      </c>
      <c r="D69" s="83">
        <v>3064.1</v>
      </c>
      <c r="E69" s="82">
        <v>5.9451000000000001</v>
      </c>
      <c r="F69" s="82"/>
      <c r="G69" s="47"/>
      <c r="H69" s="47"/>
    </row>
    <row r="70" spans="1:8" ht="18.75" customHeight="1" x14ac:dyDescent="0.25">
      <c r="A70" s="45">
        <v>450</v>
      </c>
      <c r="B70" s="85">
        <v>1.4654E-2</v>
      </c>
      <c r="C70" s="83">
        <v>2838</v>
      </c>
      <c r="D70" s="83">
        <v>3101.8</v>
      </c>
      <c r="E70" s="82">
        <v>5.9974999999999996</v>
      </c>
      <c r="F70" s="82"/>
      <c r="G70" s="47"/>
      <c r="H70" s="47"/>
    </row>
    <row r="71" spans="1:8" ht="18.75" customHeight="1" x14ac:dyDescent="0.25">
      <c r="A71" s="45">
        <v>460</v>
      </c>
      <c r="B71" s="85">
        <v>1.5117E-2</v>
      </c>
      <c r="C71" s="83">
        <v>2865.6</v>
      </c>
      <c r="D71" s="83">
        <v>3137.7</v>
      </c>
      <c r="E71" s="82">
        <v>6.0468999999999999</v>
      </c>
      <c r="F71" s="82"/>
      <c r="G71" s="47"/>
      <c r="H71" s="47"/>
    </row>
    <row r="72" spans="1:8" ht="18.75" customHeight="1" x14ac:dyDescent="0.25">
      <c r="A72" s="45">
        <v>470</v>
      </c>
      <c r="B72" s="85">
        <v>1.5561E-2</v>
      </c>
      <c r="C72" s="83">
        <v>2892.2</v>
      </c>
      <c r="D72" s="83">
        <v>3172.3</v>
      </c>
      <c r="E72" s="82">
        <v>6.0937999999999999</v>
      </c>
      <c r="F72" s="82"/>
      <c r="G72" s="47"/>
      <c r="H72" s="47"/>
    </row>
    <row r="73" spans="1:8" ht="18.75" customHeight="1" x14ac:dyDescent="0.25">
      <c r="A73" s="45">
        <v>480</v>
      </c>
      <c r="B73" s="85">
        <v>1.5990000000000001E-2</v>
      </c>
      <c r="C73" s="83">
        <v>2917.9</v>
      </c>
      <c r="D73" s="83">
        <v>3205.7</v>
      </c>
      <c r="E73" s="82">
        <v>6.1383999999999999</v>
      </c>
      <c r="F73" s="82"/>
      <c r="G73" s="47"/>
      <c r="H73" s="47"/>
    </row>
    <row r="74" spans="1:8" ht="18.75" customHeight="1" x14ac:dyDescent="0.25">
      <c r="A74" s="45">
        <v>490</v>
      </c>
      <c r="B74" s="85">
        <v>1.6406E-2</v>
      </c>
      <c r="C74" s="83">
        <v>2942.8</v>
      </c>
      <c r="D74" s="83">
        <v>3238.1</v>
      </c>
      <c r="E74" s="82">
        <v>6.1811999999999996</v>
      </c>
      <c r="F74" s="82"/>
      <c r="G74" s="47"/>
      <c r="H74" s="47"/>
    </row>
    <row r="75" spans="1:8" ht="18.75" customHeight="1" x14ac:dyDescent="0.25">
      <c r="A75" s="45">
        <v>500</v>
      </c>
      <c r="B75" s="85">
        <v>1.6809999999999999E-2</v>
      </c>
      <c r="C75" s="83">
        <v>2967.1</v>
      </c>
      <c r="D75" s="83">
        <v>3269.7</v>
      </c>
      <c r="E75" s="82">
        <v>6.2222999999999997</v>
      </c>
      <c r="F75" s="82"/>
      <c r="G75" s="47"/>
      <c r="H75" s="47"/>
    </row>
    <row r="76" spans="1:8" ht="18.75" customHeight="1" x14ac:dyDescent="0.25">
      <c r="A76" s="45">
        <v>520</v>
      </c>
      <c r="B76" s="85">
        <v>1.7589E-2</v>
      </c>
      <c r="C76" s="83">
        <v>3014.1</v>
      </c>
      <c r="D76" s="83">
        <v>3330.7</v>
      </c>
      <c r="E76" s="82">
        <v>6.3002000000000002</v>
      </c>
      <c r="F76" s="82"/>
      <c r="G76" s="47"/>
      <c r="H76" s="47"/>
    </row>
    <row r="77" spans="1:8" ht="18.75" customHeight="1" x14ac:dyDescent="0.25">
      <c r="A77" s="45">
        <v>540</v>
      </c>
      <c r="B77" s="85">
        <v>1.8335000000000001E-2</v>
      </c>
      <c r="C77" s="83">
        <v>3059.5</v>
      </c>
      <c r="D77" s="83">
        <v>3389.5</v>
      </c>
      <c r="E77" s="82">
        <v>6.3734000000000002</v>
      </c>
      <c r="F77" s="82"/>
      <c r="G77" s="47"/>
      <c r="H77" s="47"/>
    </row>
    <row r="78" spans="1:8" ht="18.75" customHeight="1" x14ac:dyDescent="0.25">
      <c r="A78" s="45">
        <v>560</v>
      </c>
      <c r="B78" s="85">
        <v>1.9054000000000001E-2</v>
      </c>
      <c r="C78" s="83">
        <v>3103.5</v>
      </c>
      <c r="D78" s="83">
        <v>3446.5</v>
      </c>
      <c r="E78" s="82">
        <v>6.4427000000000003</v>
      </c>
      <c r="F78" s="82"/>
      <c r="G78" s="47"/>
      <c r="H78" s="47"/>
    </row>
    <row r="79" spans="1:8" ht="18.75" customHeight="1" x14ac:dyDescent="0.25">
      <c r="A79" s="45">
        <v>580</v>
      </c>
      <c r="B79" s="85">
        <v>1.9751999999999999E-2</v>
      </c>
      <c r="C79" s="83">
        <v>3146.7</v>
      </c>
      <c r="D79" s="83">
        <v>3502.2</v>
      </c>
      <c r="E79" s="82">
        <v>6.5087000000000002</v>
      </c>
      <c r="F79" s="82"/>
      <c r="G79" s="47"/>
      <c r="H79" s="47"/>
    </row>
    <row r="80" spans="1:8" ht="18.75" customHeight="1" x14ac:dyDescent="0.25">
      <c r="A80" s="45">
        <v>600</v>
      </c>
      <c r="B80" s="85">
        <v>2.0431000000000001E-2</v>
      </c>
      <c r="C80" s="83">
        <v>3189</v>
      </c>
      <c r="D80" s="83">
        <v>3556.8</v>
      </c>
      <c r="E80" s="82">
        <v>6.5720000000000001</v>
      </c>
      <c r="F80" s="82"/>
      <c r="G80" s="47"/>
      <c r="H80" s="47"/>
    </row>
    <row r="81" spans="1:8" ht="18.75" customHeight="1" x14ac:dyDescent="0.25">
      <c r="A81" s="45">
        <v>620</v>
      </c>
      <c r="B81" s="85">
        <v>2.1094000000000002E-2</v>
      </c>
      <c r="C81" s="83">
        <v>3230.9</v>
      </c>
      <c r="D81" s="83">
        <v>3610.6</v>
      </c>
      <c r="E81" s="82">
        <v>6.6329000000000002</v>
      </c>
      <c r="F81" s="82"/>
      <c r="G81" s="47"/>
      <c r="H81" s="47"/>
    </row>
    <row r="82" spans="1:8" ht="18.75" customHeight="1" x14ac:dyDescent="0.25">
      <c r="A82" s="45">
        <v>640</v>
      </c>
      <c r="B82" s="85">
        <v>2.1743999999999999E-2</v>
      </c>
      <c r="C82" s="83">
        <v>3272.4</v>
      </c>
      <c r="D82" s="83">
        <v>3663.8</v>
      </c>
      <c r="E82" s="82">
        <v>6.6917999999999997</v>
      </c>
      <c r="F82" s="82"/>
      <c r="G82" s="47"/>
      <c r="H82" s="47"/>
    </row>
    <row r="83" spans="1:8" ht="18.75" customHeight="1" x14ac:dyDescent="0.25">
      <c r="A83" s="45">
        <v>660</v>
      </c>
      <c r="B83" s="85">
        <v>2.2381999999999999E-2</v>
      </c>
      <c r="C83" s="83">
        <v>3313.4</v>
      </c>
      <c r="D83" s="83">
        <v>3716.3</v>
      </c>
      <c r="E83" s="82">
        <v>6.7487000000000004</v>
      </c>
      <c r="F83" s="82"/>
      <c r="G83" s="47"/>
      <c r="H83" s="47"/>
    </row>
    <row r="84" spans="1:8" ht="18.75" customHeight="1" x14ac:dyDescent="0.25">
      <c r="A84" s="45">
        <v>680</v>
      </c>
      <c r="B84" s="85">
        <v>2.3009999999999999E-2</v>
      </c>
      <c r="C84" s="83">
        <v>3354.3</v>
      </c>
      <c r="D84" s="83">
        <v>3768.5</v>
      </c>
      <c r="E84" s="82">
        <v>6.8041</v>
      </c>
      <c r="F84" s="82"/>
      <c r="G84" s="47"/>
      <c r="H84" s="47"/>
    </row>
    <row r="85" spans="1:8" ht="18.75" customHeight="1" x14ac:dyDescent="0.25">
      <c r="A85" s="45">
        <v>700</v>
      </c>
      <c r="B85" s="85">
        <v>2.3629000000000001E-2</v>
      </c>
      <c r="C85" s="83">
        <v>3395.1</v>
      </c>
      <c r="D85" s="83">
        <v>3820.4</v>
      </c>
      <c r="E85" s="82">
        <v>6.8578999999999999</v>
      </c>
      <c r="F85" s="82"/>
      <c r="G85" s="47"/>
      <c r="H85" s="47"/>
    </row>
    <row r="86" spans="1:8" ht="18.75" customHeight="1" x14ac:dyDescent="0.25">
      <c r="A86" s="45">
        <v>720</v>
      </c>
      <c r="B86" s="85">
        <v>2.4240000000000001E-2</v>
      </c>
      <c r="C86" s="83">
        <v>3435.7</v>
      </c>
      <c r="D86" s="83">
        <v>3872</v>
      </c>
      <c r="E86" s="82">
        <v>6.9104000000000001</v>
      </c>
      <c r="F86" s="82"/>
      <c r="G86" s="47"/>
      <c r="H86" s="47"/>
    </row>
    <row r="87" spans="1:8" ht="18.75" customHeight="1" x14ac:dyDescent="0.25">
      <c r="A87" s="45">
        <v>740</v>
      </c>
      <c r="B87" s="85">
        <v>2.4844000000000001E-2</v>
      </c>
      <c r="C87" s="83">
        <v>3476.2</v>
      </c>
      <c r="D87" s="83">
        <v>3923.4</v>
      </c>
      <c r="E87" s="82">
        <v>6.9615999999999998</v>
      </c>
      <c r="F87" s="82"/>
      <c r="G87" s="47"/>
      <c r="H87" s="47"/>
    </row>
    <row r="88" spans="1:8" ht="18.75" customHeight="1" x14ac:dyDescent="0.25">
      <c r="A88" s="45">
        <v>760</v>
      </c>
      <c r="B88" s="85">
        <v>2.5440999999999998E-2</v>
      </c>
      <c r="C88" s="83">
        <v>3516.7</v>
      </c>
      <c r="D88" s="83">
        <v>3974.6</v>
      </c>
      <c r="E88" s="82">
        <v>7.0117000000000003</v>
      </c>
      <c r="F88" s="82"/>
      <c r="G88" s="47"/>
      <c r="H88" s="47"/>
    </row>
    <row r="89" spans="1:8" ht="18.75" customHeight="1" x14ac:dyDescent="0.25">
      <c r="A89" s="45">
        <v>780</v>
      </c>
      <c r="B89" s="85">
        <v>2.6033000000000001E-2</v>
      </c>
      <c r="C89" s="83">
        <v>3557.2</v>
      </c>
      <c r="D89" s="83">
        <v>4025.8</v>
      </c>
      <c r="E89" s="82">
        <v>7.0608000000000004</v>
      </c>
      <c r="F89" s="82"/>
      <c r="G89" s="47"/>
      <c r="H89" s="47"/>
    </row>
    <row r="90" spans="1:8" ht="18.75" customHeight="1" x14ac:dyDescent="0.25">
      <c r="A90" s="45">
        <v>800</v>
      </c>
      <c r="B90" s="85">
        <v>2.6619E-2</v>
      </c>
      <c r="C90" s="83">
        <v>3597.8</v>
      </c>
      <c r="D90" s="83">
        <v>4076.9</v>
      </c>
      <c r="E90" s="82">
        <v>7.1089000000000002</v>
      </c>
      <c r="F90" s="82"/>
      <c r="G90" s="47"/>
      <c r="H90" s="47"/>
    </row>
    <row r="91" spans="1:8" ht="18.75" customHeight="1" x14ac:dyDescent="0.25">
      <c r="A91" s="45">
        <v>820</v>
      </c>
      <c r="B91" s="85">
        <v>2.7200999999999999E-2</v>
      </c>
      <c r="C91" s="83">
        <v>3638.4</v>
      </c>
      <c r="D91" s="83">
        <v>4128</v>
      </c>
      <c r="E91" s="82">
        <v>7.1559999999999997</v>
      </c>
      <c r="F91" s="82"/>
      <c r="G91" s="47"/>
      <c r="H91" s="47"/>
    </row>
    <row r="92" spans="1:8" ht="18.75" customHeight="1" x14ac:dyDescent="0.25">
      <c r="A92" s="45">
        <v>840</v>
      </c>
      <c r="B92" s="85">
        <v>2.7779000000000002E-2</v>
      </c>
      <c r="C92" s="83">
        <v>3679.1</v>
      </c>
      <c r="D92" s="83">
        <v>4179.1000000000004</v>
      </c>
      <c r="E92" s="82">
        <v>7.2023999999999999</v>
      </c>
      <c r="F92" s="82"/>
      <c r="G92" s="47"/>
      <c r="H92" s="47"/>
    </row>
    <row r="93" spans="1:8" ht="18.75" customHeight="1" x14ac:dyDescent="0.25">
      <c r="A93" s="45">
        <v>860</v>
      </c>
      <c r="B93" s="85">
        <v>2.8351999999999999E-2</v>
      </c>
      <c r="C93" s="83">
        <v>3720</v>
      </c>
      <c r="D93" s="83">
        <v>4230.3</v>
      </c>
      <c r="E93" s="82">
        <v>7.2478999999999996</v>
      </c>
      <c r="F93" s="82"/>
      <c r="G93" s="47"/>
      <c r="H93" s="47"/>
    </row>
    <row r="94" spans="1:8" ht="18.75" customHeight="1" x14ac:dyDescent="0.25">
      <c r="A94" s="45">
        <v>880</v>
      </c>
      <c r="B94" s="85">
        <v>2.8923000000000001E-2</v>
      </c>
      <c r="C94" s="83">
        <v>3760.8</v>
      </c>
      <c r="D94" s="83">
        <v>4281.3999999999996</v>
      </c>
      <c r="E94" s="82">
        <v>7.2927</v>
      </c>
      <c r="F94" s="82"/>
      <c r="G94" s="47"/>
      <c r="H94" s="47"/>
    </row>
    <row r="95" spans="1:8" ht="18.75" customHeight="1" x14ac:dyDescent="0.25">
      <c r="A95" s="45">
        <v>900</v>
      </c>
      <c r="B95" s="85">
        <v>2.9489000000000001E-2</v>
      </c>
      <c r="C95" s="83">
        <v>3801.9</v>
      </c>
      <c r="D95" s="83">
        <v>4332.7</v>
      </c>
      <c r="E95" s="82">
        <v>7.3368000000000002</v>
      </c>
      <c r="F95" s="82"/>
      <c r="G95" s="47"/>
      <c r="H95" s="47"/>
    </row>
    <row r="96" spans="1:8" ht="18.75" customHeight="1" x14ac:dyDescent="0.25">
      <c r="A96" s="45">
        <v>920</v>
      </c>
      <c r="B96" s="85">
        <v>3.0053E-2</v>
      </c>
      <c r="C96" s="83">
        <v>3843</v>
      </c>
      <c r="D96" s="83">
        <v>4384</v>
      </c>
      <c r="E96" s="82">
        <v>7.3800999999999997</v>
      </c>
      <c r="F96" s="82"/>
      <c r="G96" s="47"/>
      <c r="H96" s="47"/>
    </row>
    <row r="97" spans="1:8" ht="18.75" customHeight="1" x14ac:dyDescent="0.25">
      <c r="A97" s="45">
        <v>940</v>
      </c>
      <c r="B97" s="85">
        <v>3.0613999999999999E-2</v>
      </c>
      <c r="C97" s="83">
        <v>3884.4</v>
      </c>
      <c r="D97" s="83">
        <v>4435.5</v>
      </c>
      <c r="E97" s="82">
        <v>7.4229000000000003</v>
      </c>
      <c r="F97" s="82"/>
      <c r="G97" s="47"/>
      <c r="H97" s="47"/>
    </row>
    <row r="98" spans="1:8" ht="18.75" customHeight="1" x14ac:dyDescent="0.25">
      <c r="A98" s="45">
        <v>960</v>
      </c>
      <c r="B98" s="85">
        <v>3.1172999999999999E-2</v>
      </c>
      <c r="C98" s="83">
        <v>3925.9</v>
      </c>
      <c r="D98" s="83">
        <v>4487</v>
      </c>
      <c r="E98" s="82">
        <v>7.4649999999999999</v>
      </c>
      <c r="F98" s="82"/>
      <c r="G98" s="47"/>
      <c r="H98" s="47"/>
    </row>
    <row r="99" spans="1:8" ht="18.75" customHeight="1" x14ac:dyDescent="0.25">
      <c r="A99" s="45">
        <v>980</v>
      </c>
      <c r="B99" s="85">
        <v>3.1729E-2</v>
      </c>
      <c r="C99" s="83">
        <v>3967.6</v>
      </c>
      <c r="D99" s="83">
        <v>4538.7</v>
      </c>
      <c r="E99" s="82">
        <v>7.5065999999999997</v>
      </c>
      <c r="F99" s="82"/>
      <c r="G99" s="47"/>
      <c r="H99" s="47"/>
    </row>
    <row r="100" spans="1:8" ht="18.75" customHeight="1" x14ac:dyDescent="0.25">
      <c r="A100" s="45">
        <v>1000</v>
      </c>
      <c r="B100" s="85">
        <v>3.2281999999999998E-2</v>
      </c>
      <c r="C100" s="83">
        <v>4009.4</v>
      </c>
      <c r="D100" s="83">
        <v>4590.5</v>
      </c>
      <c r="E100" s="82">
        <v>7.5476000000000001</v>
      </c>
      <c r="F100" s="82"/>
      <c r="G100" s="47"/>
      <c r="H100" s="47"/>
    </row>
  </sheetData>
  <mergeCells count="1">
    <mergeCell ref="A1:H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H100"/>
  <sheetViews>
    <sheetView topLeftCell="A42" workbookViewId="0">
      <selection activeCell="A62" sqref="A62:XFD62"/>
    </sheetView>
  </sheetViews>
  <sheetFormatPr defaultRowHeight="13.2" x14ac:dyDescent="0.25"/>
  <cols>
    <col min="1" max="1" width="10.5546875" customWidth="1"/>
    <col min="2" max="2" width="10.77734375" customWidth="1"/>
    <col min="3" max="3" width="6.77734375" customWidth="1"/>
    <col min="4" max="4" width="6.88671875" customWidth="1"/>
    <col min="5" max="5" width="8.4414062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98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19000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9.9083999999999999E-4</v>
      </c>
      <c r="C5" s="80">
        <v>0.21</v>
      </c>
      <c r="D5" s="80">
        <v>19.04</v>
      </c>
      <c r="E5" s="81">
        <v>4.6999999999999999E-4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9.9102000000000001E-4</v>
      </c>
      <c r="C6" s="80">
        <v>20.87</v>
      </c>
      <c r="D6" s="80">
        <v>39.700000000000003</v>
      </c>
      <c r="E6" s="81">
        <v>7.5429999999999997E-2</v>
      </c>
      <c r="F6" s="81"/>
      <c r="G6" s="28"/>
      <c r="H6" s="28"/>
    </row>
    <row r="7" spans="1:8" ht="18.75" customHeight="1" x14ac:dyDescent="0.25">
      <c r="A7" s="7">
        <v>10</v>
      </c>
      <c r="B7" s="79">
        <v>9.9152000000000007E-4</v>
      </c>
      <c r="C7" s="80">
        <v>41.51</v>
      </c>
      <c r="D7" s="80">
        <v>60.35</v>
      </c>
      <c r="E7" s="81">
        <v>0.14901</v>
      </c>
      <c r="F7" s="81"/>
      <c r="G7" s="28"/>
      <c r="H7" s="28"/>
    </row>
    <row r="8" spans="1:8" ht="18.75" customHeight="1" x14ac:dyDescent="0.25">
      <c r="A8" s="7">
        <v>15</v>
      </c>
      <c r="B8" s="79">
        <v>9.9230999999999994E-4</v>
      </c>
      <c r="C8" s="80">
        <v>62.15</v>
      </c>
      <c r="D8" s="80">
        <v>81</v>
      </c>
      <c r="E8" s="81">
        <v>0.22128</v>
      </c>
      <c r="F8" s="81"/>
      <c r="G8" s="28"/>
      <c r="H8" s="28"/>
    </row>
    <row r="9" spans="1:8" ht="18.75" customHeight="1" x14ac:dyDescent="0.25">
      <c r="A9" s="7">
        <v>20</v>
      </c>
      <c r="B9" s="79">
        <v>9.9335000000000005E-4</v>
      </c>
      <c r="C9" s="80">
        <v>82.77</v>
      </c>
      <c r="D9" s="80">
        <v>101.64</v>
      </c>
      <c r="E9" s="81">
        <v>0.29231000000000001</v>
      </c>
      <c r="F9" s="81"/>
      <c r="G9" s="28"/>
      <c r="H9" s="28"/>
    </row>
    <row r="10" spans="1:8" ht="18.75" customHeight="1" x14ac:dyDescent="0.25">
      <c r="A10" s="7">
        <v>25</v>
      </c>
      <c r="B10" s="79">
        <v>9.946200000000001E-4</v>
      </c>
      <c r="C10" s="80">
        <v>103.39</v>
      </c>
      <c r="D10" s="80">
        <v>122.29</v>
      </c>
      <c r="E10" s="81">
        <v>0.36215000000000003</v>
      </c>
      <c r="F10" s="81"/>
      <c r="G10" s="28"/>
      <c r="H10" s="28"/>
    </row>
    <row r="11" spans="1:8" ht="18.75" customHeight="1" x14ac:dyDescent="0.25">
      <c r="A11" s="7">
        <v>30</v>
      </c>
      <c r="B11" s="79">
        <v>9.9610999999999992E-4</v>
      </c>
      <c r="C11" s="80">
        <v>124.01</v>
      </c>
      <c r="D11" s="80">
        <v>142.94</v>
      </c>
      <c r="E11" s="81">
        <v>0.43085000000000001</v>
      </c>
      <c r="F11" s="81"/>
      <c r="G11" s="28"/>
      <c r="H11" s="28"/>
    </row>
    <row r="12" spans="1:8" ht="18.75" customHeight="1" x14ac:dyDescent="0.25">
      <c r="A12" s="7">
        <v>35</v>
      </c>
      <c r="B12" s="79">
        <v>9.9778999999999992E-4</v>
      </c>
      <c r="C12" s="80">
        <v>144.65</v>
      </c>
      <c r="D12" s="80">
        <v>163.61000000000001</v>
      </c>
      <c r="E12" s="81">
        <v>0.49845</v>
      </c>
      <c r="F12" s="81"/>
      <c r="G12" s="28"/>
      <c r="H12" s="28"/>
    </row>
    <row r="13" spans="1:8" ht="18.75" customHeight="1" x14ac:dyDescent="0.25">
      <c r="A13" s="7">
        <v>40</v>
      </c>
      <c r="B13" s="79">
        <v>9.9964999999999993E-4</v>
      </c>
      <c r="C13" s="80">
        <v>165.29</v>
      </c>
      <c r="D13" s="80">
        <v>184.28</v>
      </c>
      <c r="E13" s="81">
        <v>0.56499999999999995</v>
      </c>
      <c r="F13" s="81"/>
      <c r="G13" s="28"/>
      <c r="H13" s="28"/>
    </row>
    <row r="14" spans="1:8" ht="18.75" customHeight="1" x14ac:dyDescent="0.25">
      <c r="A14" s="7">
        <v>45</v>
      </c>
      <c r="B14" s="79">
        <v>1.00169E-3</v>
      </c>
      <c r="C14" s="80">
        <v>185.93</v>
      </c>
      <c r="D14" s="80">
        <v>204.96</v>
      </c>
      <c r="E14" s="81">
        <v>0.63053000000000003</v>
      </c>
      <c r="F14" s="81"/>
      <c r="G14" s="28"/>
      <c r="H14" s="28"/>
    </row>
    <row r="15" spans="1:8" ht="18.75" customHeight="1" x14ac:dyDescent="0.25">
      <c r="A15" s="7">
        <v>50</v>
      </c>
      <c r="B15" s="79">
        <v>1.0039000000000001E-3</v>
      </c>
      <c r="C15" s="80">
        <v>206.59</v>
      </c>
      <c r="D15" s="80">
        <v>225.66</v>
      </c>
      <c r="E15" s="81">
        <v>0.69506999999999997</v>
      </c>
      <c r="F15" s="81"/>
      <c r="G15" s="28"/>
      <c r="H15" s="28"/>
    </row>
    <row r="16" spans="1:8" ht="18.75" customHeight="1" x14ac:dyDescent="0.25">
      <c r="A16" s="7">
        <v>55</v>
      </c>
      <c r="B16" s="79">
        <v>1.0062700000000001E-3</v>
      </c>
      <c r="C16" s="80">
        <v>227.24</v>
      </c>
      <c r="D16" s="80">
        <v>246.36</v>
      </c>
      <c r="E16" s="81">
        <v>0.75865000000000005</v>
      </c>
      <c r="F16" s="81"/>
      <c r="G16" s="28"/>
      <c r="H16" s="28"/>
    </row>
    <row r="17" spans="1:8" ht="18.75" customHeight="1" x14ac:dyDescent="0.25">
      <c r="A17" s="7">
        <v>60</v>
      </c>
      <c r="B17" s="79">
        <v>1.0087900000000001E-3</v>
      </c>
      <c r="C17" s="80">
        <v>247.91</v>
      </c>
      <c r="D17" s="80">
        <v>267.08</v>
      </c>
      <c r="E17" s="81">
        <v>0.82132000000000005</v>
      </c>
      <c r="F17" s="81"/>
      <c r="G17" s="28"/>
      <c r="H17" s="28"/>
    </row>
    <row r="18" spans="1:8" ht="18.75" customHeight="1" x14ac:dyDescent="0.25">
      <c r="A18" s="7">
        <v>65</v>
      </c>
      <c r="B18" s="79">
        <v>1.0114600000000001E-3</v>
      </c>
      <c r="C18" s="80">
        <v>268.58999999999997</v>
      </c>
      <c r="D18" s="80">
        <v>287.81</v>
      </c>
      <c r="E18" s="81">
        <v>0.88309000000000004</v>
      </c>
      <c r="F18" s="81"/>
      <c r="G18" s="28"/>
      <c r="H18" s="28"/>
    </row>
    <row r="19" spans="1:8" ht="18.75" customHeight="1" x14ac:dyDescent="0.25">
      <c r="A19" s="7">
        <v>70</v>
      </c>
      <c r="B19" s="79">
        <v>1.01428E-3</v>
      </c>
      <c r="C19" s="80">
        <v>289.29000000000002</v>
      </c>
      <c r="D19" s="80">
        <v>308.56</v>
      </c>
      <c r="E19" s="81">
        <v>0.94399</v>
      </c>
      <c r="F19" s="81"/>
      <c r="G19" s="28"/>
      <c r="H19" s="28"/>
    </row>
    <row r="20" spans="1:8" ht="18.75" customHeight="1" x14ac:dyDescent="0.25">
      <c r="A20" s="7">
        <v>75</v>
      </c>
      <c r="B20" s="79">
        <v>1.01724E-3</v>
      </c>
      <c r="C20" s="80">
        <v>309.99</v>
      </c>
      <c r="D20" s="80">
        <v>329.32</v>
      </c>
      <c r="E20" s="82">
        <v>1.0041</v>
      </c>
      <c r="F20" s="82"/>
      <c r="G20" s="28"/>
      <c r="H20" s="28"/>
    </row>
    <row r="21" spans="1:8" ht="18.75" customHeight="1" x14ac:dyDescent="0.25">
      <c r="A21" s="7">
        <v>80</v>
      </c>
      <c r="B21" s="79">
        <v>1.02034E-3</v>
      </c>
      <c r="C21" s="80">
        <v>330.71</v>
      </c>
      <c r="D21" s="80">
        <v>350.1</v>
      </c>
      <c r="E21" s="82">
        <v>1.0632999999999999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1.0235800000000001E-3</v>
      </c>
      <c r="C22" s="80">
        <v>351.45</v>
      </c>
      <c r="D22" s="80">
        <v>370.9</v>
      </c>
      <c r="E22" s="82">
        <v>1.1217999999999999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1.0269599999999999E-3</v>
      </c>
      <c r="C23" s="80">
        <v>372.21</v>
      </c>
      <c r="D23" s="80">
        <v>391.72</v>
      </c>
      <c r="E23" s="82">
        <v>1.1795</v>
      </c>
      <c r="F23" s="82"/>
      <c r="G23" s="28"/>
      <c r="H23" s="28"/>
    </row>
    <row r="24" spans="1:8" ht="18.75" customHeight="1" x14ac:dyDescent="0.25">
      <c r="A24" s="7">
        <v>95</v>
      </c>
      <c r="B24" s="79">
        <v>1.0304800000000001E-3</v>
      </c>
      <c r="C24" s="80">
        <v>392.97</v>
      </c>
      <c r="D24" s="80">
        <v>412.55</v>
      </c>
      <c r="E24" s="82">
        <v>1.2364999999999999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1.0341300000000001E-3</v>
      </c>
      <c r="C25" s="80">
        <v>413.76</v>
      </c>
      <c r="D25" s="80">
        <v>433.41</v>
      </c>
      <c r="E25" s="82">
        <v>1.2927999999999999</v>
      </c>
      <c r="F25" s="82"/>
      <c r="G25" s="28"/>
      <c r="H25" s="28"/>
    </row>
    <row r="26" spans="1:8" ht="18.75" customHeight="1" x14ac:dyDescent="0.25">
      <c r="A26" s="7">
        <v>105</v>
      </c>
      <c r="B26" s="79">
        <v>1.0379300000000001E-3</v>
      </c>
      <c r="C26" s="80">
        <v>434.58</v>
      </c>
      <c r="D26" s="80">
        <v>454.3</v>
      </c>
      <c r="E26" s="82">
        <v>1.3484</v>
      </c>
      <c r="F26" s="82"/>
      <c r="G26" s="28"/>
      <c r="H26" s="28"/>
    </row>
    <row r="27" spans="1:8" ht="18.75" customHeight="1" x14ac:dyDescent="0.25">
      <c r="A27" s="7">
        <v>110</v>
      </c>
      <c r="B27" s="79">
        <v>1.0418599999999999E-3</v>
      </c>
      <c r="C27" s="80">
        <v>455.41</v>
      </c>
      <c r="D27" s="80">
        <v>475.21</v>
      </c>
      <c r="E27" s="82">
        <v>1.4033</v>
      </c>
      <c r="F27" s="82"/>
      <c r="G27" s="28"/>
      <c r="H27" s="28"/>
    </row>
    <row r="28" spans="1:8" ht="18.75" customHeight="1" x14ac:dyDescent="0.25">
      <c r="A28" s="7">
        <v>115</v>
      </c>
      <c r="B28" s="79">
        <v>1.04593E-3</v>
      </c>
      <c r="C28" s="80">
        <v>476.28</v>
      </c>
      <c r="D28" s="80">
        <v>496.15</v>
      </c>
      <c r="E28" s="82">
        <v>1.4576</v>
      </c>
      <c r="F28" s="82"/>
      <c r="G28" s="28"/>
      <c r="H28" s="28"/>
    </row>
    <row r="29" spans="1:8" ht="18.75" customHeight="1" x14ac:dyDescent="0.25">
      <c r="A29" s="7">
        <v>120</v>
      </c>
      <c r="B29" s="79">
        <v>1.0501499999999999E-3</v>
      </c>
      <c r="C29" s="80">
        <v>497.18</v>
      </c>
      <c r="D29" s="80">
        <v>517.13</v>
      </c>
      <c r="E29" s="82">
        <v>1.5113000000000001</v>
      </c>
      <c r="F29" s="82"/>
      <c r="G29" s="28"/>
      <c r="H29" s="28"/>
    </row>
    <row r="30" spans="1:8" ht="18.75" customHeight="1" x14ac:dyDescent="0.25">
      <c r="A30" s="7">
        <v>125</v>
      </c>
      <c r="B30" s="79">
        <v>1.05451E-3</v>
      </c>
      <c r="C30" s="80">
        <v>518.09</v>
      </c>
      <c r="D30" s="80">
        <v>538.13</v>
      </c>
      <c r="E30" s="82">
        <v>1.5644</v>
      </c>
      <c r="F30" s="82"/>
      <c r="G30" s="28"/>
      <c r="H30" s="28"/>
    </row>
    <row r="31" spans="1:8" ht="18.75" customHeight="1" x14ac:dyDescent="0.25">
      <c r="A31" s="7">
        <v>130</v>
      </c>
      <c r="B31" s="79">
        <v>1.05901E-3</v>
      </c>
      <c r="C31" s="80">
        <v>539.05999999999995</v>
      </c>
      <c r="D31" s="80">
        <v>559.17999999999995</v>
      </c>
      <c r="E31" s="82">
        <v>1.6169</v>
      </c>
      <c r="F31" s="82"/>
      <c r="G31" s="28"/>
      <c r="H31" s="28"/>
    </row>
    <row r="32" spans="1:8" ht="18.75" customHeight="1" x14ac:dyDescent="0.25">
      <c r="A32" s="7">
        <v>135</v>
      </c>
      <c r="B32" s="79">
        <v>1.0636700000000001E-3</v>
      </c>
      <c r="C32" s="80">
        <v>560.05999999999995</v>
      </c>
      <c r="D32" s="80">
        <v>580.27</v>
      </c>
      <c r="E32" s="82">
        <v>1.6689000000000001</v>
      </c>
      <c r="F32" s="82"/>
      <c r="G32" s="28"/>
      <c r="H32" s="28"/>
    </row>
    <row r="33" spans="1:8" ht="18.75" customHeight="1" x14ac:dyDescent="0.25">
      <c r="A33" s="7">
        <v>140</v>
      </c>
      <c r="B33" s="79">
        <v>1.06847E-3</v>
      </c>
      <c r="C33" s="80">
        <v>581.1</v>
      </c>
      <c r="D33" s="80">
        <v>601.4</v>
      </c>
      <c r="E33" s="82">
        <v>1.7203999999999999</v>
      </c>
      <c r="F33" s="82"/>
      <c r="G33" s="28"/>
      <c r="H33" s="28"/>
    </row>
    <row r="34" spans="1:8" ht="18.75" customHeight="1" x14ac:dyDescent="0.25">
      <c r="A34" s="7">
        <v>145</v>
      </c>
      <c r="B34" s="79">
        <v>1.0734399999999999E-3</v>
      </c>
      <c r="C34" s="80">
        <v>602.17999999999995</v>
      </c>
      <c r="D34" s="80">
        <v>622.58000000000004</v>
      </c>
      <c r="E34" s="82">
        <v>1.7713000000000001</v>
      </c>
      <c r="F34" s="82"/>
      <c r="G34" s="28"/>
      <c r="H34" s="28"/>
    </row>
    <row r="35" spans="1:8" ht="18.75" customHeight="1" x14ac:dyDescent="0.25">
      <c r="A35" s="7">
        <v>150</v>
      </c>
      <c r="B35" s="79">
        <v>1.0785599999999999E-3</v>
      </c>
      <c r="C35" s="80">
        <v>623.32000000000005</v>
      </c>
      <c r="D35" s="80">
        <v>643.80999999999995</v>
      </c>
      <c r="E35" s="82">
        <v>1.8218000000000001</v>
      </c>
      <c r="F35" s="82"/>
      <c r="G35" s="28"/>
      <c r="H35" s="28"/>
    </row>
    <row r="36" spans="1:8" ht="18.75" customHeight="1" x14ac:dyDescent="0.25">
      <c r="A36" s="7">
        <v>155</v>
      </c>
      <c r="B36" s="79">
        <v>1.0838499999999999E-3</v>
      </c>
      <c r="C36" s="80">
        <v>644.51</v>
      </c>
      <c r="D36" s="80">
        <v>665.1</v>
      </c>
      <c r="E36" s="82">
        <v>1.8717999999999999</v>
      </c>
      <c r="F36" s="82"/>
      <c r="G36" s="28"/>
      <c r="H36" s="28"/>
    </row>
    <row r="37" spans="1:8" ht="18.75" customHeight="1" x14ac:dyDescent="0.25">
      <c r="A37" s="7">
        <v>160</v>
      </c>
      <c r="B37" s="79">
        <v>1.0893000000000001E-3</v>
      </c>
      <c r="C37" s="80">
        <v>665.74</v>
      </c>
      <c r="D37" s="80">
        <v>686.44</v>
      </c>
      <c r="E37" s="82">
        <v>1.9214</v>
      </c>
      <c r="F37" s="82"/>
      <c r="G37" s="28"/>
      <c r="H37" s="28"/>
    </row>
    <row r="38" spans="1:8" ht="18.75" customHeight="1" x14ac:dyDescent="0.25">
      <c r="A38" s="7">
        <v>165</v>
      </c>
      <c r="B38" s="79">
        <v>1.09494E-3</v>
      </c>
      <c r="C38" s="80">
        <v>687.04</v>
      </c>
      <c r="D38" s="80">
        <v>707.84</v>
      </c>
      <c r="E38" s="82">
        <v>1.9704999999999999</v>
      </c>
      <c r="F38" s="82"/>
      <c r="G38" s="28"/>
      <c r="H38" s="28"/>
    </row>
    <row r="39" spans="1:8" ht="18.75" customHeight="1" x14ac:dyDescent="0.25">
      <c r="A39" s="7">
        <v>170</v>
      </c>
      <c r="B39" s="79">
        <v>1.1007499999999999E-3</v>
      </c>
      <c r="C39" s="80">
        <v>708.4</v>
      </c>
      <c r="D39" s="80">
        <v>729.31</v>
      </c>
      <c r="E39" s="82">
        <v>2.0192000000000001</v>
      </c>
      <c r="F39" s="82"/>
      <c r="G39" s="28"/>
      <c r="H39" s="28"/>
    </row>
    <row r="40" spans="1:8" ht="18.75" customHeight="1" x14ac:dyDescent="0.25">
      <c r="A40" s="7">
        <v>175</v>
      </c>
      <c r="B40" s="79">
        <v>1.1067500000000001E-3</v>
      </c>
      <c r="C40" s="80">
        <v>729.83</v>
      </c>
      <c r="D40" s="80">
        <v>750.86</v>
      </c>
      <c r="E40" s="82">
        <v>2.0676000000000001</v>
      </c>
      <c r="F40" s="82"/>
      <c r="G40" s="28"/>
      <c r="H40" s="28"/>
    </row>
    <row r="41" spans="1:8" ht="18.75" customHeight="1" x14ac:dyDescent="0.25">
      <c r="A41" s="7">
        <v>180</v>
      </c>
      <c r="B41" s="79">
        <v>1.1129499999999999E-3</v>
      </c>
      <c r="C41" s="80">
        <v>751.33</v>
      </c>
      <c r="D41" s="80">
        <v>772.48</v>
      </c>
      <c r="E41" s="82">
        <v>2.1156000000000001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1.11936E-3</v>
      </c>
      <c r="C42" s="80">
        <v>772.9</v>
      </c>
      <c r="D42" s="80">
        <v>794.17</v>
      </c>
      <c r="E42" s="82">
        <v>2.1631999999999998</v>
      </c>
      <c r="F42" s="82"/>
      <c r="G42" s="28"/>
      <c r="H42" s="28"/>
    </row>
    <row r="43" spans="1:8" ht="18.75" customHeight="1" x14ac:dyDescent="0.25">
      <c r="A43" s="7">
        <v>190</v>
      </c>
      <c r="B43" s="79">
        <v>1.12597E-3</v>
      </c>
      <c r="C43" s="80">
        <v>794.57</v>
      </c>
      <c r="D43" s="80">
        <v>815.96</v>
      </c>
      <c r="E43" s="82">
        <v>2.2105000000000001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1.1328099999999999E-3</v>
      </c>
      <c r="C44" s="80">
        <v>816.31</v>
      </c>
      <c r="D44" s="80">
        <v>837.83</v>
      </c>
      <c r="E44" s="82">
        <v>2.2574000000000001</v>
      </c>
      <c r="F44" s="82"/>
      <c r="G44" s="28"/>
      <c r="H44" s="28"/>
    </row>
    <row r="45" spans="1:8" ht="18.75" customHeight="1" x14ac:dyDescent="0.25">
      <c r="A45" s="7">
        <v>200</v>
      </c>
      <c r="B45" s="79">
        <v>1.13989E-3</v>
      </c>
      <c r="C45" s="80">
        <v>838.15</v>
      </c>
      <c r="D45" s="80">
        <v>859.81</v>
      </c>
      <c r="E45" s="82">
        <v>2.3041</v>
      </c>
      <c r="F45" s="82"/>
      <c r="G45" s="28"/>
      <c r="H45" s="28"/>
    </row>
    <row r="46" spans="1:8" ht="18.75" customHeight="1" x14ac:dyDescent="0.25">
      <c r="A46" s="7">
        <v>210</v>
      </c>
      <c r="B46" s="79">
        <v>1.1547899999999999E-3</v>
      </c>
      <c r="C46" s="80">
        <v>882.13</v>
      </c>
      <c r="D46" s="80">
        <v>904.07</v>
      </c>
      <c r="E46" s="82">
        <v>2.3967000000000001</v>
      </c>
      <c r="F46" s="82"/>
      <c r="G46" s="28"/>
      <c r="H46" s="28"/>
    </row>
    <row r="47" spans="1:8" ht="18.75" customHeight="1" x14ac:dyDescent="0.25">
      <c r="A47" s="7">
        <v>220</v>
      </c>
      <c r="B47" s="79">
        <v>1.17078E-3</v>
      </c>
      <c r="C47" s="80">
        <v>926.57</v>
      </c>
      <c r="D47" s="80">
        <v>948.81</v>
      </c>
      <c r="E47" s="82">
        <v>2.4883999999999999</v>
      </c>
      <c r="F47" s="82"/>
      <c r="G47" s="28"/>
      <c r="H47" s="28"/>
    </row>
    <row r="48" spans="1:8" ht="18.75" customHeight="1" x14ac:dyDescent="0.25">
      <c r="A48" s="7">
        <v>230</v>
      </c>
      <c r="B48" s="79">
        <v>1.18801E-3</v>
      </c>
      <c r="C48" s="80">
        <v>971.51</v>
      </c>
      <c r="D48" s="80">
        <v>994.08</v>
      </c>
      <c r="E48" s="82">
        <v>2.5792000000000002</v>
      </c>
      <c r="F48" s="82"/>
      <c r="G48" s="28"/>
      <c r="H48" s="28"/>
    </row>
    <row r="49" spans="1:8" ht="18.75" customHeight="1" x14ac:dyDescent="0.25">
      <c r="A49" s="7">
        <v>240</v>
      </c>
      <c r="B49" s="79">
        <v>1.20663E-3</v>
      </c>
      <c r="C49" s="83">
        <v>1017.1</v>
      </c>
      <c r="D49" s="83">
        <v>1040</v>
      </c>
      <c r="E49" s="82">
        <v>2.6695000000000002</v>
      </c>
      <c r="F49" s="82"/>
      <c r="G49" s="28"/>
      <c r="H49" s="28"/>
    </row>
    <row r="50" spans="1:8" ht="18.75" customHeight="1" x14ac:dyDescent="0.25">
      <c r="A50" s="7">
        <v>250</v>
      </c>
      <c r="B50" s="79">
        <v>1.22685E-3</v>
      </c>
      <c r="C50" s="83">
        <v>1063.2</v>
      </c>
      <c r="D50" s="83">
        <v>1086.5</v>
      </c>
      <c r="E50" s="82">
        <v>2.7593999999999999</v>
      </c>
      <c r="F50" s="82"/>
      <c r="G50" s="28"/>
      <c r="H50" s="28"/>
    </row>
    <row r="51" spans="1:8" ht="18.75" customHeight="1" x14ac:dyDescent="0.25">
      <c r="A51" s="7">
        <v>260</v>
      </c>
      <c r="B51" s="79">
        <v>1.2489300000000001E-3</v>
      </c>
      <c r="C51" s="83">
        <v>1110.2</v>
      </c>
      <c r="D51" s="83">
        <v>1133.9000000000001</v>
      </c>
      <c r="E51" s="82">
        <v>2.8492000000000002</v>
      </c>
      <c r="F51" s="82"/>
      <c r="G51" s="28"/>
      <c r="H51" s="28"/>
    </row>
    <row r="52" spans="1:8" ht="18.75" customHeight="1" x14ac:dyDescent="0.25">
      <c r="A52" s="7">
        <v>270</v>
      </c>
      <c r="B52" s="79">
        <v>1.2731999999999999E-3</v>
      </c>
      <c r="C52" s="83">
        <v>1158.0999999999999</v>
      </c>
      <c r="D52" s="83">
        <v>1182.3</v>
      </c>
      <c r="E52" s="82">
        <v>2.9390000000000001</v>
      </c>
      <c r="F52" s="82"/>
      <c r="G52" s="28"/>
      <c r="H52" s="28"/>
    </row>
    <row r="53" spans="1:8" ht="18.75" customHeight="1" x14ac:dyDescent="0.25">
      <c r="A53" s="7">
        <v>280</v>
      </c>
      <c r="B53" s="79">
        <v>1.3001E-3</v>
      </c>
      <c r="C53" s="83">
        <v>1207.0999999999999</v>
      </c>
      <c r="D53" s="83">
        <v>1231.8</v>
      </c>
      <c r="E53" s="82">
        <v>3.0293000000000001</v>
      </c>
      <c r="F53" s="82"/>
      <c r="G53" s="28"/>
      <c r="H53" s="28"/>
    </row>
    <row r="54" spans="1:8" ht="18.75" customHeight="1" x14ac:dyDescent="0.25">
      <c r="A54" s="7">
        <v>290</v>
      </c>
      <c r="B54" s="79">
        <v>1.3301999999999999E-3</v>
      </c>
      <c r="C54" s="83">
        <v>1257.3</v>
      </c>
      <c r="D54" s="83">
        <v>1282.5999999999999</v>
      </c>
      <c r="E54" s="82">
        <v>3.1202999999999999</v>
      </c>
      <c r="F54" s="82"/>
      <c r="G54" s="28"/>
      <c r="H54" s="28"/>
    </row>
    <row r="55" spans="1:8" ht="18.75" customHeight="1" x14ac:dyDescent="0.25">
      <c r="A55" s="7">
        <v>300</v>
      </c>
      <c r="B55" s="79">
        <v>1.3643399999999999E-3</v>
      </c>
      <c r="C55" s="83">
        <v>1309.2</v>
      </c>
      <c r="D55" s="83">
        <v>1335.1</v>
      </c>
      <c r="E55" s="82">
        <v>3.2126999999999999</v>
      </c>
      <c r="F55" s="82"/>
      <c r="G55" s="28"/>
      <c r="H55" s="28"/>
    </row>
    <row r="56" spans="1:8" ht="18.75" customHeight="1" x14ac:dyDescent="0.25">
      <c r="A56" s="7">
        <v>310</v>
      </c>
      <c r="B56" s="79">
        <v>1.4037100000000001E-3</v>
      </c>
      <c r="C56" s="83">
        <v>1363</v>
      </c>
      <c r="D56" s="83">
        <v>1389.7</v>
      </c>
      <c r="E56" s="82">
        <v>3.3071000000000002</v>
      </c>
      <c r="F56" s="82"/>
      <c r="G56" s="28"/>
      <c r="H56" s="28"/>
    </row>
    <row r="57" spans="1:8" ht="18.75" customHeight="1" x14ac:dyDescent="0.25">
      <c r="A57" s="7">
        <v>320</v>
      </c>
      <c r="B57" s="79">
        <v>1.45017E-3</v>
      </c>
      <c r="C57" s="83">
        <v>1419.4</v>
      </c>
      <c r="D57" s="83">
        <v>1447</v>
      </c>
      <c r="E57" s="82">
        <v>3.4045999999999998</v>
      </c>
      <c r="F57" s="82"/>
      <c r="G57" s="28"/>
      <c r="H57" s="28"/>
    </row>
    <row r="58" spans="1:8" ht="18.75" customHeight="1" x14ac:dyDescent="0.25">
      <c r="A58" s="7">
        <v>330</v>
      </c>
      <c r="B58" s="79">
        <v>1.50683E-3</v>
      </c>
      <c r="C58" s="83">
        <v>1479.6</v>
      </c>
      <c r="D58" s="83">
        <v>1508.2</v>
      </c>
      <c r="E58" s="82">
        <v>3.5068000000000001</v>
      </c>
      <c r="F58" s="82"/>
      <c r="G58" s="28"/>
      <c r="H58" s="28"/>
    </row>
    <row r="59" spans="1:8" ht="18.75" customHeight="1" x14ac:dyDescent="0.25">
      <c r="A59" s="7">
        <v>340</v>
      </c>
      <c r="B59" s="79">
        <v>1.57964E-3</v>
      </c>
      <c r="C59" s="83">
        <v>1545</v>
      </c>
      <c r="D59" s="83">
        <v>1575</v>
      </c>
      <c r="E59" s="82">
        <v>3.6168</v>
      </c>
      <c r="F59" s="82"/>
      <c r="G59" s="28"/>
      <c r="H59" s="28"/>
    </row>
    <row r="60" spans="1:8" ht="18.75" customHeight="1" x14ac:dyDescent="0.25">
      <c r="A60" s="7">
        <v>350</v>
      </c>
      <c r="B60" s="79">
        <v>1.6826499999999999E-3</v>
      </c>
      <c r="C60" s="83">
        <v>1619.9</v>
      </c>
      <c r="D60" s="83">
        <v>1651.9</v>
      </c>
      <c r="E60" s="82">
        <v>3.7412000000000001</v>
      </c>
      <c r="F60" s="82"/>
      <c r="G60" s="28"/>
      <c r="H60" s="28"/>
    </row>
    <row r="61" spans="1:8" ht="18.75" customHeight="1" x14ac:dyDescent="0.25">
      <c r="A61" s="7">
        <v>360</v>
      </c>
      <c r="B61" s="79">
        <v>1.87374E-3</v>
      </c>
      <c r="C61" s="83">
        <v>1719.6</v>
      </c>
      <c r="D61" s="83">
        <v>1755.2</v>
      </c>
      <c r="E61" s="82">
        <v>3.9054000000000002</v>
      </c>
      <c r="F61" s="82"/>
      <c r="G61" s="28"/>
      <c r="H61" s="28"/>
    </row>
    <row r="62" spans="1:8" ht="18.75" customHeight="1" x14ac:dyDescent="0.25">
      <c r="A62" s="7">
        <v>370</v>
      </c>
      <c r="B62" s="79">
        <v>8.2199000000000005E-3</v>
      </c>
      <c r="C62" s="83">
        <v>2460.1</v>
      </c>
      <c r="D62" s="83">
        <v>2616.3000000000002</v>
      </c>
      <c r="E62" s="82">
        <v>5.2610000000000001</v>
      </c>
      <c r="F62" s="82"/>
      <c r="G62" s="28"/>
      <c r="H62" s="28"/>
    </row>
    <row r="63" spans="1:8" ht="18.75" customHeight="1" x14ac:dyDescent="0.25">
      <c r="A63" s="7">
        <v>380</v>
      </c>
      <c r="B63" s="79">
        <v>9.3159999999999996E-3</v>
      </c>
      <c r="C63" s="83">
        <v>2538.9</v>
      </c>
      <c r="D63" s="83">
        <v>2715.9</v>
      </c>
      <c r="E63" s="82">
        <v>5.4146999999999998</v>
      </c>
      <c r="F63" s="82"/>
      <c r="G63" s="28"/>
      <c r="H63" s="28"/>
    </row>
    <row r="64" spans="1:8" ht="18.75" customHeight="1" x14ac:dyDescent="0.25">
      <c r="A64" s="7">
        <v>390</v>
      </c>
      <c r="B64" s="85">
        <v>1.0168E-2</v>
      </c>
      <c r="C64" s="83">
        <v>2597.5</v>
      </c>
      <c r="D64" s="83">
        <v>2790.7</v>
      </c>
      <c r="E64" s="82">
        <v>5.5284000000000004</v>
      </c>
      <c r="F64" s="82"/>
      <c r="G64" s="28"/>
      <c r="H64" s="28"/>
    </row>
    <row r="65" spans="1:8" ht="18.75" customHeight="1" x14ac:dyDescent="0.25">
      <c r="A65" s="7">
        <v>400</v>
      </c>
      <c r="B65" s="85">
        <v>1.0892000000000001E-2</v>
      </c>
      <c r="C65" s="83">
        <v>2645.9</v>
      </c>
      <c r="D65" s="83">
        <v>2852.8</v>
      </c>
      <c r="E65" s="82">
        <v>5.6215000000000002</v>
      </c>
      <c r="F65" s="82"/>
      <c r="G65" s="28"/>
      <c r="H65" s="28"/>
    </row>
    <row r="66" spans="1:8" ht="18.75" customHeight="1" x14ac:dyDescent="0.25">
      <c r="A66" s="7">
        <v>410</v>
      </c>
      <c r="B66" s="85">
        <v>1.1533E-2</v>
      </c>
      <c r="C66" s="83">
        <v>2688</v>
      </c>
      <c r="D66" s="83">
        <v>2907.1</v>
      </c>
      <c r="E66" s="82">
        <v>5.7015000000000002</v>
      </c>
      <c r="F66" s="82"/>
      <c r="G66" s="28"/>
      <c r="H66" s="28"/>
    </row>
    <row r="67" spans="1:8" ht="18.75" customHeight="1" x14ac:dyDescent="0.25">
      <c r="A67" s="7">
        <v>420</v>
      </c>
      <c r="B67" s="85">
        <v>1.2116999999999999E-2</v>
      </c>
      <c r="C67" s="83">
        <v>2725.8</v>
      </c>
      <c r="D67" s="83">
        <v>2956</v>
      </c>
      <c r="E67" s="82">
        <v>5.7725</v>
      </c>
      <c r="F67" s="82"/>
      <c r="G67" s="28"/>
      <c r="H67" s="28"/>
    </row>
    <row r="68" spans="1:8" ht="18.75" customHeight="1" x14ac:dyDescent="0.25">
      <c r="A68" s="7">
        <v>430</v>
      </c>
      <c r="B68" s="85">
        <v>1.2656000000000001E-2</v>
      </c>
      <c r="C68" s="83">
        <v>2760.3</v>
      </c>
      <c r="D68" s="83">
        <v>3000.8</v>
      </c>
      <c r="E68" s="82">
        <v>5.8368000000000002</v>
      </c>
      <c r="F68" s="82"/>
      <c r="G68" s="28"/>
      <c r="H68" s="28"/>
    </row>
    <row r="69" spans="1:8" ht="18.75" customHeight="1" x14ac:dyDescent="0.25">
      <c r="A69" s="7">
        <v>440</v>
      </c>
      <c r="B69" s="85">
        <v>1.3162E-2</v>
      </c>
      <c r="C69" s="83">
        <v>2792.5</v>
      </c>
      <c r="D69" s="83">
        <v>3042.6</v>
      </c>
      <c r="E69" s="82">
        <v>5.8958000000000004</v>
      </c>
      <c r="F69" s="82"/>
      <c r="G69" s="28"/>
      <c r="H69" s="28"/>
    </row>
    <row r="70" spans="1:8" ht="18.75" customHeight="1" x14ac:dyDescent="0.25">
      <c r="A70" s="7">
        <v>450</v>
      </c>
      <c r="B70" s="85">
        <v>1.3639E-2</v>
      </c>
      <c r="C70" s="83">
        <v>2822.9</v>
      </c>
      <c r="D70" s="83">
        <v>3082</v>
      </c>
      <c r="E70" s="82">
        <v>5.9505999999999997</v>
      </c>
      <c r="F70" s="82"/>
      <c r="G70" s="28"/>
      <c r="H70" s="28"/>
    </row>
    <row r="71" spans="1:8" ht="18.75" customHeight="1" x14ac:dyDescent="0.25">
      <c r="A71" s="7">
        <v>460</v>
      </c>
      <c r="B71" s="85">
        <v>1.4094000000000001E-2</v>
      </c>
      <c r="C71" s="83">
        <v>2851.6</v>
      </c>
      <c r="D71" s="83">
        <v>3119.4</v>
      </c>
      <c r="E71" s="82">
        <v>6.0019999999999998</v>
      </c>
      <c r="F71" s="82"/>
      <c r="G71" s="28"/>
      <c r="H71" s="28"/>
    </row>
    <row r="72" spans="1:8" ht="18.75" customHeight="1" x14ac:dyDescent="0.25">
      <c r="A72" s="7">
        <v>470</v>
      </c>
      <c r="B72" s="85">
        <v>1.453E-2</v>
      </c>
      <c r="C72" s="83">
        <v>2879.2</v>
      </c>
      <c r="D72" s="83">
        <v>3155.3</v>
      </c>
      <c r="E72" s="82">
        <v>6.0506000000000002</v>
      </c>
      <c r="F72" s="82"/>
      <c r="G72" s="28"/>
      <c r="H72" s="28"/>
    </row>
    <row r="73" spans="1:8" ht="18.75" customHeight="1" x14ac:dyDescent="0.25">
      <c r="A73" s="7">
        <v>480</v>
      </c>
      <c r="B73" s="85">
        <v>1.495E-2</v>
      </c>
      <c r="C73" s="83">
        <v>2905.8</v>
      </c>
      <c r="D73" s="83">
        <v>3189.8</v>
      </c>
      <c r="E73" s="82">
        <v>6.0967000000000002</v>
      </c>
      <c r="F73" s="82"/>
      <c r="G73" s="28"/>
      <c r="H73" s="28"/>
    </row>
    <row r="74" spans="1:8" ht="18.75" customHeight="1" x14ac:dyDescent="0.25">
      <c r="A74" s="7">
        <v>490</v>
      </c>
      <c r="B74" s="85">
        <v>1.5356E-2</v>
      </c>
      <c r="C74" s="83">
        <v>2931.3</v>
      </c>
      <c r="D74" s="83">
        <v>3223.1</v>
      </c>
      <c r="E74" s="82">
        <v>6.1406999999999998</v>
      </c>
      <c r="F74" s="82"/>
      <c r="G74" s="28"/>
      <c r="H74" s="28"/>
    </row>
    <row r="75" spans="1:8" ht="18.75" customHeight="1" x14ac:dyDescent="0.25">
      <c r="A75" s="7">
        <v>500</v>
      </c>
      <c r="B75" s="85">
        <v>1.575E-2</v>
      </c>
      <c r="C75" s="83">
        <v>2956.3</v>
      </c>
      <c r="D75" s="83">
        <v>3255.5</v>
      </c>
      <c r="E75" s="82">
        <v>6.1829000000000001</v>
      </c>
      <c r="F75" s="82"/>
      <c r="G75" s="28"/>
      <c r="H75" s="28"/>
    </row>
    <row r="76" spans="1:8" ht="18.75" customHeight="1" x14ac:dyDescent="0.25">
      <c r="A76" s="7">
        <v>520</v>
      </c>
      <c r="B76" s="85">
        <v>1.6506E-2</v>
      </c>
      <c r="C76" s="83">
        <v>3004.4</v>
      </c>
      <c r="D76" s="83">
        <v>3318</v>
      </c>
      <c r="E76" s="82">
        <v>6.2626999999999997</v>
      </c>
      <c r="F76" s="82"/>
      <c r="G76" s="28"/>
      <c r="H76" s="28"/>
    </row>
    <row r="77" spans="1:8" ht="18.75" customHeight="1" x14ac:dyDescent="0.25">
      <c r="A77" s="7">
        <v>540</v>
      </c>
      <c r="B77" s="85">
        <v>1.7228E-2</v>
      </c>
      <c r="C77" s="83">
        <v>3050.7</v>
      </c>
      <c r="D77" s="83">
        <v>3378</v>
      </c>
      <c r="E77" s="82">
        <v>6.3373999999999997</v>
      </c>
      <c r="F77" s="82"/>
      <c r="G77" s="28"/>
      <c r="H77" s="28"/>
    </row>
    <row r="78" spans="1:8" ht="18.75" customHeight="1" x14ac:dyDescent="0.25">
      <c r="A78" s="7">
        <v>560</v>
      </c>
      <c r="B78" s="85">
        <v>1.7923000000000001E-2</v>
      </c>
      <c r="C78" s="83">
        <v>3095.5</v>
      </c>
      <c r="D78" s="83">
        <v>3436</v>
      </c>
      <c r="E78" s="82">
        <v>6.4078999999999997</v>
      </c>
      <c r="F78" s="82"/>
      <c r="G78" s="28"/>
      <c r="H78" s="28"/>
    </row>
    <row r="79" spans="1:8" ht="18.75" customHeight="1" x14ac:dyDescent="0.25">
      <c r="A79" s="7">
        <v>580</v>
      </c>
      <c r="B79" s="85">
        <v>1.8595E-2</v>
      </c>
      <c r="C79" s="83">
        <v>3139.3</v>
      </c>
      <c r="D79" s="83">
        <v>3492.6</v>
      </c>
      <c r="E79" s="82">
        <v>6.4749999999999996</v>
      </c>
      <c r="F79" s="82"/>
      <c r="G79" s="28"/>
      <c r="H79" s="28"/>
    </row>
    <row r="80" spans="1:8" ht="18.75" customHeight="1" x14ac:dyDescent="0.25">
      <c r="A80" s="7">
        <v>600</v>
      </c>
      <c r="B80" s="85">
        <v>1.9248999999999999E-2</v>
      </c>
      <c r="C80" s="83">
        <v>3182.3</v>
      </c>
      <c r="D80" s="83">
        <v>3548</v>
      </c>
      <c r="E80" s="82">
        <v>6.5391000000000004</v>
      </c>
      <c r="F80" s="82"/>
      <c r="G80" s="28"/>
      <c r="H80" s="28"/>
    </row>
    <row r="81" spans="1:8" ht="18.75" customHeight="1" x14ac:dyDescent="0.25">
      <c r="A81" s="7">
        <v>620</v>
      </c>
      <c r="B81" s="85">
        <v>1.9886000000000001E-2</v>
      </c>
      <c r="C81" s="83">
        <v>3224.6</v>
      </c>
      <c r="D81" s="83">
        <v>3602.4</v>
      </c>
      <c r="E81" s="82">
        <v>6.6007999999999996</v>
      </c>
      <c r="F81" s="82"/>
      <c r="G81" s="28"/>
      <c r="H81" s="28"/>
    </row>
    <row r="82" spans="1:8" ht="18.75" customHeight="1" x14ac:dyDescent="0.25">
      <c r="A82" s="7">
        <v>640</v>
      </c>
      <c r="B82" s="85">
        <v>2.051E-2</v>
      </c>
      <c r="C82" s="83">
        <v>3266.4</v>
      </c>
      <c r="D82" s="83">
        <v>3656.1</v>
      </c>
      <c r="E82" s="82">
        <v>6.6603000000000003</v>
      </c>
      <c r="F82" s="82"/>
      <c r="G82" s="28"/>
      <c r="H82" s="28"/>
    </row>
    <row r="83" spans="1:8" ht="18.75" customHeight="1" x14ac:dyDescent="0.25">
      <c r="A83" s="7">
        <v>660</v>
      </c>
      <c r="B83" s="85">
        <v>2.1121999999999998E-2</v>
      </c>
      <c r="C83" s="83">
        <v>3307.9</v>
      </c>
      <c r="D83" s="83">
        <v>3709.2</v>
      </c>
      <c r="E83" s="82">
        <v>6.7178000000000004</v>
      </c>
      <c r="F83" s="82"/>
      <c r="G83" s="28"/>
      <c r="H83" s="28"/>
    </row>
    <row r="84" spans="1:8" ht="18.75" customHeight="1" x14ac:dyDescent="0.25">
      <c r="A84" s="7">
        <v>680</v>
      </c>
      <c r="B84" s="85">
        <v>2.1722999999999999E-2</v>
      </c>
      <c r="C84" s="83">
        <v>3349.1</v>
      </c>
      <c r="D84" s="83">
        <v>3761.8</v>
      </c>
      <c r="E84" s="82">
        <v>6.7736000000000001</v>
      </c>
      <c r="F84" s="82"/>
      <c r="G84" s="28"/>
      <c r="H84" s="28"/>
    </row>
    <row r="85" spans="1:8" ht="18.75" customHeight="1" x14ac:dyDescent="0.25">
      <c r="A85" s="7">
        <v>700</v>
      </c>
      <c r="B85" s="85">
        <v>2.2315999999999999E-2</v>
      </c>
      <c r="C85" s="83">
        <v>3390.1</v>
      </c>
      <c r="D85" s="83">
        <v>3814.1</v>
      </c>
      <c r="E85" s="82">
        <v>6.8277999999999999</v>
      </c>
      <c r="F85" s="82"/>
      <c r="G85" s="28"/>
      <c r="H85" s="28"/>
    </row>
    <row r="86" spans="1:8" ht="18.75" customHeight="1" x14ac:dyDescent="0.25">
      <c r="A86" s="7">
        <v>720</v>
      </c>
      <c r="B86" s="85">
        <v>2.29E-2</v>
      </c>
      <c r="C86" s="83">
        <v>3430.9</v>
      </c>
      <c r="D86" s="83">
        <v>3866</v>
      </c>
      <c r="E86" s="82">
        <v>6.8807</v>
      </c>
      <c r="F86" s="82"/>
      <c r="G86" s="28"/>
      <c r="H86" s="28"/>
    </row>
    <row r="87" spans="1:8" ht="18.75" customHeight="1" x14ac:dyDescent="0.25">
      <c r="A87" s="7">
        <v>740</v>
      </c>
      <c r="B87" s="85">
        <v>2.3477000000000001E-2</v>
      </c>
      <c r="C87" s="83">
        <v>3471.7</v>
      </c>
      <c r="D87" s="83">
        <v>3917.8</v>
      </c>
      <c r="E87" s="82">
        <v>6.9322999999999997</v>
      </c>
      <c r="F87" s="82"/>
      <c r="G87" s="28"/>
      <c r="H87" s="28"/>
    </row>
    <row r="88" spans="1:8" ht="18.75" customHeight="1" x14ac:dyDescent="0.25">
      <c r="A88" s="7">
        <v>760</v>
      </c>
      <c r="B88" s="85">
        <v>2.4048E-2</v>
      </c>
      <c r="C88" s="83">
        <v>3512.4</v>
      </c>
      <c r="D88" s="83">
        <v>3969.3</v>
      </c>
      <c r="E88" s="82">
        <v>6.9827000000000004</v>
      </c>
      <c r="F88" s="82"/>
      <c r="G88" s="28"/>
      <c r="H88" s="28"/>
    </row>
    <row r="89" spans="1:8" ht="18.75" customHeight="1" x14ac:dyDescent="0.25">
      <c r="A89" s="7">
        <v>780</v>
      </c>
      <c r="B89" s="85">
        <v>2.4611999999999998E-2</v>
      </c>
      <c r="C89" s="83">
        <v>3553.2</v>
      </c>
      <c r="D89" s="83">
        <v>4020.8</v>
      </c>
      <c r="E89" s="82">
        <v>7.032</v>
      </c>
      <c r="F89" s="82"/>
      <c r="G89" s="28"/>
      <c r="H89" s="28"/>
    </row>
    <row r="90" spans="1:8" ht="18.75" customHeight="1" x14ac:dyDescent="0.25">
      <c r="A90" s="7">
        <v>800</v>
      </c>
      <c r="B90" s="85">
        <v>2.5172E-2</v>
      </c>
      <c r="C90" s="83">
        <v>3593.9</v>
      </c>
      <c r="D90" s="83">
        <v>4072.2</v>
      </c>
      <c r="E90" s="82">
        <v>7.0803000000000003</v>
      </c>
      <c r="F90" s="82"/>
      <c r="G90" s="28"/>
      <c r="H90" s="28"/>
    </row>
    <row r="91" spans="1:8" ht="18.75" customHeight="1" x14ac:dyDescent="0.25">
      <c r="A91" s="7">
        <v>820</v>
      </c>
      <c r="B91" s="85">
        <v>2.5727E-2</v>
      </c>
      <c r="C91" s="83">
        <v>3634.7</v>
      </c>
      <c r="D91" s="83">
        <v>4123.5</v>
      </c>
      <c r="E91" s="82">
        <v>7.1276999999999999</v>
      </c>
      <c r="F91" s="82"/>
      <c r="G91" s="28"/>
      <c r="H91" s="28"/>
    </row>
    <row r="92" spans="1:8" ht="18.75" customHeight="1" x14ac:dyDescent="0.25">
      <c r="A92" s="7">
        <v>840</v>
      </c>
      <c r="B92" s="85">
        <v>2.6277999999999999E-2</v>
      </c>
      <c r="C92" s="83">
        <v>3675.6</v>
      </c>
      <c r="D92" s="83">
        <v>4174.8999999999996</v>
      </c>
      <c r="E92" s="82">
        <v>7.1742999999999997</v>
      </c>
      <c r="F92" s="82"/>
      <c r="G92" s="28"/>
      <c r="H92" s="28"/>
    </row>
    <row r="93" spans="1:8" ht="18.75" customHeight="1" x14ac:dyDescent="0.25">
      <c r="A93" s="7">
        <v>860</v>
      </c>
      <c r="B93" s="85">
        <v>2.6824000000000001E-2</v>
      </c>
      <c r="C93" s="83">
        <v>3716.5</v>
      </c>
      <c r="D93" s="83">
        <v>4226.2</v>
      </c>
      <c r="E93" s="82">
        <v>7.22</v>
      </c>
      <c r="F93" s="82"/>
      <c r="G93" s="28"/>
      <c r="H93" s="28"/>
    </row>
    <row r="94" spans="1:8" ht="18.75" customHeight="1" x14ac:dyDescent="0.25">
      <c r="A94" s="7">
        <v>880</v>
      </c>
      <c r="B94" s="85">
        <v>2.7366999999999999E-2</v>
      </c>
      <c r="C94" s="83">
        <v>3757.6</v>
      </c>
      <c r="D94" s="83">
        <v>4277.6000000000004</v>
      </c>
      <c r="E94" s="82">
        <v>7.2648999999999999</v>
      </c>
      <c r="F94" s="82"/>
      <c r="G94" s="28"/>
      <c r="H94" s="28"/>
    </row>
    <row r="95" spans="1:8" ht="18.75" customHeight="1" x14ac:dyDescent="0.25">
      <c r="A95" s="7">
        <v>900</v>
      </c>
      <c r="B95" s="85">
        <v>2.7907000000000001E-2</v>
      </c>
      <c r="C95" s="83">
        <v>3798.8</v>
      </c>
      <c r="D95" s="83">
        <v>4329</v>
      </c>
      <c r="E95" s="82">
        <v>7.3091999999999997</v>
      </c>
      <c r="F95" s="82"/>
      <c r="G95" s="28"/>
      <c r="H95" s="28"/>
    </row>
    <row r="96" spans="1:8" ht="18.75" customHeight="1" x14ac:dyDescent="0.25">
      <c r="A96" s="7">
        <v>920</v>
      </c>
      <c r="B96" s="85">
        <v>2.8444000000000001E-2</v>
      </c>
      <c r="C96" s="83">
        <v>3840.2</v>
      </c>
      <c r="D96" s="83">
        <v>4380.6000000000004</v>
      </c>
      <c r="E96" s="82">
        <v>7.3526999999999996</v>
      </c>
      <c r="F96" s="82"/>
      <c r="G96" s="28"/>
      <c r="H96" s="28"/>
    </row>
    <row r="97" spans="1:8" ht="18.75" customHeight="1" x14ac:dyDescent="0.25">
      <c r="A97" s="7">
        <v>940</v>
      </c>
      <c r="B97" s="85">
        <v>2.8978E-2</v>
      </c>
      <c r="C97" s="83">
        <v>3881.6</v>
      </c>
      <c r="D97" s="83">
        <v>4432.2</v>
      </c>
      <c r="E97" s="82">
        <v>7.3956</v>
      </c>
      <c r="F97" s="82"/>
      <c r="G97" s="28"/>
      <c r="H97" s="28"/>
    </row>
    <row r="98" spans="1:8" ht="18.75" customHeight="1" x14ac:dyDescent="0.25">
      <c r="A98" s="7">
        <v>960</v>
      </c>
      <c r="B98" s="85">
        <v>2.9509000000000001E-2</v>
      </c>
      <c r="C98" s="83">
        <v>3923.2</v>
      </c>
      <c r="D98" s="83">
        <v>4483.8999999999996</v>
      </c>
      <c r="E98" s="82">
        <v>7.4379</v>
      </c>
      <c r="F98" s="82"/>
      <c r="G98" s="28"/>
      <c r="H98" s="28"/>
    </row>
    <row r="99" spans="1:8" ht="18.75" customHeight="1" x14ac:dyDescent="0.25">
      <c r="A99" s="7">
        <v>980</v>
      </c>
      <c r="B99" s="85">
        <v>3.0037999999999999E-2</v>
      </c>
      <c r="C99" s="83">
        <v>3965</v>
      </c>
      <c r="D99" s="83">
        <v>4535.7</v>
      </c>
      <c r="E99" s="82">
        <v>7.4795999999999996</v>
      </c>
      <c r="F99" s="82"/>
      <c r="G99" s="28"/>
      <c r="H99" s="28"/>
    </row>
    <row r="100" spans="1:8" ht="18.75" customHeight="1" x14ac:dyDescent="0.25">
      <c r="A100" s="7">
        <v>1000</v>
      </c>
      <c r="B100" s="85">
        <v>3.0564999999999998E-2</v>
      </c>
      <c r="C100" s="83">
        <v>4006.9</v>
      </c>
      <c r="D100" s="83">
        <v>4587.6000000000004</v>
      </c>
      <c r="E100" s="82">
        <v>7.5206999999999997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H100"/>
  <sheetViews>
    <sheetView topLeftCell="A46" workbookViewId="0">
      <selection activeCell="A62" sqref="A62:XFD62"/>
    </sheetView>
  </sheetViews>
  <sheetFormatPr defaultRowHeight="13.2" x14ac:dyDescent="0.25"/>
  <cols>
    <col min="1" max="1" width="9" customWidth="1"/>
    <col min="2" max="2" width="9.88671875" customWidth="1"/>
    <col min="3" max="3" width="7.33203125" customWidth="1"/>
    <col min="4" max="4" width="6.5546875" customWidth="1"/>
    <col min="5" max="5" width="8.77734375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99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20000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9.9036000000000003E-4</v>
      </c>
      <c r="C5" s="80">
        <v>0.22</v>
      </c>
      <c r="D5" s="80">
        <v>20.03</v>
      </c>
      <c r="E5" s="81">
        <v>4.6999999999999999E-4</v>
      </c>
      <c r="F5" s="81"/>
      <c r="G5" s="28"/>
      <c r="H5" s="28"/>
    </row>
    <row r="6" spans="1:8" ht="18.75" customHeight="1" x14ac:dyDescent="0.25">
      <c r="A6" s="7">
        <v>5</v>
      </c>
      <c r="B6" s="79">
        <v>9.9054999999999998E-4</v>
      </c>
      <c r="C6" s="80">
        <v>20.87</v>
      </c>
      <c r="D6" s="80">
        <v>40.68</v>
      </c>
      <c r="E6" s="81">
        <v>7.5359999999999996E-2</v>
      </c>
      <c r="F6" s="81"/>
      <c r="G6" s="28"/>
      <c r="H6" s="28"/>
    </row>
    <row r="7" spans="1:8" ht="18.75" customHeight="1" x14ac:dyDescent="0.25">
      <c r="A7" s="7">
        <v>10</v>
      </c>
      <c r="B7" s="79">
        <v>9.9106999999999993E-4</v>
      </c>
      <c r="C7" s="80">
        <v>41.49</v>
      </c>
      <c r="D7" s="80">
        <v>61.31</v>
      </c>
      <c r="E7" s="81">
        <v>0.14888000000000001</v>
      </c>
      <c r="F7" s="81"/>
      <c r="G7" s="28"/>
      <c r="H7" s="28"/>
    </row>
    <row r="8" spans="1:8" ht="18.75" customHeight="1" x14ac:dyDescent="0.25">
      <c r="A8" s="7">
        <v>15</v>
      </c>
      <c r="B8" s="79">
        <v>9.9186999999999995E-4</v>
      </c>
      <c r="C8" s="80">
        <v>62.1</v>
      </c>
      <c r="D8" s="80">
        <v>81.94</v>
      </c>
      <c r="E8" s="81">
        <v>0.22109000000000001</v>
      </c>
      <c r="F8" s="81"/>
      <c r="G8" s="28"/>
      <c r="H8" s="28"/>
    </row>
    <row r="9" spans="1:8" ht="18.75" customHeight="1" x14ac:dyDescent="0.25">
      <c r="A9" s="7">
        <v>20</v>
      </c>
      <c r="B9" s="79">
        <v>9.9292E-4</v>
      </c>
      <c r="C9" s="80">
        <v>82.71</v>
      </c>
      <c r="D9" s="80">
        <v>102.57</v>
      </c>
      <c r="E9" s="81">
        <v>0.29207</v>
      </c>
      <c r="F9" s="81"/>
      <c r="G9" s="28"/>
      <c r="H9" s="28"/>
    </row>
    <row r="10" spans="1:8" ht="18.75" customHeight="1" x14ac:dyDescent="0.25">
      <c r="A10" s="7">
        <v>25</v>
      </c>
      <c r="B10" s="79">
        <v>9.9419000000000005E-4</v>
      </c>
      <c r="C10" s="80">
        <v>103.32</v>
      </c>
      <c r="D10" s="80">
        <v>123.2</v>
      </c>
      <c r="E10" s="81">
        <v>0.36187000000000002</v>
      </c>
      <c r="F10" s="81"/>
      <c r="G10" s="28"/>
      <c r="H10" s="28"/>
    </row>
    <row r="11" spans="1:8" ht="18.75" customHeight="1" x14ac:dyDescent="0.25">
      <c r="A11" s="7">
        <v>30</v>
      </c>
      <c r="B11" s="79">
        <v>9.9568000000000009E-4</v>
      </c>
      <c r="C11" s="80">
        <v>123.93</v>
      </c>
      <c r="D11" s="80">
        <v>143.84</v>
      </c>
      <c r="E11" s="81">
        <v>0.43053000000000002</v>
      </c>
      <c r="F11" s="81"/>
      <c r="G11" s="28"/>
      <c r="H11" s="28"/>
    </row>
    <row r="12" spans="1:8" ht="18.75" customHeight="1" x14ac:dyDescent="0.25">
      <c r="A12" s="7">
        <v>35</v>
      </c>
      <c r="B12" s="79">
        <v>9.9737000000000003E-4</v>
      </c>
      <c r="C12" s="80">
        <v>144.54</v>
      </c>
      <c r="D12" s="80">
        <v>164.49</v>
      </c>
      <c r="E12" s="81">
        <v>0.49809999999999999</v>
      </c>
      <c r="F12" s="81"/>
      <c r="G12" s="28"/>
      <c r="H12" s="28"/>
    </row>
    <row r="13" spans="1:8" ht="18.75" customHeight="1" x14ac:dyDescent="0.25">
      <c r="A13" s="7">
        <v>40</v>
      </c>
      <c r="B13" s="79">
        <v>9.9923000000000004E-4</v>
      </c>
      <c r="C13" s="80">
        <v>165.18</v>
      </c>
      <c r="D13" s="80">
        <v>185.16</v>
      </c>
      <c r="E13" s="81">
        <v>0.56460999999999995</v>
      </c>
      <c r="F13" s="81"/>
      <c r="G13" s="28"/>
      <c r="H13" s="28"/>
    </row>
    <row r="14" spans="1:8" ht="18.75" customHeight="1" x14ac:dyDescent="0.25">
      <c r="A14" s="7">
        <v>45</v>
      </c>
      <c r="B14" s="79">
        <v>1.0012700000000001E-3</v>
      </c>
      <c r="C14" s="80">
        <v>185.8</v>
      </c>
      <c r="D14" s="80">
        <v>205.83</v>
      </c>
      <c r="E14" s="81">
        <v>0.63009999999999999</v>
      </c>
      <c r="F14" s="81"/>
      <c r="G14" s="28"/>
      <c r="H14" s="28"/>
    </row>
    <row r="15" spans="1:8" ht="18.75" customHeight="1" x14ac:dyDescent="0.25">
      <c r="A15" s="7">
        <v>50</v>
      </c>
      <c r="B15" s="79">
        <v>1.00348E-3</v>
      </c>
      <c r="C15" s="80">
        <v>206.44</v>
      </c>
      <c r="D15" s="80">
        <v>226.51</v>
      </c>
      <c r="E15" s="81">
        <v>0.69460999999999995</v>
      </c>
      <c r="F15" s="81"/>
      <c r="G15" s="28"/>
      <c r="H15" s="28"/>
    </row>
    <row r="16" spans="1:8" ht="18.75" customHeight="1" x14ac:dyDescent="0.25">
      <c r="A16" s="7">
        <v>55</v>
      </c>
      <c r="B16" s="79">
        <v>1.00585E-3</v>
      </c>
      <c r="C16" s="80">
        <v>227.09</v>
      </c>
      <c r="D16" s="80">
        <v>247.21</v>
      </c>
      <c r="E16" s="81">
        <v>0.75817000000000001</v>
      </c>
      <c r="F16" s="81"/>
      <c r="G16" s="28"/>
      <c r="H16" s="28"/>
    </row>
    <row r="17" spans="1:8" ht="18.75" customHeight="1" x14ac:dyDescent="0.25">
      <c r="A17" s="7">
        <v>60</v>
      </c>
      <c r="B17" s="79">
        <v>1.00836E-3</v>
      </c>
      <c r="C17" s="80">
        <v>247.75</v>
      </c>
      <c r="D17" s="80">
        <v>267.92</v>
      </c>
      <c r="E17" s="81">
        <v>0.82079999999999997</v>
      </c>
      <c r="F17" s="81"/>
      <c r="G17" s="28"/>
      <c r="H17" s="28"/>
    </row>
    <row r="18" spans="1:8" ht="18.75" customHeight="1" x14ac:dyDescent="0.25">
      <c r="A18" s="7">
        <v>65</v>
      </c>
      <c r="B18" s="79">
        <v>1.01103E-3</v>
      </c>
      <c r="C18" s="80">
        <v>268.42</v>
      </c>
      <c r="D18" s="80">
        <v>288.64</v>
      </c>
      <c r="E18" s="81">
        <v>0.88253999999999999</v>
      </c>
      <c r="F18" s="81"/>
      <c r="G18" s="28"/>
      <c r="H18" s="28"/>
    </row>
    <row r="19" spans="1:8" ht="18.75" customHeight="1" x14ac:dyDescent="0.25">
      <c r="A19" s="7">
        <v>70</v>
      </c>
      <c r="B19" s="79">
        <v>1.01384E-3</v>
      </c>
      <c r="C19" s="80">
        <v>289.10000000000002</v>
      </c>
      <c r="D19" s="80">
        <v>309.38</v>
      </c>
      <c r="E19" s="81">
        <v>0.94340999999999997</v>
      </c>
      <c r="F19" s="81"/>
      <c r="G19" s="28"/>
      <c r="H19" s="28"/>
    </row>
    <row r="20" spans="1:8" ht="18.75" customHeight="1" x14ac:dyDescent="0.25">
      <c r="A20" s="7">
        <v>75</v>
      </c>
      <c r="B20" s="79">
        <v>1.0168E-3</v>
      </c>
      <c r="C20" s="80">
        <v>309.79000000000002</v>
      </c>
      <c r="D20" s="80">
        <v>330.13</v>
      </c>
      <c r="E20" s="82">
        <v>1.0035000000000001</v>
      </c>
      <c r="F20" s="82"/>
      <c r="G20" s="28"/>
      <c r="H20" s="28"/>
    </row>
    <row r="21" spans="1:8" ht="18.75" customHeight="1" x14ac:dyDescent="0.25">
      <c r="A21" s="7">
        <v>80</v>
      </c>
      <c r="B21" s="79">
        <v>1.0198900000000001E-3</v>
      </c>
      <c r="C21" s="80">
        <v>330.5</v>
      </c>
      <c r="D21" s="80">
        <v>350.9</v>
      </c>
      <c r="E21" s="82">
        <v>1.0627</v>
      </c>
      <c r="F21" s="82"/>
      <c r="G21" s="28"/>
      <c r="H21" s="28"/>
    </row>
    <row r="22" spans="1:8" ht="18.75" customHeight="1" x14ac:dyDescent="0.25">
      <c r="A22" s="7">
        <v>85</v>
      </c>
      <c r="B22" s="79">
        <v>1.0231299999999999E-3</v>
      </c>
      <c r="C22" s="80">
        <v>351.23</v>
      </c>
      <c r="D22" s="80">
        <v>371.69</v>
      </c>
      <c r="E22" s="82">
        <v>1.1211</v>
      </c>
      <c r="F22" s="82"/>
      <c r="G22" s="28"/>
      <c r="H22" s="28"/>
    </row>
    <row r="23" spans="1:8" ht="18.75" customHeight="1" x14ac:dyDescent="0.25">
      <c r="A23" s="7">
        <v>90</v>
      </c>
      <c r="B23" s="79">
        <v>1.0265000000000001E-3</v>
      </c>
      <c r="C23" s="80">
        <v>371.96</v>
      </c>
      <c r="D23" s="80">
        <v>392.49</v>
      </c>
      <c r="E23" s="82">
        <v>1.1788000000000001</v>
      </c>
      <c r="F23" s="82"/>
      <c r="G23" s="28"/>
      <c r="H23" s="28"/>
    </row>
    <row r="24" spans="1:8" ht="18.75" customHeight="1" x14ac:dyDescent="0.25">
      <c r="A24" s="7">
        <v>95</v>
      </c>
      <c r="B24" s="79">
        <v>1.03001E-3</v>
      </c>
      <c r="C24" s="80">
        <v>392.72</v>
      </c>
      <c r="D24" s="80">
        <v>413.32</v>
      </c>
      <c r="E24" s="82">
        <v>1.2358</v>
      </c>
      <c r="F24" s="82"/>
      <c r="G24" s="28"/>
      <c r="H24" s="28"/>
    </row>
    <row r="25" spans="1:8" ht="18.75" customHeight="1" x14ac:dyDescent="0.25">
      <c r="A25" s="7">
        <v>100</v>
      </c>
      <c r="B25" s="79">
        <v>1.03366E-3</v>
      </c>
      <c r="C25" s="80">
        <v>413.5</v>
      </c>
      <c r="D25" s="80">
        <v>434.17</v>
      </c>
      <c r="E25" s="82">
        <v>1.292</v>
      </c>
      <c r="F25" s="82"/>
      <c r="G25" s="28"/>
      <c r="H25" s="28"/>
    </row>
    <row r="26" spans="1:8" ht="18.75" customHeight="1" x14ac:dyDescent="0.25">
      <c r="A26" s="7">
        <v>105</v>
      </c>
      <c r="B26" s="79">
        <v>1.0374399999999999E-3</v>
      </c>
      <c r="C26" s="80">
        <v>434.29</v>
      </c>
      <c r="D26" s="80">
        <v>455.04</v>
      </c>
      <c r="E26" s="82">
        <v>1.3475999999999999</v>
      </c>
      <c r="F26" s="82"/>
      <c r="G26" s="28"/>
      <c r="H26" s="28"/>
    </row>
    <row r="27" spans="1:8" ht="18.75" customHeight="1" x14ac:dyDescent="0.25">
      <c r="A27" s="7">
        <v>110</v>
      </c>
      <c r="B27" s="79">
        <v>1.0413600000000001E-3</v>
      </c>
      <c r="C27" s="80">
        <v>455.11</v>
      </c>
      <c r="D27" s="80">
        <v>475.94</v>
      </c>
      <c r="E27" s="82">
        <v>1.4025000000000001</v>
      </c>
      <c r="F27" s="82"/>
      <c r="G27" s="28"/>
      <c r="H27" s="28"/>
    </row>
    <row r="28" spans="1:8" ht="18.75" customHeight="1" x14ac:dyDescent="0.25">
      <c r="A28" s="7">
        <v>115</v>
      </c>
      <c r="B28" s="79">
        <v>1.04543E-3</v>
      </c>
      <c r="C28" s="80">
        <v>475.97</v>
      </c>
      <c r="D28" s="80">
        <v>496.88</v>
      </c>
      <c r="E28" s="82">
        <v>1.4568000000000001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1.04963E-3</v>
      </c>
      <c r="C29" s="80">
        <v>496.85</v>
      </c>
      <c r="D29" s="80">
        <v>517.84</v>
      </c>
      <c r="E29" s="82">
        <v>1.5105</v>
      </c>
      <c r="F29" s="82"/>
      <c r="G29" s="28"/>
      <c r="H29" s="28"/>
    </row>
    <row r="30" spans="1:8" ht="18.75" customHeight="1" x14ac:dyDescent="0.25">
      <c r="A30" s="7">
        <v>125</v>
      </c>
      <c r="B30" s="79">
        <v>1.0539799999999999E-3</v>
      </c>
      <c r="C30" s="80">
        <v>517.76</v>
      </c>
      <c r="D30" s="80">
        <v>538.84</v>
      </c>
      <c r="E30" s="82">
        <v>1.5634999999999999</v>
      </c>
      <c r="F30" s="82"/>
      <c r="G30" s="28"/>
      <c r="H30" s="28"/>
    </row>
    <row r="31" spans="1:8" ht="18.75" customHeight="1" x14ac:dyDescent="0.25">
      <c r="A31" s="7">
        <v>130</v>
      </c>
      <c r="B31" s="79">
        <v>1.0584699999999999E-3</v>
      </c>
      <c r="C31" s="80">
        <v>538.70000000000005</v>
      </c>
      <c r="D31" s="80">
        <v>559.87</v>
      </c>
      <c r="E31" s="82">
        <v>1.6160000000000001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1.0631099999999999E-3</v>
      </c>
      <c r="C32" s="80">
        <v>559.69000000000005</v>
      </c>
      <c r="D32" s="80">
        <v>580.95000000000005</v>
      </c>
      <c r="E32" s="82">
        <v>1.6679999999999999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1.0679000000000001E-3</v>
      </c>
      <c r="C33" s="80">
        <v>580.71</v>
      </c>
      <c r="D33" s="80">
        <v>602.07000000000005</v>
      </c>
      <c r="E33" s="82">
        <v>1.7194</v>
      </c>
      <c r="F33" s="82"/>
      <c r="G33" s="28"/>
      <c r="H33" s="28"/>
    </row>
    <row r="34" spans="1:8" ht="18.75" customHeight="1" x14ac:dyDescent="0.25">
      <c r="A34" s="7">
        <v>145</v>
      </c>
      <c r="B34" s="79">
        <v>1.07284E-3</v>
      </c>
      <c r="C34" s="80">
        <v>601.77</v>
      </c>
      <c r="D34" s="80">
        <v>623.23</v>
      </c>
      <c r="E34" s="82">
        <v>1.7703</v>
      </c>
      <c r="F34" s="82"/>
      <c r="G34" s="28"/>
      <c r="H34" s="28"/>
    </row>
    <row r="35" spans="1:8" ht="18.75" customHeight="1" x14ac:dyDescent="0.25">
      <c r="A35" s="7">
        <v>150</v>
      </c>
      <c r="B35" s="79">
        <v>1.07795E-3</v>
      </c>
      <c r="C35" s="80">
        <v>622.89</v>
      </c>
      <c r="D35" s="80">
        <v>644.45000000000005</v>
      </c>
      <c r="E35" s="82">
        <v>1.8208</v>
      </c>
      <c r="F35" s="82"/>
      <c r="G35" s="28"/>
      <c r="H35" s="28"/>
    </row>
    <row r="36" spans="1:8" ht="18.75" customHeight="1" x14ac:dyDescent="0.25">
      <c r="A36" s="7">
        <v>155</v>
      </c>
      <c r="B36" s="79">
        <v>1.08321E-3</v>
      </c>
      <c r="C36" s="80">
        <v>644.05999999999995</v>
      </c>
      <c r="D36" s="80">
        <v>665.72</v>
      </c>
      <c r="E36" s="82">
        <v>1.8707</v>
      </c>
      <c r="F36" s="82"/>
      <c r="G36" s="28"/>
      <c r="H36" s="28"/>
    </row>
    <row r="37" spans="1:8" ht="18.75" customHeight="1" x14ac:dyDescent="0.25">
      <c r="A37" s="7">
        <v>160</v>
      </c>
      <c r="B37" s="79">
        <v>1.08865E-3</v>
      </c>
      <c r="C37" s="80">
        <v>665.28</v>
      </c>
      <c r="D37" s="80">
        <v>687.05</v>
      </c>
      <c r="E37" s="82">
        <v>1.9202999999999999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1.0942599999999999E-3</v>
      </c>
      <c r="C38" s="80">
        <v>686.55</v>
      </c>
      <c r="D38" s="80">
        <v>708.44</v>
      </c>
      <c r="E38" s="82">
        <v>1.9694</v>
      </c>
      <c r="F38" s="82"/>
      <c r="G38" s="28"/>
      <c r="H38" s="28"/>
    </row>
    <row r="39" spans="1:8" ht="18.75" customHeight="1" x14ac:dyDescent="0.25">
      <c r="A39" s="7">
        <v>170</v>
      </c>
      <c r="B39" s="79">
        <v>1.10005E-3</v>
      </c>
      <c r="C39" s="80">
        <v>707.89</v>
      </c>
      <c r="D39" s="80">
        <v>729.89</v>
      </c>
      <c r="E39" s="82">
        <v>2.0181</v>
      </c>
      <c r="F39" s="82"/>
      <c r="G39" s="28"/>
      <c r="H39" s="28"/>
    </row>
    <row r="40" spans="1:8" ht="18.75" customHeight="1" x14ac:dyDescent="0.25">
      <c r="A40" s="7">
        <v>175</v>
      </c>
      <c r="B40" s="79">
        <v>1.10603E-3</v>
      </c>
      <c r="C40" s="80">
        <v>729.3</v>
      </c>
      <c r="D40" s="80">
        <v>751.42</v>
      </c>
      <c r="E40" s="82">
        <v>2.0663999999999998</v>
      </c>
      <c r="F40" s="82"/>
      <c r="G40" s="28"/>
      <c r="H40" s="28"/>
    </row>
    <row r="41" spans="1:8" ht="18.75" customHeight="1" x14ac:dyDescent="0.25">
      <c r="A41" s="7">
        <v>180</v>
      </c>
      <c r="B41" s="79">
        <v>1.1122E-3</v>
      </c>
      <c r="C41" s="80">
        <v>750.78</v>
      </c>
      <c r="D41" s="80">
        <v>773.02</v>
      </c>
      <c r="E41" s="82">
        <v>2.1143000000000001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1.1185699999999999E-3</v>
      </c>
      <c r="C42" s="80">
        <v>772.33</v>
      </c>
      <c r="D42" s="80">
        <v>794.7</v>
      </c>
      <c r="E42" s="82">
        <v>2.1619000000000002</v>
      </c>
      <c r="F42" s="82"/>
      <c r="G42" s="28"/>
      <c r="H42" s="28"/>
    </row>
    <row r="43" spans="1:8" ht="18.75" customHeight="1" x14ac:dyDescent="0.25">
      <c r="A43" s="7">
        <v>190</v>
      </c>
      <c r="B43" s="79">
        <v>1.12516E-3</v>
      </c>
      <c r="C43" s="80">
        <v>793.96</v>
      </c>
      <c r="D43" s="80">
        <v>816.46</v>
      </c>
      <c r="E43" s="82">
        <v>2.2090999999999998</v>
      </c>
      <c r="F43" s="82"/>
      <c r="G43" s="28"/>
      <c r="H43" s="28"/>
    </row>
    <row r="44" spans="1:8" ht="18.75" customHeight="1" x14ac:dyDescent="0.25">
      <c r="A44" s="7">
        <v>195</v>
      </c>
      <c r="B44" s="79">
        <v>1.13196E-3</v>
      </c>
      <c r="C44" s="80">
        <v>815.68</v>
      </c>
      <c r="D44" s="80">
        <v>838.32</v>
      </c>
      <c r="E44" s="82">
        <v>2.2561</v>
      </c>
      <c r="F44" s="82"/>
      <c r="G44" s="28"/>
      <c r="H44" s="28"/>
    </row>
    <row r="45" spans="1:8" ht="18.75" customHeight="1" x14ac:dyDescent="0.25">
      <c r="A45" s="7">
        <v>200</v>
      </c>
      <c r="B45" s="79">
        <v>1.139E-3</v>
      </c>
      <c r="C45" s="80">
        <v>837.49</v>
      </c>
      <c r="D45" s="80">
        <v>860.27</v>
      </c>
      <c r="E45" s="82">
        <v>2.3027000000000002</v>
      </c>
      <c r="F45" s="82"/>
      <c r="G45" s="28"/>
      <c r="H45" s="28"/>
    </row>
    <row r="46" spans="1:8" ht="18.75" customHeight="1" x14ac:dyDescent="0.25">
      <c r="A46" s="7">
        <v>210</v>
      </c>
      <c r="B46" s="79">
        <v>1.1538099999999999E-3</v>
      </c>
      <c r="C46" s="80">
        <v>881.4</v>
      </c>
      <c r="D46" s="80">
        <v>904.48</v>
      </c>
      <c r="E46" s="82">
        <v>2.3952</v>
      </c>
      <c r="F46" s="82"/>
      <c r="G46" s="28"/>
      <c r="H46" s="28"/>
    </row>
    <row r="47" spans="1:8" ht="18.75" customHeight="1" x14ac:dyDescent="0.25">
      <c r="A47" s="7">
        <v>220</v>
      </c>
      <c r="B47" s="79">
        <v>1.16971E-3</v>
      </c>
      <c r="C47" s="80">
        <v>925.77</v>
      </c>
      <c r="D47" s="80">
        <v>949.16</v>
      </c>
      <c r="E47" s="82">
        <v>2.4866999999999999</v>
      </c>
      <c r="F47" s="82"/>
      <c r="G47" s="28"/>
      <c r="H47" s="28"/>
    </row>
    <row r="48" spans="1:8" ht="18.75" customHeight="1" x14ac:dyDescent="0.25">
      <c r="A48" s="7">
        <v>230</v>
      </c>
      <c r="B48" s="79">
        <v>1.1868200000000001E-3</v>
      </c>
      <c r="C48" s="80">
        <v>970.63</v>
      </c>
      <c r="D48" s="80">
        <v>994.37</v>
      </c>
      <c r="E48" s="82">
        <v>2.5773999999999999</v>
      </c>
      <c r="F48" s="82"/>
      <c r="G48" s="28"/>
      <c r="H48" s="28"/>
    </row>
    <row r="49" spans="1:8" ht="18.75" customHeight="1" x14ac:dyDescent="0.25">
      <c r="A49" s="7">
        <v>240</v>
      </c>
      <c r="B49" s="79">
        <v>1.2053000000000001E-3</v>
      </c>
      <c r="C49" s="83">
        <v>1016.1</v>
      </c>
      <c r="D49" s="83">
        <v>1040.2</v>
      </c>
      <c r="E49" s="82">
        <v>2.6676000000000002</v>
      </c>
      <c r="F49" s="82"/>
      <c r="G49" s="28"/>
      <c r="H49" s="28"/>
    </row>
    <row r="50" spans="1:8" ht="18.75" customHeight="1" x14ac:dyDescent="0.25">
      <c r="A50" s="7">
        <v>250</v>
      </c>
      <c r="B50" s="79">
        <v>1.22536E-3</v>
      </c>
      <c r="C50" s="83">
        <v>1062.2</v>
      </c>
      <c r="D50" s="83">
        <v>1086.7</v>
      </c>
      <c r="E50" s="82">
        <v>2.7572999999999999</v>
      </c>
      <c r="F50" s="82"/>
      <c r="G50" s="28"/>
      <c r="H50" s="28"/>
    </row>
    <row r="51" spans="1:8" ht="18.75" customHeight="1" x14ac:dyDescent="0.25">
      <c r="A51" s="7">
        <v>260</v>
      </c>
      <c r="B51" s="79">
        <v>1.24723E-3</v>
      </c>
      <c r="C51" s="83">
        <v>1109.0999999999999</v>
      </c>
      <c r="D51" s="83">
        <v>1134</v>
      </c>
      <c r="E51" s="82">
        <v>2.8469000000000002</v>
      </c>
      <c r="F51" s="82"/>
      <c r="G51" s="28"/>
      <c r="H51" s="28"/>
    </row>
    <row r="52" spans="1:8" ht="18.75" customHeight="1" x14ac:dyDescent="0.25">
      <c r="A52" s="7">
        <v>270</v>
      </c>
      <c r="B52" s="79">
        <v>1.27125E-3</v>
      </c>
      <c r="C52" s="83">
        <v>1156.8</v>
      </c>
      <c r="D52" s="83">
        <v>1182.2</v>
      </c>
      <c r="E52" s="82">
        <v>2.9365000000000001</v>
      </c>
      <c r="F52" s="82"/>
      <c r="G52" s="28"/>
      <c r="H52" s="28"/>
    </row>
    <row r="53" spans="1:8" ht="18.75" customHeight="1" x14ac:dyDescent="0.25">
      <c r="A53" s="7">
        <v>280</v>
      </c>
      <c r="B53" s="79">
        <v>1.2978200000000001E-3</v>
      </c>
      <c r="C53" s="83">
        <v>1205.5</v>
      </c>
      <c r="D53" s="83">
        <v>1231.5</v>
      </c>
      <c r="E53" s="82">
        <v>3.0265</v>
      </c>
      <c r="F53" s="82"/>
      <c r="G53" s="28"/>
      <c r="H53" s="28"/>
    </row>
    <row r="54" spans="1:8" ht="18.75" customHeight="1" x14ac:dyDescent="0.25">
      <c r="A54" s="7">
        <v>290</v>
      </c>
      <c r="B54" s="79">
        <v>1.3274999999999999E-3</v>
      </c>
      <c r="C54" s="83">
        <v>1255.5</v>
      </c>
      <c r="D54" s="83">
        <v>1282.0999999999999</v>
      </c>
      <c r="E54" s="82">
        <v>3.1172</v>
      </c>
      <c r="F54" s="82"/>
      <c r="G54" s="28"/>
      <c r="H54" s="28"/>
    </row>
    <row r="55" spans="1:8" ht="18.75" customHeight="1" x14ac:dyDescent="0.25">
      <c r="A55" s="7">
        <v>300</v>
      </c>
      <c r="B55" s="79">
        <v>1.36108E-3</v>
      </c>
      <c r="C55" s="83">
        <v>1307.2</v>
      </c>
      <c r="D55" s="83">
        <v>1334.4</v>
      </c>
      <c r="E55" s="82">
        <v>3.2090999999999998</v>
      </c>
      <c r="F55" s="82"/>
      <c r="G55" s="28"/>
      <c r="H55" s="28"/>
    </row>
    <row r="56" spans="1:8" ht="18.75" customHeight="1" x14ac:dyDescent="0.25">
      <c r="A56" s="7">
        <v>310</v>
      </c>
      <c r="B56" s="79">
        <v>1.3996600000000001E-3</v>
      </c>
      <c r="C56" s="83">
        <v>1360.6</v>
      </c>
      <c r="D56" s="83">
        <v>1388.6</v>
      </c>
      <c r="E56" s="82">
        <v>3.3029000000000002</v>
      </c>
      <c r="F56" s="82"/>
      <c r="G56" s="28"/>
      <c r="H56" s="28"/>
    </row>
    <row r="57" spans="1:8" ht="18.75" customHeight="1" x14ac:dyDescent="0.25">
      <c r="A57" s="7">
        <v>320</v>
      </c>
      <c r="B57" s="79">
        <v>1.4449599999999999E-3</v>
      </c>
      <c r="C57" s="83">
        <v>1416.6</v>
      </c>
      <c r="D57" s="83">
        <v>1445.5</v>
      </c>
      <c r="E57" s="82">
        <v>3.3996</v>
      </c>
      <c r="F57" s="82"/>
      <c r="G57" s="28"/>
      <c r="H57" s="28"/>
    </row>
    <row r="58" spans="1:8" ht="18.75" customHeight="1" x14ac:dyDescent="0.25">
      <c r="A58" s="7">
        <v>330</v>
      </c>
      <c r="B58" s="79">
        <v>1.49978E-3</v>
      </c>
      <c r="C58" s="83">
        <v>1475.9</v>
      </c>
      <c r="D58" s="83">
        <v>1505.9</v>
      </c>
      <c r="E58" s="82">
        <v>3.5005999999999999</v>
      </c>
      <c r="F58" s="82"/>
      <c r="G58" s="28"/>
      <c r="H58" s="28"/>
    </row>
    <row r="59" spans="1:8" ht="18.75" customHeight="1" x14ac:dyDescent="0.25">
      <c r="A59" s="7">
        <v>340</v>
      </c>
      <c r="B59" s="79">
        <v>1.5692900000000001E-3</v>
      </c>
      <c r="C59" s="83">
        <v>1540.2</v>
      </c>
      <c r="D59" s="83">
        <v>1571.6</v>
      </c>
      <c r="E59" s="82">
        <v>3.6086</v>
      </c>
      <c r="F59" s="82"/>
      <c r="G59" s="28"/>
      <c r="H59" s="28"/>
    </row>
    <row r="60" spans="1:8" ht="18.75" customHeight="1" x14ac:dyDescent="0.25">
      <c r="A60" s="7">
        <v>350</v>
      </c>
      <c r="B60" s="79">
        <v>1.6649E-3</v>
      </c>
      <c r="C60" s="83">
        <v>1612.7</v>
      </c>
      <c r="D60" s="83">
        <v>1646</v>
      </c>
      <c r="E60" s="82">
        <v>3.7290000000000001</v>
      </c>
      <c r="F60" s="82"/>
      <c r="G60" s="28"/>
      <c r="H60" s="28"/>
    </row>
    <row r="61" spans="1:8" ht="18.75" customHeight="1" x14ac:dyDescent="0.25">
      <c r="A61" s="7">
        <v>360</v>
      </c>
      <c r="B61" s="79">
        <v>1.82479E-3</v>
      </c>
      <c r="C61" s="83">
        <v>1703.6</v>
      </c>
      <c r="D61" s="83">
        <v>1740.1</v>
      </c>
      <c r="E61" s="82">
        <v>3.8786999999999998</v>
      </c>
      <c r="F61" s="82"/>
      <c r="G61" s="28"/>
      <c r="H61" s="28"/>
    </row>
    <row r="62" spans="1:8" ht="18.75" customHeight="1" x14ac:dyDescent="0.25">
      <c r="A62" s="7">
        <v>370</v>
      </c>
      <c r="B62" s="79">
        <v>6.9233999999999997E-3</v>
      </c>
      <c r="C62" s="83">
        <v>2388</v>
      </c>
      <c r="D62" s="83">
        <v>2526.5</v>
      </c>
      <c r="E62" s="82">
        <v>5.1097000000000001</v>
      </c>
      <c r="F62" s="82"/>
      <c r="G62" s="28"/>
      <c r="H62" s="28"/>
    </row>
    <row r="63" spans="1:8" ht="18.75" customHeight="1" x14ac:dyDescent="0.25">
      <c r="A63" s="7">
        <v>380</v>
      </c>
      <c r="B63" s="79">
        <v>8.2599000000000006E-3</v>
      </c>
      <c r="C63" s="83">
        <v>2494.1999999999998</v>
      </c>
      <c r="D63" s="83">
        <v>2659.4</v>
      </c>
      <c r="E63" s="82">
        <v>5.3148999999999997</v>
      </c>
      <c r="F63" s="82"/>
      <c r="G63" s="28"/>
      <c r="H63" s="28"/>
    </row>
    <row r="64" spans="1:8" ht="18.75" customHeight="1" x14ac:dyDescent="0.25">
      <c r="A64" s="7">
        <v>390</v>
      </c>
      <c r="B64" s="79">
        <v>9.1906000000000002E-3</v>
      </c>
      <c r="C64" s="83">
        <v>2563.4</v>
      </c>
      <c r="D64" s="83">
        <v>2747.2</v>
      </c>
      <c r="E64" s="82">
        <v>5.4482999999999997</v>
      </c>
      <c r="F64" s="82"/>
      <c r="G64" s="28"/>
      <c r="H64" s="28"/>
    </row>
    <row r="65" spans="1:8" ht="18.75" customHeight="1" x14ac:dyDescent="0.25">
      <c r="A65" s="7">
        <v>400</v>
      </c>
      <c r="B65" s="79">
        <v>9.9503000000000005E-3</v>
      </c>
      <c r="C65" s="83">
        <v>2617.9</v>
      </c>
      <c r="D65" s="83">
        <v>2816.9</v>
      </c>
      <c r="E65" s="82">
        <v>5.5525000000000002</v>
      </c>
      <c r="F65" s="82"/>
      <c r="G65" s="28"/>
      <c r="H65" s="28"/>
    </row>
    <row r="66" spans="1:8" ht="18.75" customHeight="1" x14ac:dyDescent="0.25">
      <c r="A66" s="7">
        <v>410</v>
      </c>
      <c r="B66" s="85">
        <v>1.061E-2</v>
      </c>
      <c r="C66" s="83">
        <v>2664</v>
      </c>
      <c r="D66" s="83">
        <v>2876.2</v>
      </c>
      <c r="E66" s="82">
        <v>5.64</v>
      </c>
      <c r="F66" s="82"/>
      <c r="G66" s="28"/>
      <c r="H66" s="28"/>
    </row>
    <row r="67" spans="1:8" ht="18.75" customHeight="1" x14ac:dyDescent="0.25">
      <c r="A67" s="7">
        <v>420</v>
      </c>
      <c r="B67" s="85">
        <v>1.1200999999999999E-2</v>
      </c>
      <c r="C67" s="83">
        <v>2704.7</v>
      </c>
      <c r="D67" s="83">
        <v>2928.7</v>
      </c>
      <c r="E67" s="82">
        <v>5.7163000000000004</v>
      </c>
      <c r="F67" s="82"/>
      <c r="G67" s="28"/>
      <c r="H67" s="28"/>
    </row>
    <row r="68" spans="1:8" ht="18.75" customHeight="1" x14ac:dyDescent="0.25">
      <c r="A68" s="7">
        <v>430</v>
      </c>
      <c r="B68" s="85">
        <v>1.1743E-2</v>
      </c>
      <c r="C68" s="83">
        <v>2741.5</v>
      </c>
      <c r="D68" s="83">
        <v>2976.4</v>
      </c>
      <c r="E68" s="82">
        <v>5.7847</v>
      </c>
      <c r="F68" s="82"/>
      <c r="G68" s="28"/>
      <c r="H68" s="28"/>
    </row>
    <row r="69" spans="1:8" ht="18.75" customHeight="1" x14ac:dyDescent="0.25">
      <c r="A69" s="7">
        <v>440</v>
      </c>
      <c r="B69" s="85">
        <v>1.2246999999999999E-2</v>
      </c>
      <c r="C69" s="83">
        <v>2775.5</v>
      </c>
      <c r="D69" s="83">
        <v>3020.4</v>
      </c>
      <c r="E69" s="82">
        <v>5.8468999999999998</v>
      </c>
      <c r="F69" s="82"/>
      <c r="G69" s="28"/>
      <c r="H69" s="28"/>
    </row>
    <row r="70" spans="1:8" ht="18.75" customHeight="1" x14ac:dyDescent="0.25">
      <c r="A70" s="7">
        <v>450</v>
      </c>
      <c r="B70" s="85">
        <v>1.2721E-2</v>
      </c>
      <c r="C70" s="83">
        <v>2807.3</v>
      </c>
      <c r="D70" s="83">
        <v>3061.7</v>
      </c>
      <c r="E70" s="82">
        <v>5.9043000000000001</v>
      </c>
      <c r="F70" s="82"/>
      <c r="G70" s="28"/>
      <c r="H70" s="28"/>
    </row>
    <row r="71" spans="1:8" ht="18.75" customHeight="1" x14ac:dyDescent="0.25">
      <c r="A71" s="7">
        <v>460</v>
      </c>
      <c r="B71" s="85">
        <v>1.3171E-2</v>
      </c>
      <c r="C71" s="83">
        <v>2837.3</v>
      </c>
      <c r="D71" s="83">
        <v>3100.7</v>
      </c>
      <c r="E71" s="82">
        <v>5.9579000000000004</v>
      </c>
      <c r="F71" s="82"/>
      <c r="G71" s="28"/>
      <c r="H71" s="28"/>
    </row>
    <row r="72" spans="1:8" ht="18.75" customHeight="1" x14ac:dyDescent="0.25">
      <c r="A72" s="7">
        <v>470</v>
      </c>
      <c r="B72" s="85">
        <v>1.3599999999999999E-2</v>
      </c>
      <c r="C72" s="83">
        <v>2865.8</v>
      </c>
      <c r="D72" s="83">
        <v>3137.8</v>
      </c>
      <c r="E72" s="82">
        <v>6.0082000000000004</v>
      </c>
      <c r="F72" s="82"/>
      <c r="G72" s="28"/>
      <c r="H72" s="28"/>
    </row>
    <row r="73" spans="1:8" ht="18.75" customHeight="1" x14ac:dyDescent="0.25">
      <c r="A73" s="7">
        <v>480</v>
      </c>
      <c r="B73" s="85">
        <v>1.4012E-2</v>
      </c>
      <c r="C73" s="83">
        <v>2893.3</v>
      </c>
      <c r="D73" s="83">
        <v>3173.5</v>
      </c>
      <c r="E73" s="82">
        <v>6.0559000000000003</v>
      </c>
      <c r="F73" s="82"/>
      <c r="G73" s="28"/>
      <c r="H73" s="28"/>
    </row>
    <row r="74" spans="1:8" ht="18.75" customHeight="1" x14ac:dyDescent="0.25">
      <c r="A74" s="7">
        <v>490</v>
      </c>
      <c r="B74" s="85">
        <v>1.4409E-2</v>
      </c>
      <c r="C74" s="83">
        <v>2919.7</v>
      </c>
      <c r="D74" s="83">
        <v>3207.9</v>
      </c>
      <c r="E74" s="82">
        <v>6.1012000000000004</v>
      </c>
      <c r="F74" s="82"/>
      <c r="G74" s="28"/>
      <c r="H74" s="28"/>
    </row>
    <row r="75" spans="1:8" ht="18.75" customHeight="1" x14ac:dyDescent="0.25">
      <c r="A75" s="7">
        <v>500</v>
      </c>
      <c r="B75" s="85">
        <v>1.4793000000000001E-2</v>
      </c>
      <c r="C75" s="83">
        <v>2945.3</v>
      </c>
      <c r="D75" s="83">
        <v>3241.2</v>
      </c>
      <c r="E75" s="82">
        <v>6.1445999999999996</v>
      </c>
      <c r="F75" s="82"/>
      <c r="G75" s="28"/>
      <c r="H75" s="28"/>
    </row>
    <row r="76" spans="1:8" ht="18.75" customHeight="1" x14ac:dyDescent="0.25">
      <c r="A76" s="7">
        <v>520</v>
      </c>
      <c r="B76" s="85">
        <v>1.553E-2</v>
      </c>
      <c r="C76" s="83">
        <v>2994.6</v>
      </c>
      <c r="D76" s="83">
        <v>3305.2</v>
      </c>
      <c r="E76" s="82">
        <v>6.2263000000000002</v>
      </c>
      <c r="F76" s="82"/>
      <c r="G76" s="28"/>
      <c r="H76" s="28"/>
    </row>
    <row r="77" spans="1:8" ht="18.75" customHeight="1" x14ac:dyDescent="0.25">
      <c r="A77" s="7">
        <v>540</v>
      </c>
      <c r="B77" s="85">
        <v>1.6230999999999999E-2</v>
      </c>
      <c r="C77" s="83">
        <v>3041.8</v>
      </c>
      <c r="D77" s="83">
        <v>3366.4</v>
      </c>
      <c r="E77" s="82">
        <v>6.3025000000000002</v>
      </c>
      <c r="F77" s="82"/>
      <c r="G77" s="28"/>
      <c r="H77" s="28"/>
    </row>
    <row r="78" spans="1:8" ht="18.75" customHeight="1" x14ac:dyDescent="0.25">
      <c r="A78" s="7">
        <v>560</v>
      </c>
      <c r="B78" s="85">
        <v>1.6903999999999999E-2</v>
      </c>
      <c r="C78" s="83">
        <v>3087.3</v>
      </c>
      <c r="D78" s="83">
        <v>3425.4</v>
      </c>
      <c r="E78" s="82">
        <v>6.3742999999999999</v>
      </c>
      <c r="F78" s="82"/>
      <c r="G78" s="28"/>
      <c r="H78" s="28"/>
    </row>
    <row r="79" spans="1:8" ht="18.75" customHeight="1" x14ac:dyDescent="0.25">
      <c r="A79" s="7">
        <v>580</v>
      </c>
      <c r="B79" s="85">
        <v>1.7554E-2</v>
      </c>
      <c r="C79" s="83">
        <v>3131.8</v>
      </c>
      <c r="D79" s="83">
        <v>3482.9</v>
      </c>
      <c r="E79" s="82">
        <v>6.4424000000000001</v>
      </c>
      <c r="F79" s="82"/>
      <c r="G79" s="28"/>
      <c r="H79" s="28"/>
    </row>
    <row r="80" spans="1:8" ht="18.75" customHeight="1" x14ac:dyDescent="0.25">
      <c r="A80" s="7">
        <v>600</v>
      </c>
      <c r="B80" s="85">
        <v>1.8185E-2</v>
      </c>
      <c r="C80" s="83">
        <v>3175.3</v>
      </c>
      <c r="D80" s="83">
        <v>3539</v>
      </c>
      <c r="E80" s="82">
        <v>6.5075000000000003</v>
      </c>
      <c r="F80" s="82"/>
      <c r="G80" s="28"/>
      <c r="H80" s="28"/>
    </row>
    <row r="81" spans="1:8" ht="18.75" customHeight="1" x14ac:dyDescent="0.25">
      <c r="A81" s="7">
        <v>620</v>
      </c>
      <c r="B81" s="85">
        <v>1.8799E-2</v>
      </c>
      <c r="C81" s="83">
        <v>3218.1</v>
      </c>
      <c r="D81" s="83">
        <v>3594.1</v>
      </c>
      <c r="E81" s="82">
        <v>6.5698999999999996</v>
      </c>
      <c r="F81" s="82"/>
      <c r="G81" s="28"/>
      <c r="H81" s="28"/>
    </row>
    <row r="82" spans="1:8" ht="18.75" customHeight="1" x14ac:dyDescent="0.25">
      <c r="A82" s="7">
        <v>640</v>
      </c>
      <c r="B82" s="85">
        <v>1.9399E-2</v>
      </c>
      <c r="C82" s="83">
        <v>3260.4</v>
      </c>
      <c r="D82" s="83">
        <v>3648.4</v>
      </c>
      <c r="E82" s="82">
        <v>6.63</v>
      </c>
      <c r="F82" s="82"/>
      <c r="G82" s="28"/>
      <c r="H82" s="28"/>
    </row>
    <row r="83" spans="1:8" ht="18.75" customHeight="1" x14ac:dyDescent="0.25">
      <c r="A83" s="7">
        <v>660</v>
      </c>
      <c r="B83" s="85">
        <v>1.9987000000000001E-2</v>
      </c>
      <c r="C83" s="83">
        <v>3302.3</v>
      </c>
      <c r="D83" s="83">
        <v>3702</v>
      </c>
      <c r="E83" s="82">
        <v>6.6881000000000004</v>
      </c>
      <c r="F83" s="82"/>
      <c r="G83" s="28"/>
      <c r="H83" s="28"/>
    </row>
    <row r="84" spans="1:8" ht="18.75" customHeight="1" x14ac:dyDescent="0.25">
      <c r="A84" s="7">
        <v>680</v>
      </c>
      <c r="B84" s="85">
        <v>2.0565E-2</v>
      </c>
      <c r="C84" s="83">
        <v>3343.8</v>
      </c>
      <c r="D84" s="83">
        <v>3755.1</v>
      </c>
      <c r="E84" s="82">
        <v>6.7443</v>
      </c>
      <c r="F84" s="82"/>
      <c r="G84" s="28"/>
      <c r="H84" s="28"/>
    </row>
    <row r="85" spans="1:8" ht="18.75" customHeight="1" x14ac:dyDescent="0.25">
      <c r="A85" s="7">
        <v>700</v>
      </c>
      <c r="B85" s="85">
        <v>2.1132999999999999E-2</v>
      </c>
      <c r="C85" s="83">
        <v>3385.1</v>
      </c>
      <c r="D85" s="83">
        <v>3807.8</v>
      </c>
      <c r="E85" s="82">
        <v>6.7990000000000004</v>
      </c>
      <c r="F85" s="82"/>
      <c r="G85" s="28"/>
      <c r="H85" s="28"/>
    </row>
    <row r="86" spans="1:8" ht="18.75" customHeight="1" x14ac:dyDescent="0.25">
      <c r="A86" s="7">
        <v>720</v>
      </c>
      <c r="B86" s="85">
        <v>2.1694000000000001E-2</v>
      </c>
      <c r="C86" s="83">
        <v>3426.2</v>
      </c>
      <c r="D86" s="83">
        <v>3860.1</v>
      </c>
      <c r="E86" s="82">
        <v>6.8522999999999996</v>
      </c>
      <c r="F86" s="82"/>
      <c r="G86" s="28"/>
      <c r="H86" s="28"/>
    </row>
    <row r="87" spans="1:8" ht="18.75" customHeight="1" x14ac:dyDescent="0.25">
      <c r="A87" s="7">
        <v>740</v>
      </c>
      <c r="B87" s="85">
        <v>2.2246999999999999E-2</v>
      </c>
      <c r="C87" s="83">
        <v>3467.3</v>
      </c>
      <c r="D87" s="83">
        <v>3912.2</v>
      </c>
      <c r="E87" s="82">
        <v>6.9042000000000003</v>
      </c>
      <c r="F87" s="82"/>
      <c r="G87" s="28"/>
      <c r="H87" s="28"/>
    </row>
    <row r="88" spans="1:8" ht="18.75" customHeight="1" x14ac:dyDescent="0.25">
      <c r="A88" s="7">
        <v>760</v>
      </c>
      <c r="B88" s="85">
        <v>2.2793000000000001E-2</v>
      </c>
      <c r="C88" s="83">
        <v>3508.2</v>
      </c>
      <c r="D88" s="83">
        <v>3964.1</v>
      </c>
      <c r="E88" s="82">
        <v>6.9549000000000003</v>
      </c>
      <c r="F88" s="82"/>
      <c r="G88" s="28"/>
      <c r="H88" s="28"/>
    </row>
    <row r="89" spans="1:8" ht="18.75" customHeight="1" x14ac:dyDescent="0.25">
      <c r="A89" s="7">
        <v>780</v>
      </c>
      <c r="B89" s="85">
        <v>2.3334000000000001E-2</v>
      </c>
      <c r="C89" s="83">
        <v>3549.1</v>
      </c>
      <c r="D89" s="83">
        <v>4015.8</v>
      </c>
      <c r="E89" s="82">
        <v>7.0045000000000002</v>
      </c>
      <c r="F89" s="82"/>
      <c r="G89" s="28"/>
      <c r="H89" s="28"/>
    </row>
    <row r="90" spans="1:8" ht="18.75" customHeight="1" x14ac:dyDescent="0.25">
      <c r="A90" s="7">
        <v>800</v>
      </c>
      <c r="B90" s="85">
        <v>2.3869000000000001E-2</v>
      </c>
      <c r="C90" s="83">
        <v>3590.1</v>
      </c>
      <c r="D90" s="83">
        <v>4067.5</v>
      </c>
      <c r="E90" s="82">
        <v>7.0530999999999997</v>
      </c>
      <c r="F90" s="82"/>
      <c r="G90" s="28"/>
      <c r="H90" s="28"/>
    </row>
    <row r="91" spans="1:8" ht="18.75" customHeight="1" x14ac:dyDescent="0.25">
      <c r="A91" s="7">
        <v>820</v>
      </c>
      <c r="B91" s="85">
        <v>2.4400000000000002E-2</v>
      </c>
      <c r="C91" s="83">
        <v>3631</v>
      </c>
      <c r="D91" s="83">
        <v>4119</v>
      </c>
      <c r="E91" s="82">
        <v>7.1006999999999998</v>
      </c>
      <c r="F91" s="82"/>
      <c r="G91" s="28"/>
      <c r="H91" s="28"/>
    </row>
    <row r="92" spans="1:8" ht="18.75" customHeight="1" x14ac:dyDescent="0.25">
      <c r="A92" s="7">
        <v>840</v>
      </c>
      <c r="B92" s="85">
        <v>2.4927000000000001E-2</v>
      </c>
      <c r="C92" s="83">
        <v>3672.1</v>
      </c>
      <c r="D92" s="83">
        <v>4170.6000000000004</v>
      </c>
      <c r="E92" s="82">
        <v>7.1475</v>
      </c>
      <c r="F92" s="82"/>
      <c r="G92" s="28"/>
      <c r="H92" s="28"/>
    </row>
    <row r="93" spans="1:8" ht="18.75" customHeight="1" x14ac:dyDescent="0.25">
      <c r="A93" s="7">
        <v>860</v>
      </c>
      <c r="B93" s="85">
        <v>2.5448999999999999E-2</v>
      </c>
      <c r="C93" s="83">
        <v>3713.2</v>
      </c>
      <c r="D93" s="83">
        <v>4222.2</v>
      </c>
      <c r="E93" s="82">
        <v>7.1933999999999996</v>
      </c>
      <c r="F93" s="82"/>
      <c r="G93" s="28"/>
      <c r="H93" s="28"/>
    </row>
    <row r="94" spans="1:8" ht="18.75" customHeight="1" x14ac:dyDescent="0.25">
      <c r="A94" s="7">
        <v>880</v>
      </c>
      <c r="B94" s="85">
        <v>2.5968000000000001E-2</v>
      </c>
      <c r="C94" s="83">
        <v>3754.3</v>
      </c>
      <c r="D94" s="83">
        <v>4273.7</v>
      </c>
      <c r="E94" s="82">
        <v>7.2385000000000002</v>
      </c>
      <c r="F94" s="82"/>
      <c r="G94" s="28"/>
      <c r="H94" s="28"/>
    </row>
    <row r="95" spans="1:8" ht="18.75" customHeight="1" x14ac:dyDescent="0.25">
      <c r="A95" s="7">
        <v>900</v>
      </c>
      <c r="B95" s="85">
        <v>2.6483E-2</v>
      </c>
      <c r="C95" s="83">
        <v>3795.7</v>
      </c>
      <c r="D95" s="83">
        <v>4325.3999999999996</v>
      </c>
      <c r="E95" s="82">
        <v>7.2828999999999997</v>
      </c>
      <c r="F95" s="82"/>
      <c r="G95" s="28"/>
      <c r="H95" s="28"/>
    </row>
    <row r="96" spans="1:8" ht="18.75" customHeight="1" x14ac:dyDescent="0.25">
      <c r="A96" s="7">
        <v>920</v>
      </c>
      <c r="B96" s="85">
        <v>2.6995999999999999E-2</v>
      </c>
      <c r="C96" s="83">
        <v>3837.2</v>
      </c>
      <c r="D96" s="83">
        <v>4377.1000000000004</v>
      </c>
      <c r="E96" s="82">
        <v>7.3266</v>
      </c>
      <c r="F96" s="82"/>
      <c r="G96" s="28"/>
      <c r="H96" s="28"/>
    </row>
    <row r="97" spans="1:8" ht="18.75" customHeight="1" x14ac:dyDescent="0.25">
      <c r="A97" s="7">
        <v>940</v>
      </c>
      <c r="B97" s="85">
        <v>2.7505999999999999E-2</v>
      </c>
      <c r="C97" s="83">
        <v>3878.7</v>
      </c>
      <c r="D97" s="83">
        <v>4428.8</v>
      </c>
      <c r="E97" s="82">
        <v>7.3696000000000002</v>
      </c>
      <c r="F97" s="82"/>
      <c r="G97" s="28"/>
      <c r="H97" s="28"/>
    </row>
    <row r="98" spans="1:8" ht="18.75" customHeight="1" x14ac:dyDescent="0.25">
      <c r="A98" s="7">
        <v>960</v>
      </c>
      <c r="B98" s="85">
        <v>2.8013E-2</v>
      </c>
      <c r="C98" s="83">
        <v>3920.4</v>
      </c>
      <c r="D98" s="83">
        <v>4480.7</v>
      </c>
      <c r="E98" s="82">
        <v>7.4119999999999999</v>
      </c>
      <c r="F98" s="82"/>
      <c r="G98" s="28"/>
      <c r="H98" s="28"/>
    </row>
    <row r="99" spans="1:8" ht="18.75" customHeight="1" x14ac:dyDescent="0.25">
      <c r="A99" s="7">
        <v>980</v>
      </c>
      <c r="B99" s="85">
        <v>2.8518000000000002E-2</v>
      </c>
      <c r="C99" s="83">
        <v>3962.2</v>
      </c>
      <c r="D99" s="83">
        <v>4532.6000000000004</v>
      </c>
      <c r="E99" s="82">
        <v>7.4538000000000002</v>
      </c>
      <c r="F99" s="82"/>
      <c r="G99" s="28"/>
      <c r="H99" s="28"/>
    </row>
    <row r="100" spans="1:8" ht="18.75" customHeight="1" x14ac:dyDescent="0.25">
      <c r="A100" s="7">
        <v>1000</v>
      </c>
      <c r="B100" s="85">
        <v>2.9020000000000001E-2</v>
      </c>
      <c r="C100" s="83">
        <v>4004.3</v>
      </c>
      <c r="D100" s="83">
        <v>4584.7</v>
      </c>
      <c r="E100" s="82">
        <v>7.4950000000000001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H100"/>
  <sheetViews>
    <sheetView workbookViewId="0">
      <selection activeCell="A63" sqref="A63:XFD63"/>
    </sheetView>
  </sheetViews>
  <sheetFormatPr defaultRowHeight="13.2" x14ac:dyDescent="0.25"/>
  <cols>
    <col min="1" max="1" width="8.77734375" customWidth="1"/>
    <col min="2" max="2" width="9.77734375" customWidth="1"/>
    <col min="3" max="3" width="7.109375" customWidth="1"/>
    <col min="4" max="4" width="6.6640625" customWidth="1"/>
    <col min="5" max="5" width="8" customWidth="1"/>
    <col min="6" max="6" width="6.21875" customWidth="1"/>
    <col min="7" max="7" width="4.21875" customWidth="1"/>
    <col min="8" max="8" width="75.77734375" customWidth="1"/>
  </cols>
  <sheetData>
    <row r="1" spans="1:8" ht="18.75" customHeight="1" x14ac:dyDescent="0.25">
      <c r="A1" s="193" t="s">
        <v>100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22000</v>
      </c>
      <c r="C2" s="71"/>
      <c r="D2" s="71"/>
      <c r="E2" s="71"/>
      <c r="F2" s="71"/>
      <c r="G2" s="71"/>
      <c r="H2" s="71"/>
    </row>
    <row r="3" spans="1:8" ht="15.75" customHeight="1" x14ac:dyDescent="0.25">
      <c r="A3" s="39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3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7">
        <v>0</v>
      </c>
      <c r="B5" s="79">
        <v>9.8941000000000003E-4</v>
      </c>
      <c r="C5" s="80">
        <v>0.24</v>
      </c>
      <c r="D5" s="80">
        <v>22.01</v>
      </c>
      <c r="E5" s="81">
        <v>4.6000000000000001E-4</v>
      </c>
      <c r="F5" s="81"/>
      <c r="G5" s="28"/>
      <c r="H5" s="28"/>
    </row>
    <row r="6" spans="1:8" ht="18.75" customHeight="1" x14ac:dyDescent="0.25">
      <c r="A6" s="7">
        <v>5</v>
      </c>
      <c r="B6" s="79">
        <v>9.8963000000000002E-4</v>
      </c>
      <c r="C6" s="80">
        <v>20.84</v>
      </c>
      <c r="D6" s="80">
        <v>42.61</v>
      </c>
      <c r="E6" s="81">
        <v>7.5209999999999999E-2</v>
      </c>
      <c r="F6" s="81"/>
      <c r="G6" s="28"/>
      <c r="H6" s="28"/>
    </row>
    <row r="7" spans="1:8" ht="18.75" customHeight="1" x14ac:dyDescent="0.25">
      <c r="A7" s="7">
        <v>10</v>
      </c>
      <c r="B7" s="79">
        <v>9.9017000000000007E-4</v>
      </c>
      <c r="C7" s="80">
        <v>41.43</v>
      </c>
      <c r="D7" s="80">
        <v>63.21</v>
      </c>
      <c r="E7" s="81">
        <v>0.14860999999999999</v>
      </c>
      <c r="F7" s="81"/>
      <c r="G7" s="28"/>
      <c r="H7" s="28"/>
    </row>
    <row r="8" spans="1:8" ht="18.75" customHeight="1" x14ac:dyDescent="0.25">
      <c r="A8" s="7">
        <v>15</v>
      </c>
      <c r="B8" s="79">
        <v>9.9098999999999997E-4</v>
      </c>
      <c r="C8" s="80">
        <v>62.01</v>
      </c>
      <c r="D8" s="80">
        <v>83.81</v>
      </c>
      <c r="E8" s="81">
        <v>0.22072</v>
      </c>
      <c r="F8" s="81"/>
      <c r="G8" s="28"/>
      <c r="H8" s="28"/>
    </row>
    <row r="9" spans="1:8" ht="18.75" customHeight="1" x14ac:dyDescent="0.25">
      <c r="A9" s="7">
        <v>20</v>
      </c>
      <c r="B9" s="79">
        <v>9.9204999999999996E-4</v>
      </c>
      <c r="C9" s="80">
        <v>82.58</v>
      </c>
      <c r="D9" s="80">
        <v>104.41</v>
      </c>
      <c r="E9" s="81">
        <v>0.29160999999999998</v>
      </c>
      <c r="F9" s="81"/>
      <c r="G9" s="28"/>
      <c r="H9" s="28"/>
    </row>
    <row r="10" spans="1:8" ht="18.75" customHeight="1" x14ac:dyDescent="0.25">
      <c r="A10" s="7">
        <v>25</v>
      </c>
      <c r="B10" s="79">
        <v>9.9334000000000011E-4</v>
      </c>
      <c r="C10" s="80">
        <v>103.17</v>
      </c>
      <c r="D10" s="80">
        <v>125.02</v>
      </c>
      <c r="E10" s="81">
        <v>0.36131999999999997</v>
      </c>
      <c r="F10" s="81"/>
      <c r="G10" s="28"/>
      <c r="H10" s="28"/>
    </row>
    <row r="11" spans="1:8" ht="18.75" customHeight="1" x14ac:dyDescent="0.25">
      <c r="A11" s="7">
        <v>30</v>
      </c>
      <c r="B11" s="79">
        <v>9.9484000000000009E-4</v>
      </c>
      <c r="C11" s="80">
        <v>123.75</v>
      </c>
      <c r="D11" s="80">
        <v>145.63999999999999</v>
      </c>
      <c r="E11" s="81">
        <v>0.4299</v>
      </c>
      <c r="F11" s="81"/>
      <c r="G11" s="28"/>
      <c r="H11" s="28"/>
    </row>
    <row r="12" spans="1:8" ht="18.75" customHeight="1" x14ac:dyDescent="0.25">
      <c r="A12" s="7">
        <v>35</v>
      </c>
      <c r="B12" s="79">
        <v>9.9653000000000003E-4</v>
      </c>
      <c r="C12" s="80">
        <v>144.35</v>
      </c>
      <c r="D12" s="80">
        <v>166.27</v>
      </c>
      <c r="E12" s="81">
        <v>0.49739</v>
      </c>
      <c r="F12" s="81"/>
      <c r="G12" s="28"/>
      <c r="H12" s="28"/>
    </row>
    <row r="13" spans="1:8" ht="18.75" customHeight="1" x14ac:dyDescent="0.25">
      <c r="A13" s="7">
        <v>40</v>
      </c>
      <c r="B13" s="79">
        <v>9.9839999999999998E-4</v>
      </c>
      <c r="C13" s="80">
        <v>164.95</v>
      </c>
      <c r="D13" s="80">
        <v>186.91</v>
      </c>
      <c r="E13" s="81">
        <v>0.56383000000000005</v>
      </c>
      <c r="F13" s="81"/>
      <c r="G13" s="28"/>
      <c r="H13" s="28"/>
    </row>
    <row r="14" spans="1:8" ht="18.75" customHeight="1" x14ac:dyDescent="0.25">
      <c r="A14" s="7">
        <v>45</v>
      </c>
      <c r="B14" s="79">
        <v>1.00044E-3</v>
      </c>
      <c r="C14" s="80">
        <v>185.55</v>
      </c>
      <c r="D14" s="80">
        <v>207.56</v>
      </c>
      <c r="E14" s="81">
        <v>0.62924999999999998</v>
      </c>
      <c r="F14" s="81"/>
      <c r="G14" s="28"/>
      <c r="H14" s="28"/>
    </row>
    <row r="15" spans="1:8" ht="18.75" customHeight="1" x14ac:dyDescent="0.25">
      <c r="A15" s="7">
        <v>50</v>
      </c>
      <c r="B15" s="79">
        <v>1.00264E-3</v>
      </c>
      <c r="C15" s="80">
        <v>206.16</v>
      </c>
      <c r="D15" s="80">
        <v>228.22</v>
      </c>
      <c r="E15" s="81">
        <v>0.69369999999999998</v>
      </c>
      <c r="F15" s="81"/>
      <c r="G15" s="28"/>
      <c r="H15" s="28"/>
    </row>
    <row r="16" spans="1:8" ht="18.75" customHeight="1" x14ac:dyDescent="0.25">
      <c r="A16" s="7">
        <v>55</v>
      </c>
      <c r="B16" s="79">
        <v>1.005E-3</v>
      </c>
      <c r="C16" s="80">
        <v>226.79</v>
      </c>
      <c r="D16" s="80">
        <v>248.9</v>
      </c>
      <c r="E16" s="81">
        <v>0.75719000000000003</v>
      </c>
      <c r="F16" s="81"/>
      <c r="G16" s="28"/>
      <c r="H16" s="28"/>
    </row>
    <row r="17" spans="1:8" ht="18.75" customHeight="1" x14ac:dyDescent="0.25">
      <c r="A17" s="7">
        <v>60</v>
      </c>
      <c r="B17" s="79">
        <v>1.00752E-3</v>
      </c>
      <c r="C17" s="80">
        <v>247.42</v>
      </c>
      <c r="D17" s="80">
        <v>269.58999999999997</v>
      </c>
      <c r="E17" s="81">
        <v>0.81976000000000004</v>
      </c>
      <c r="F17" s="81"/>
      <c r="G17" s="28"/>
      <c r="H17" s="28"/>
    </row>
    <row r="18" spans="1:8" ht="18.75" customHeight="1" x14ac:dyDescent="0.25">
      <c r="A18" s="7">
        <v>65</v>
      </c>
      <c r="B18" s="79">
        <v>1.0101800000000001E-3</v>
      </c>
      <c r="C18" s="80">
        <v>268.07</v>
      </c>
      <c r="D18" s="80">
        <v>290.29000000000002</v>
      </c>
      <c r="E18" s="81">
        <v>0.88144</v>
      </c>
      <c r="F18" s="81"/>
      <c r="G18" s="28"/>
      <c r="H18" s="28"/>
    </row>
    <row r="19" spans="1:8" ht="18.75" customHeight="1" x14ac:dyDescent="0.25">
      <c r="A19" s="7">
        <v>70</v>
      </c>
      <c r="B19" s="79">
        <v>1.0129799999999999E-3</v>
      </c>
      <c r="C19" s="80">
        <v>288.72000000000003</v>
      </c>
      <c r="D19" s="80">
        <v>311.01</v>
      </c>
      <c r="E19" s="81">
        <v>0.94225999999999999</v>
      </c>
      <c r="F19" s="81"/>
      <c r="G19" s="28"/>
      <c r="H19" s="28"/>
    </row>
    <row r="20" spans="1:8" ht="18.75" customHeight="1" x14ac:dyDescent="0.25">
      <c r="A20" s="7">
        <v>75</v>
      </c>
      <c r="B20" s="79">
        <v>1.01593E-3</v>
      </c>
      <c r="C20" s="80">
        <v>309.39</v>
      </c>
      <c r="D20" s="80">
        <v>331.74</v>
      </c>
      <c r="E20" s="82">
        <v>1.0022</v>
      </c>
      <c r="F20" s="82"/>
      <c r="G20" s="28"/>
      <c r="H20" s="28"/>
    </row>
    <row r="21" spans="1:8" ht="18.75" customHeight="1" x14ac:dyDescent="0.25">
      <c r="A21" s="7">
        <v>80</v>
      </c>
      <c r="B21" s="79">
        <v>1.0190100000000001E-3</v>
      </c>
      <c r="C21" s="80">
        <v>330.07</v>
      </c>
      <c r="D21" s="80">
        <v>352.49</v>
      </c>
      <c r="E21" s="82">
        <v>1.0613999999999999</v>
      </c>
      <c r="F21" s="82"/>
      <c r="G21" s="28"/>
      <c r="H21" s="28"/>
    </row>
    <row r="22" spans="1:8" ht="18.75" customHeight="1" x14ac:dyDescent="0.25">
      <c r="A22" s="7">
        <v>85</v>
      </c>
      <c r="B22" s="79">
        <v>1.0222300000000001E-3</v>
      </c>
      <c r="C22" s="80">
        <v>350.77</v>
      </c>
      <c r="D22" s="80">
        <v>373.26</v>
      </c>
      <c r="E22" s="82">
        <v>1.1197999999999999</v>
      </c>
      <c r="F22" s="82"/>
      <c r="G22" s="28"/>
      <c r="H22" s="28"/>
    </row>
    <row r="23" spans="1:8" ht="18.75" customHeight="1" x14ac:dyDescent="0.25">
      <c r="A23" s="7">
        <v>90</v>
      </c>
      <c r="B23" s="79">
        <v>1.0255900000000001E-3</v>
      </c>
      <c r="C23" s="80">
        <v>371.49</v>
      </c>
      <c r="D23" s="80">
        <v>394.05</v>
      </c>
      <c r="E23" s="82">
        <v>1.1775</v>
      </c>
      <c r="F23" s="82"/>
      <c r="G23" s="28"/>
      <c r="H23" s="28"/>
    </row>
    <row r="24" spans="1:8" ht="18.75" customHeight="1" x14ac:dyDescent="0.25">
      <c r="A24" s="7">
        <v>95</v>
      </c>
      <c r="B24" s="79">
        <v>1.0290799999999999E-3</v>
      </c>
      <c r="C24" s="80">
        <v>392.21</v>
      </c>
      <c r="D24" s="80">
        <v>414.85</v>
      </c>
      <c r="E24" s="82">
        <v>1.2343999999999999</v>
      </c>
      <c r="F24" s="82"/>
      <c r="G24" s="28"/>
      <c r="H24" s="28"/>
    </row>
    <row r="25" spans="1:8" ht="18.75" customHeight="1" x14ac:dyDescent="0.25">
      <c r="A25" s="7">
        <v>100</v>
      </c>
      <c r="B25" s="79">
        <v>1.0327100000000001E-3</v>
      </c>
      <c r="C25" s="80">
        <v>412.96</v>
      </c>
      <c r="D25" s="80">
        <v>435.68</v>
      </c>
      <c r="E25" s="82">
        <v>1.2906</v>
      </c>
      <c r="F25" s="82"/>
      <c r="G25" s="28"/>
      <c r="H25" s="28"/>
    </row>
    <row r="26" spans="1:8" ht="18.75" customHeight="1" x14ac:dyDescent="0.25">
      <c r="A26" s="7">
        <v>105</v>
      </c>
      <c r="B26" s="79">
        <v>1.03648E-3</v>
      </c>
      <c r="C26" s="80">
        <v>433.74</v>
      </c>
      <c r="D26" s="80">
        <v>456.54</v>
      </c>
      <c r="E26" s="82">
        <v>1.3461000000000001</v>
      </c>
      <c r="F26" s="82"/>
      <c r="G26" s="28"/>
      <c r="H26" s="28"/>
    </row>
    <row r="27" spans="1:8" ht="18.75" customHeight="1" x14ac:dyDescent="0.25">
      <c r="A27" s="7">
        <v>110</v>
      </c>
      <c r="B27" s="79">
        <v>1.04038E-3</v>
      </c>
      <c r="C27" s="80">
        <v>454.53</v>
      </c>
      <c r="D27" s="80">
        <v>477.42</v>
      </c>
      <c r="E27" s="82">
        <v>1.4009</v>
      </c>
      <c r="F27" s="82"/>
      <c r="G27" s="28"/>
      <c r="H27" s="28"/>
    </row>
    <row r="28" spans="1:8" ht="18.75" customHeight="1" x14ac:dyDescent="0.25">
      <c r="A28" s="7">
        <v>115</v>
      </c>
      <c r="B28" s="79">
        <v>1.0444199999999999E-3</v>
      </c>
      <c r="C28" s="80">
        <v>475.35</v>
      </c>
      <c r="D28" s="80">
        <v>498.33</v>
      </c>
      <c r="E28" s="82">
        <v>1.4551000000000001</v>
      </c>
      <c r="F28" s="82"/>
      <c r="G28" s="28"/>
      <c r="H28" s="28"/>
    </row>
    <row r="29" spans="1:8" ht="18.75" customHeight="1" x14ac:dyDescent="0.25">
      <c r="A29" s="7">
        <v>120</v>
      </c>
      <c r="B29" s="79">
        <v>1.0486E-3</v>
      </c>
      <c r="C29" s="80">
        <v>496.2</v>
      </c>
      <c r="D29" s="80">
        <v>519.27</v>
      </c>
      <c r="E29" s="82">
        <v>1.5087999999999999</v>
      </c>
      <c r="F29" s="82"/>
      <c r="G29" s="28"/>
      <c r="H29" s="28"/>
    </row>
    <row r="30" spans="1:8" ht="18.75" customHeight="1" x14ac:dyDescent="0.25">
      <c r="A30" s="7">
        <v>125</v>
      </c>
      <c r="B30" s="79">
        <v>1.0529199999999999E-3</v>
      </c>
      <c r="C30" s="80">
        <v>517.08000000000004</v>
      </c>
      <c r="D30" s="80">
        <v>540.24</v>
      </c>
      <c r="E30" s="82">
        <v>1.5618000000000001</v>
      </c>
      <c r="F30" s="82"/>
      <c r="G30" s="28"/>
      <c r="H30" s="28"/>
    </row>
    <row r="31" spans="1:8" ht="18.75" customHeight="1" x14ac:dyDescent="0.25">
      <c r="A31" s="7">
        <v>130</v>
      </c>
      <c r="B31" s="79">
        <v>1.0573799999999999E-3</v>
      </c>
      <c r="C31" s="80">
        <v>537.99</v>
      </c>
      <c r="D31" s="80">
        <v>561.25</v>
      </c>
      <c r="E31" s="82">
        <v>1.6142000000000001</v>
      </c>
      <c r="F31" s="82"/>
      <c r="G31" s="28"/>
      <c r="H31" s="28"/>
    </row>
    <row r="32" spans="1:8" ht="18.75" customHeight="1" x14ac:dyDescent="0.25">
      <c r="A32" s="7">
        <v>135</v>
      </c>
      <c r="B32" s="79">
        <v>1.0619900000000001E-3</v>
      </c>
      <c r="C32" s="80">
        <v>558.95000000000005</v>
      </c>
      <c r="D32" s="80">
        <v>582.30999999999995</v>
      </c>
      <c r="E32" s="82">
        <v>1.6660999999999999</v>
      </c>
      <c r="F32" s="82"/>
      <c r="G32" s="28"/>
      <c r="H32" s="28"/>
    </row>
    <row r="33" spans="1:8" ht="18.75" customHeight="1" x14ac:dyDescent="0.25">
      <c r="A33" s="7">
        <v>140</v>
      </c>
      <c r="B33" s="79">
        <v>1.06675E-3</v>
      </c>
      <c r="C33" s="80">
        <v>579.92999999999995</v>
      </c>
      <c r="D33" s="80">
        <v>603.4</v>
      </c>
      <c r="E33" s="82">
        <v>1.7175</v>
      </c>
      <c r="F33" s="82"/>
      <c r="G33" s="28"/>
      <c r="H33" s="28"/>
    </row>
    <row r="34" spans="1:8" ht="18.75" customHeight="1" x14ac:dyDescent="0.25">
      <c r="A34" s="7">
        <v>145</v>
      </c>
      <c r="B34" s="79">
        <v>1.0716600000000001E-3</v>
      </c>
      <c r="C34" s="80">
        <v>600.96</v>
      </c>
      <c r="D34" s="80">
        <v>624.54</v>
      </c>
      <c r="E34" s="82">
        <v>1.7683</v>
      </c>
      <c r="F34" s="82"/>
      <c r="G34" s="28"/>
      <c r="H34" s="28"/>
    </row>
    <row r="35" spans="1:8" ht="18.75" customHeight="1" x14ac:dyDescent="0.25">
      <c r="A35" s="7">
        <v>150</v>
      </c>
      <c r="B35" s="79">
        <v>1.0767299999999999E-3</v>
      </c>
      <c r="C35" s="80">
        <v>622.04</v>
      </c>
      <c r="D35" s="80">
        <v>645.73</v>
      </c>
      <c r="E35" s="82">
        <v>1.8187</v>
      </c>
      <c r="F35" s="82"/>
      <c r="G35" s="28"/>
      <c r="H35" s="28"/>
    </row>
    <row r="36" spans="1:8" ht="18.75" customHeight="1" x14ac:dyDescent="0.25">
      <c r="A36" s="7">
        <v>155</v>
      </c>
      <c r="B36" s="79">
        <v>1.0819600000000001E-3</v>
      </c>
      <c r="C36" s="80">
        <v>643.16999999999996</v>
      </c>
      <c r="D36" s="80">
        <v>666.97</v>
      </c>
      <c r="E36" s="82">
        <v>1.8686</v>
      </c>
      <c r="F36" s="82"/>
      <c r="G36" s="28"/>
      <c r="H36" s="28"/>
    </row>
    <row r="37" spans="1:8" ht="18.75" customHeight="1" x14ac:dyDescent="0.25">
      <c r="A37" s="7">
        <v>160</v>
      </c>
      <c r="B37" s="79">
        <v>1.0873499999999999E-3</v>
      </c>
      <c r="C37" s="80">
        <v>664.35</v>
      </c>
      <c r="D37" s="80">
        <v>688.27</v>
      </c>
      <c r="E37" s="82">
        <v>1.9180999999999999</v>
      </c>
      <c r="F37" s="82"/>
      <c r="G37" s="28"/>
      <c r="H37" s="28"/>
    </row>
    <row r="38" spans="1:8" ht="18.75" customHeight="1" x14ac:dyDescent="0.25">
      <c r="A38" s="7">
        <v>165</v>
      </c>
      <c r="B38" s="79">
        <v>1.09292E-3</v>
      </c>
      <c r="C38" s="80">
        <v>685.59</v>
      </c>
      <c r="D38" s="80">
        <v>709.63</v>
      </c>
      <c r="E38" s="82">
        <v>1.9671000000000001</v>
      </c>
      <c r="F38" s="82"/>
      <c r="G38" s="28"/>
      <c r="H38" s="28"/>
    </row>
    <row r="39" spans="1:8" ht="18.75" customHeight="1" x14ac:dyDescent="0.25">
      <c r="A39" s="7">
        <v>170</v>
      </c>
      <c r="B39" s="79">
        <v>1.09866E-3</v>
      </c>
      <c r="C39" s="80">
        <v>706.88</v>
      </c>
      <c r="D39" s="80">
        <v>731.05</v>
      </c>
      <c r="E39" s="82">
        <v>2.0156999999999998</v>
      </c>
      <c r="F39" s="82"/>
      <c r="G39" s="28"/>
      <c r="H39" s="28"/>
    </row>
    <row r="40" spans="1:8" ht="18.75" customHeight="1" x14ac:dyDescent="0.25">
      <c r="A40" s="7">
        <v>175</v>
      </c>
      <c r="B40" s="79">
        <v>1.10458E-3</v>
      </c>
      <c r="C40" s="80">
        <v>728.24</v>
      </c>
      <c r="D40" s="80">
        <v>752.54</v>
      </c>
      <c r="E40" s="82">
        <v>2.0638999999999998</v>
      </c>
      <c r="F40" s="82"/>
      <c r="G40" s="28"/>
      <c r="H40" s="28"/>
    </row>
    <row r="41" spans="1:8" ht="18.75" customHeight="1" x14ac:dyDescent="0.25">
      <c r="A41" s="7">
        <v>180</v>
      </c>
      <c r="B41" s="79">
        <v>1.1107000000000001E-3</v>
      </c>
      <c r="C41" s="80">
        <v>749.67</v>
      </c>
      <c r="D41" s="80">
        <v>774.11</v>
      </c>
      <c r="E41" s="82">
        <v>2.1118000000000001</v>
      </c>
      <c r="F41" s="82"/>
      <c r="G41" s="28"/>
      <c r="H41" s="28"/>
    </row>
    <row r="42" spans="1:8" ht="18.75" customHeight="1" x14ac:dyDescent="0.25">
      <c r="A42" s="7">
        <v>185</v>
      </c>
      <c r="B42" s="79">
        <v>1.1170100000000001E-3</v>
      </c>
      <c r="C42" s="80">
        <v>771.18</v>
      </c>
      <c r="D42" s="80">
        <v>795.75</v>
      </c>
      <c r="E42" s="82">
        <v>2.1593</v>
      </c>
      <c r="F42" s="82"/>
      <c r="G42" s="28"/>
      <c r="H42" s="28"/>
    </row>
    <row r="43" spans="1:8" ht="18.75" customHeight="1" x14ac:dyDescent="0.25">
      <c r="A43" s="7">
        <v>190</v>
      </c>
      <c r="B43" s="79">
        <v>1.1235399999999999E-3</v>
      </c>
      <c r="C43" s="80">
        <v>792.76</v>
      </c>
      <c r="D43" s="80">
        <v>817.48</v>
      </c>
      <c r="E43" s="82">
        <v>2.2065000000000001</v>
      </c>
      <c r="F43" s="82"/>
      <c r="G43" s="28"/>
      <c r="H43" s="28"/>
    </row>
    <row r="44" spans="1:8" ht="18.75" customHeight="1" x14ac:dyDescent="0.25">
      <c r="A44" s="7">
        <v>195</v>
      </c>
      <c r="B44" s="79">
        <v>1.1302700000000001E-3</v>
      </c>
      <c r="C44" s="80">
        <v>814.42</v>
      </c>
      <c r="D44" s="80">
        <v>839.29</v>
      </c>
      <c r="E44" s="82">
        <v>2.2532999999999999</v>
      </c>
      <c r="F44" s="82"/>
      <c r="G44" s="28"/>
      <c r="H44" s="28"/>
    </row>
    <row r="45" spans="1:8" ht="18.75" customHeight="1" x14ac:dyDescent="0.25">
      <c r="A45" s="7">
        <v>200</v>
      </c>
      <c r="B45" s="79">
        <v>1.1372400000000001E-3</v>
      </c>
      <c r="C45" s="80">
        <v>836.18</v>
      </c>
      <c r="D45" s="80">
        <v>861.2</v>
      </c>
      <c r="E45" s="82">
        <v>2.2999000000000001</v>
      </c>
      <c r="F45" s="82"/>
      <c r="G45" s="28"/>
      <c r="H45" s="28"/>
    </row>
    <row r="46" spans="1:8" ht="18.75" customHeight="1" x14ac:dyDescent="0.25">
      <c r="A46" s="7">
        <v>210</v>
      </c>
      <c r="B46" s="79">
        <v>1.15189E-3</v>
      </c>
      <c r="C46" s="80">
        <v>879.97</v>
      </c>
      <c r="D46" s="80">
        <v>905.31</v>
      </c>
      <c r="E46" s="82">
        <v>2.3921000000000001</v>
      </c>
      <c r="F46" s="82"/>
      <c r="G46" s="28"/>
      <c r="H46" s="28"/>
    </row>
    <row r="47" spans="1:8" ht="18.75" customHeight="1" x14ac:dyDescent="0.25">
      <c r="A47" s="7">
        <v>220</v>
      </c>
      <c r="B47" s="79">
        <v>1.16759E-3</v>
      </c>
      <c r="C47" s="80">
        <v>924.19</v>
      </c>
      <c r="D47" s="80">
        <v>949.88</v>
      </c>
      <c r="E47" s="82">
        <v>2.4834000000000001</v>
      </c>
      <c r="F47" s="82"/>
      <c r="G47" s="28"/>
      <c r="H47" s="28"/>
    </row>
    <row r="48" spans="1:8" ht="18.75" customHeight="1" x14ac:dyDescent="0.25">
      <c r="A48" s="7">
        <v>230</v>
      </c>
      <c r="B48" s="79">
        <v>1.1844799999999999E-3</v>
      </c>
      <c r="C48" s="80">
        <v>968.9</v>
      </c>
      <c r="D48" s="80">
        <v>994.96</v>
      </c>
      <c r="E48" s="82">
        <v>2.5739000000000001</v>
      </c>
      <c r="F48" s="82"/>
      <c r="G48" s="28"/>
      <c r="H48" s="28"/>
    </row>
    <row r="49" spans="1:8" ht="18.75" customHeight="1" x14ac:dyDescent="0.25">
      <c r="A49" s="7">
        <v>240</v>
      </c>
      <c r="B49" s="79">
        <v>1.20269E-3</v>
      </c>
      <c r="C49" s="83">
        <v>1014.1</v>
      </c>
      <c r="D49" s="83">
        <v>1040.5999999999999</v>
      </c>
      <c r="E49" s="82">
        <v>2.6638000000000002</v>
      </c>
      <c r="F49" s="82"/>
      <c r="G49" s="28"/>
      <c r="H49" s="28"/>
    </row>
    <row r="50" spans="1:8" ht="18.75" customHeight="1" x14ac:dyDescent="0.25">
      <c r="A50" s="7">
        <v>250</v>
      </c>
      <c r="B50" s="79">
        <v>1.2224200000000001E-3</v>
      </c>
      <c r="C50" s="83">
        <v>1060</v>
      </c>
      <c r="D50" s="83">
        <v>1086.9000000000001</v>
      </c>
      <c r="E50" s="82">
        <v>2.7532000000000001</v>
      </c>
      <c r="F50" s="82"/>
      <c r="G50" s="28"/>
      <c r="H50" s="28"/>
    </row>
    <row r="51" spans="1:8" ht="18.75" customHeight="1" x14ac:dyDescent="0.25">
      <c r="A51" s="7">
        <v>260</v>
      </c>
      <c r="B51" s="79">
        <v>1.2439E-3</v>
      </c>
      <c r="C51" s="83">
        <v>1106.5999999999999</v>
      </c>
      <c r="D51" s="83">
        <v>1134</v>
      </c>
      <c r="E51" s="82">
        <v>2.8422999999999998</v>
      </c>
      <c r="F51" s="82"/>
      <c r="G51" s="28"/>
      <c r="H51" s="28"/>
    </row>
    <row r="52" spans="1:8" ht="18.75" customHeight="1" x14ac:dyDescent="0.25">
      <c r="A52" s="7">
        <v>270</v>
      </c>
      <c r="B52" s="79">
        <v>1.2674299999999999E-3</v>
      </c>
      <c r="C52" s="83">
        <v>1154.0999999999999</v>
      </c>
      <c r="D52" s="83">
        <v>1182</v>
      </c>
      <c r="E52" s="82">
        <v>2.9315000000000002</v>
      </c>
      <c r="F52" s="82"/>
      <c r="G52" s="28"/>
      <c r="H52" s="28"/>
    </row>
    <row r="53" spans="1:8" ht="18.75" customHeight="1" x14ac:dyDescent="0.25">
      <c r="A53" s="7">
        <v>280</v>
      </c>
      <c r="B53" s="79">
        <v>1.29338E-3</v>
      </c>
      <c r="C53" s="83">
        <v>1202.5</v>
      </c>
      <c r="D53" s="83">
        <v>1231</v>
      </c>
      <c r="E53" s="82">
        <v>3.0209000000000001</v>
      </c>
      <c r="F53" s="82"/>
      <c r="G53" s="28"/>
      <c r="H53" s="28"/>
    </row>
    <row r="54" spans="1:8" ht="18.75" customHeight="1" x14ac:dyDescent="0.25">
      <c r="A54" s="7">
        <v>290</v>
      </c>
      <c r="B54" s="79">
        <v>1.32227E-3</v>
      </c>
      <c r="C54" s="83">
        <v>1252.2</v>
      </c>
      <c r="D54" s="83">
        <v>1281.3</v>
      </c>
      <c r="E54" s="82">
        <v>3.1110000000000002</v>
      </c>
      <c r="F54" s="82"/>
      <c r="G54" s="28"/>
      <c r="H54" s="28"/>
    </row>
    <row r="55" spans="1:8" ht="18.75" customHeight="1" x14ac:dyDescent="0.25">
      <c r="A55" s="7">
        <v>300</v>
      </c>
      <c r="B55" s="79">
        <v>1.3547800000000001E-3</v>
      </c>
      <c r="C55" s="83">
        <v>1303.2</v>
      </c>
      <c r="D55" s="83">
        <v>1333</v>
      </c>
      <c r="E55" s="82">
        <v>3.2021000000000002</v>
      </c>
      <c r="F55" s="82"/>
      <c r="G55" s="28"/>
      <c r="H55" s="28"/>
    </row>
    <row r="56" spans="1:8" ht="18.75" customHeight="1" x14ac:dyDescent="0.25">
      <c r="A56" s="7">
        <v>310</v>
      </c>
      <c r="B56" s="79">
        <v>1.3919E-3</v>
      </c>
      <c r="C56" s="83">
        <v>1356.1</v>
      </c>
      <c r="D56" s="83">
        <v>1386.7</v>
      </c>
      <c r="E56" s="82">
        <v>3.2948</v>
      </c>
      <c r="F56" s="82"/>
      <c r="G56" s="28"/>
      <c r="H56" s="28"/>
    </row>
    <row r="57" spans="1:8" ht="18.75" customHeight="1" x14ac:dyDescent="0.25">
      <c r="A57" s="7">
        <v>320</v>
      </c>
      <c r="B57" s="79">
        <v>1.43509E-3</v>
      </c>
      <c r="C57" s="83">
        <v>1411.1</v>
      </c>
      <c r="D57" s="83">
        <v>1442.7</v>
      </c>
      <c r="E57" s="82">
        <v>3.39</v>
      </c>
      <c r="F57" s="82"/>
      <c r="G57" s="28"/>
      <c r="H57" s="28"/>
    </row>
    <row r="58" spans="1:8" ht="18.75" customHeight="1" x14ac:dyDescent="0.25">
      <c r="A58" s="7">
        <v>330</v>
      </c>
      <c r="B58" s="79">
        <v>1.4866600000000001E-3</v>
      </c>
      <c r="C58" s="83">
        <v>1469.1</v>
      </c>
      <c r="D58" s="83">
        <v>1501.8</v>
      </c>
      <c r="E58" s="82">
        <v>3.4889000000000001</v>
      </c>
      <c r="F58" s="82"/>
      <c r="G58" s="28"/>
      <c r="H58" s="28"/>
    </row>
    <row r="59" spans="1:8" ht="18.75" customHeight="1" x14ac:dyDescent="0.25">
      <c r="A59" s="7">
        <v>340</v>
      </c>
      <c r="B59" s="79">
        <v>1.5506000000000001E-3</v>
      </c>
      <c r="C59" s="83">
        <v>1531.3</v>
      </c>
      <c r="D59" s="83">
        <v>1565.4</v>
      </c>
      <c r="E59" s="82">
        <v>3.5933999999999999</v>
      </c>
      <c r="F59" s="82"/>
      <c r="G59" s="28"/>
      <c r="H59" s="28"/>
    </row>
    <row r="60" spans="1:8" ht="18.75" customHeight="1" x14ac:dyDescent="0.25">
      <c r="A60" s="7">
        <v>350</v>
      </c>
      <c r="B60" s="79">
        <v>1.6348700000000001E-3</v>
      </c>
      <c r="C60" s="83">
        <v>1599.9</v>
      </c>
      <c r="D60" s="83">
        <v>1635.9</v>
      </c>
      <c r="E60" s="82">
        <v>3.7075</v>
      </c>
      <c r="F60" s="82"/>
      <c r="G60" s="28"/>
      <c r="H60" s="28"/>
    </row>
    <row r="61" spans="1:8" ht="18.75" customHeight="1" x14ac:dyDescent="0.25">
      <c r="A61" s="7">
        <v>360</v>
      </c>
      <c r="B61" s="79">
        <v>1.76012E-3</v>
      </c>
      <c r="C61" s="83">
        <v>1680.7</v>
      </c>
      <c r="D61" s="83">
        <v>1719.4</v>
      </c>
      <c r="E61" s="82">
        <v>3.8403999999999998</v>
      </c>
      <c r="F61" s="82"/>
      <c r="G61" s="28"/>
      <c r="H61" s="28"/>
    </row>
    <row r="62" spans="1:8" ht="18.75" customHeight="1" x14ac:dyDescent="0.25">
      <c r="A62" s="7">
        <v>370</v>
      </c>
      <c r="B62" s="79">
        <v>2.0286000000000002E-3</v>
      </c>
      <c r="C62" s="83">
        <v>1797.9</v>
      </c>
      <c r="D62" s="83">
        <v>1842.5</v>
      </c>
      <c r="E62" s="82">
        <v>4.0331999999999999</v>
      </c>
      <c r="F62" s="82"/>
      <c r="G62" s="28"/>
      <c r="H62" s="28"/>
    </row>
    <row r="63" spans="1:8" ht="18.75" customHeight="1" x14ac:dyDescent="0.25">
      <c r="A63" s="7">
        <v>380</v>
      </c>
      <c r="B63" s="79">
        <v>6.1234000000000002E-3</v>
      </c>
      <c r="C63" s="83">
        <v>2369.8000000000002</v>
      </c>
      <c r="D63" s="83">
        <v>2504.5</v>
      </c>
      <c r="E63" s="82">
        <v>5.0555000000000003</v>
      </c>
      <c r="F63" s="82"/>
      <c r="G63" s="28"/>
      <c r="H63" s="28"/>
    </row>
    <row r="64" spans="1:8" ht="18.75" customHeight="1" x14ac:dyDescent="0.25">
      <c r="A64" s="7">
        <v>390</v>
      </c>
      <c r="B64" s="79">
        <v>7.3787000000000002E-3</v>
      </c>
      <c r="C64" s="83">
        <v>2481.6</v>
      </c>
      <c r="D64" s="83">
        <v>2643.9</v>
      </c>
      <c r="E64" s="82">
        <v>5.2675000000000001</v>
      </c>
      <c r="F64" s="82"/>
      <c r="G64" s="28"/>
      <c r="H64" s="28"/>
    </row>
    <row r="65" spans="1:8" ht="18.75" customHeight="1" x14ac:dyDescent="0.25">
      <c r="A65" s="7">
        <v>400</v>
      </c>
      <c r="B65" s="79">
        <v>8.2556000000000001E-3</v>
      </c>
      <c r="C65" s="83">
        <v>2554.1999999999998</v>
      </c>
      <c r="D65" s="83">
        <v>2735.8</v>
      </c>
      <c r="E65" s="82">
        <v>5.4051</v>
      </c>
      <c r="F65" s="82"/>
      <c r="G65" s="28"/>
      <c r="H65" s="28"/>
    </row>
    <row r="66" spans="1:8" ht="18.75" customHeight="1" x14ac:dyDescent="0.25">
      <c r="A66" s="7">
        <v>410</v>
      </c>
      <c r="B66" s="79">
        <v>8.9701999999999994E-3</v>
      </c>
      <c r="C66" s="83">
        <v>2611.1</v>
      </c>
      <c r="D66" s="83">
        <v>2808.4</v>
      </c>
      <c r="E66" s="82">
        <v>5.5122</v>
      </c>
      <c r="F66" s="82"/>
      <c r="G66" s="28"/>
      <c r="H66" s="28"/>
    </row>
    <row r="67" spans="1:8" ht="18.75" customHeight="1" x14ac:dyDescent="0.25">
      <c r="A67" s="7">
        <v>420</v>
      </c>
      <c r="B67" s="79">
        <v>9.5893000000000003E-3</v>
      </c>
      <c r="C67" s="83">
        <v>2659</v>
      </c>
      <c r="D67" s="83">
        <v>2870</v>
      </c>
      <c r="E67" s="82">
        <v>5.6017999999999999</v>
      </c>
      <c r="F67" s="82"/>
      <c r="G67" s="28"/>
      <c r="H67" s="28"/>
    </row>
    <row r="68" spans="1:8" ht="18.75" customHeight="1" x14ac:dyDescent="0.25">
      <c r="A68" s="7">
        <v>430</v>
      </c>
      <c r="B68" s="85">
        <v>1.0144E-2</v>
      </c>
      <c r="C68" s="83">
        <v>2701.3</v>
      </c>
      <c r="D68" s="83">
        <v>2924.5</v>
      </c>
      <c r="E68" s="82">
        <v>5.6798000000000002</v>
      </c>
      <c r="F68" s="82"/>
      <c r="G68" s="28"/>
      <c r="H68" s="28"/>
    </row>
    <row r="69" spans="1:8" ht="18.75" customHeight="1" x14ac:dyDescent="0.25">
      <c r="A69" s="7">
        <v>440</v>
      </c>
      <c r="B69" s="85">
        <v>1.0651000000000001E-2</v>
      </c>
      <c r="C69" s="83">
        <v>2739.4</v>
      </c>
      <c r="D69" s="83">
        <v>2973.7</v>
      </c>
      <c r="E69" s="82">
        <v>5.7493999999999996</v>
      </c>
      <c r="F69" s="82"/>
      <c r="G69" s="28"/>
      <c r="H69" s="28"/>
    </row>
    <row r="70" spans="1:8" ht="18.75" customHeight="1" x14ac:dyDescent="0.25">
      <c r="A70" s="7">
        <v>450</v>
      </c>
      <c r="B70" s="85">
        <v>1.1122999999999999E-2</v>
      </c>
      <c r="C70" s="83">
        <v>2774.5</v>
      </c>
      <c r="D70" s="83">
        <v>3019.2</v>
      </c>
      <c r="E70" s="82">
        <v>5.8127000000000004</v>
      </c>
      <c r="F70" s="82"/>
      <c r="G70" s="28"/>
      <c r="H70" s="28"/>
    </row>
    <row r="71" spans="1:8" ht="18.75" customHeight="1" x14ac:dyDescent="0.25">
      <c r="A71" s="7">
        <v>460</v>
      </c>
      <c r="B71" s="85">
        <v>1.1565000000000001E-2</v>
      </c>
      <c r="C71" s="83">
        <v>2807.3</v>
      </c>
      <c r="D71" s="83">
        <v>3061.7</v>
      </c>
      <c r="E71" s="82">
        <v>5.8710000000000004</v>
      </c>
      <c r="F71" s="82"/>
      <c r="G71" s="28"/>
      <c r="H71" s="28"/>
    </row>
    <row r="72" spans="1:8" ht="18.75" customHeight="1" x14ac:dyDescent="0.25">
      <c r="A72" s="7">
        <v>470</v>
      </c>
      <c r="B72" s="85">
        <v>1.1985000000000001E-2</v>
      </c>
      <c r="C72" s="83">
        <v>2838.1</v>
      </c>
      <c r="D72" s="83">
        <v>3101.8</v>
      </c>
      <c r="E72" s="82">
        <v>5.9253999999999998</v>
      </c>
      <c r="F72" s="82"/>
      <c r="G72" s="28"/>
      <c r="H72" s="28"/>
    </row>
    <row r="73" spans="1:8" ht="18.75" customHeight="1" x14ac:dyDescent="0.25">
      <c r="A73" s="7">
        <v>480</v>
      </c>
      <c r="B73" s="85">
        <v>1.2385E-2</v>
      </c>
      <c r="C73" s="83">
        <v>2867.5</v>
      </c>
      <c r="D73" s="83">
        <v>3140</v>
      </c>
      <c r="E73" s="82">
        <v>5.9763999999999999</v>
      </c>
      <c r="F73" s="82"/>
      <c r="G73" s="28"/>
      <c r="H73" s="28"/>
    </row>
    <row r="74" spans="1:8" ht="18.75" customHeight="1" x14ac:dyDescent="0.25">
      <c r="A74" s="7">
        <v>490</v>
      </c>
      <c r="B74" s="85">
        <v>1.2768E-2</v>
      </c>
      <c r="C74" s="83">
        <v>2895.6</v>
      </c>
      <c r="D74" s="83">
        <v>3176.5</v>
      </c>
      <c r="E74" s="82">
        <v>6.0246000000000004</v>
      </c>
      <c r="F74" s="82"/>
      <c r="G74" s="28"/>
      <c r="H74" s="28"/>
    </row>
    <row r="75" spans="1:8" ht="18.75" customHeight="1" x14ac:dyDescent="0.25">
      <c r="A75" s="7">
        <v>500</v>
      </c>
      <c r="B75" s="85">
        <v>1.3138E-2</v>
      </c>
      <c r="C75" s="83">
        <v>2922.8</v>
      </c>
      <c r="D75" s="83">
        <v>3211.8</v>
      </c>
      <c r="E75" s="82">
        <v>6.0705</v>
      </c>
      <c r="F75" s="82"/>
      <c r="G75" s="28"/>
      <c r="H75" s="28"/>
    </row>
    <row r="76" spans="1:8" ht="18.75" customHeight="1" x14ac:dyDescent="0.25">
      <c r="A76" s="7">
        <v>520</v>
      </c>
      <c r="B76" s="85">
        <v>1.3842E-2</v>
      </c>
      <c r="C76" s="83">
        <v>2974.5</v>
      </c>
      <c r="D76" s="83">
        <v>3279</v>
      </c>
      <c r="E76" s="82">
        <v>6.1562999999999999</v>
      </c>
      <c r="F76" s="82"/>
      <c r="G76" s="28"/>
      <c r="H76" s="28"/>
    </row>
    <row r="77" spans="1:8" ht="18.75" customHeight="1" x14ac:dyDescent="0.25">
      <c r="A77" s="7">
        <v>540</v>
      </c>
      <c r="B77" s="85">
        <v>1.4508E-2</v>
      </c>
      <c r="C77" s="83">
        <v>3023.6</v>
      </c>
      <c r="D77" s="83">
        <v>3342.8</v>
      </c>
      <c r="E77" s="82">
        <v>6.2358000000000002</v>
      </c>
      <c r="F77" s="82"/>
      <c r="G77" s="28"/>
      <c r="H77" s="28"/>
    </row>
    <row r="78" spans="1:8" ht="18.75" customHeight="1" x14ac:dyDescent="0.25">
      <c r="A78" s="7">
        <v>560</v>
      </c>
      <c r="B78" s="85">
        <v>1.5143999999999999E-2</v>
      </c>
      <c r="C78" s="83">
        <v>3070.8</v>
      </c>
      <c r="D78" s="83">
        <v>3404</v>
      </c>
      <c r="E78" s="82">
        <v>6.3102</v>
      </c>
      <c r="F78" s="82"/>
      <c r="G78" s="28"/>
      <c r="H78" s="28"/>
    </row>
    <row r="79" spans="1:8" ht="18.75" customHeight="1" x14ac:dyDescent="0.25">
      <c r="A79" s="7">
        <v>580</v>
      </c>
      <c r="B79" s="85">
        <v>1.5755000000000002E-2</v>
      </c>
      <c r="C79" s="83">
        <v>3116.7</v>
      </c>
      <c r="D79" s="83">
        <v>3463.3</v>
      </c>
      <c r="E79" s="82">
        <v>6.3804999999999996</v>
      </c>
      <c r="F79" s="82"/>
      <c r="G79" s="28"/>
      <c r="H79" s="28"/>
    </row>
    <row r="80" spans="1:8" ht="18.75" customHeight="1" x14ac:dyDescent="0.25">
      <c r="A80" s="7">
        <v>600</v>
      </c>
      <c r="B80" s="85">
        <v>1.6347E-2</v>
      </c>
      <c r="C80" s="83">
        <v>3161.4</v>
      </c>
      <c r="D80" s="83">
        <v>3521</v>
      </c>
      <c r="E80" s="82">
        <v>6.4473000000000003</v>
      </c>
      <c r="F80" s="82"/>
      <c r="G80" s="28"/>
      <c r="H80" s="28"/>
    </row>
    <row r="81" spans="1:8" ht="18.75" customHeight="1" x14ac:dyDescent="0.25">
      <c r="A81" s="7">
        <v>620</v>
      </c>
      <c r="B81" s="85">
        <v>1.6920999999999999E-2</v>
      </c>
      <c r="C81" s="83">
        <v>3205.1</v>
      </c>
      <c r="D81" s="83">
        <v>3577.4</v>
      </c>
      <c r="E81" s="82">
        <v>6.5113000000000003</v>
      </c>
      <c r="F81" s="82"/>
      <c r="G81" s="28"/>
      <c r="H81" s="28"/>
    </row>
    <row r="82" spans="1:8" ht="18.75" customHeight="1" x14ac:dyDescent="0.25">
      <c r="A82" s="7">
        <v>640</v>
      </c>
      <c r="B82" s="85">
        <v>1.7481E-2</v>
      </c>
      <c r="C82" s="83">
        <v>3248.3</v>
      </c>
      <c r="D82" s="83">
        <v>3632.9</v>
      </c>
      <c r="E82" s="82">
        <v>6.5727000000000002</v>
      </c>
      <c r="F82" s="82"/>
      <c r="G82" s="28"/>
      <c r="H82" s="28"/>
    </row>
    <row r="83" spans="1:8" ht="18.75" customHeight="1" x14ac:dyDescent="0.25">
      <c r="A83" s="7">
        <v>660</v>
      </c>
      <c r="B83" s="85">
        <v>1.8027999999999999E-2</v>
      </c>
      <c r="C83" s="83">
        <v>3291</v>
      </c>
      <c r="D83" s="83">
        <v>3687.6</v>
      </c>
      <c r="E83" s="82">
        <v>6.6318999999999999</v>
      </c>
      <c r="F83" s="82"/>
      <c r="G83" s="28"/>
      <c r="H83" s="28"/>
    </row>
    <row r="84" spans="1:8" ht="18.75" customHeight="1" x14ac:dyDescent="0.25">
      <c r="A84" s="7">
        <v>680</v>
      </c>
      <c r="B84" s="85">
        <v>1.8565000000000002E-2</v>
      </c>
      <c r="C84" s="83">
        <v>3333.2</v>
      </c>
      <c r="D84" s="83">
        <v>3741.6</v>
      </c>
      <c r="E84" s="82">
        <v>6.6891999999999996</v>
      </c>
      <c r="F84" s="82"/>
      <c r="G84" s="28"/>
      <c r="H84" s="28"/>
    </row>
    <row r="85" spans="1:8" ht="18.75" customHeight="1" x14ac:dyDescent="0.25">
      <c r="A85" s="7">
        <v>700</v>
      </c>
      <c r="B85" s="85">
        <v>1.9092000000000001E-2</v>
      </c>
      <c r="C85" s="83">
        <v>3375.1</v>
      </c>
      <c r="D85" s="83">
        <v>3795.1</v>
      </c>
      <c r="E85" s="82">
        <v>6.7446999999999999</v>
      </c>
      <c r="F85" s="82"/>
      <c r="G85" s="28"/>
      <c r="H85" s="28"/>
    </row>
    <row r="86" spans="1:8" ht="18.75" customHeight="1" x14ac:dyDescent="0.25">
      <c r="A86" s="7">
        <v>720</v>
      </c>
      <c r="B86" s="85">
        <v>1.9611E-2</v>
      </c>
      <c r="C86" s="83">
        <v>3416.8</v>
      </c>
      <c r="D86" s="83">
        <v>3848.2</v>
      </c>
      <c r="E86" s="82">
        <v>6.7988</v>
      </c>
      <c r="F86" s="82"/>
      <c r="G86" s="28"/>
      <c r="H86" s="28"/>
    </row>
    <row r="87" spans="1:8" ht="18.75" customHeight="1" x14ac:dyDescent="0.25">
      <c r="A87" s="7">
        <v>740</v>
      </c>
      <c r="B87" s="85">
        <v>2.0122000000000001E-2</v>
      </c>
      <c r="C87" s="83">
        <v>3458.3</v>
      </c>
      <c r="D87" s="83">
        <v>3901</v>
      </c>
      <c r="E87" s="82">
        <v>6.8513999999999999</v>
      </c>
      <c r="F87" s="82"/>
      <c r="G87" s="28"/>
      <c r="H87" s="28"/>
    </row>
    <row r="88" spans="1:8" ht="18.75" customHeight="1" x14ac:dyDescent="0.25">
      <c r="A88" s="7">
        <v>760</v>
      </c>
      <c r="B88" s="85">
        <v>2.0627E-2</v>
      </c>
      <c r="C88" s="83">
        <v>3499.7</v>
      </c>
      <c r="D88" s="83">
        <v>3953.5</v>
      </c>
      <c r="E88" s="82">
        <v>6.9027000000000003</v>
      </c>
      <c r="F88" s="82"/>
      <c r="G88" s="28"/>
      <c r="H88" s="28"/>
    </row>
    <row r="89" spans="1:8" ht="18.75" customHeight="1" x14ac:dyDescent="0.25">
      <c r="A89" s="7">
        <v>780</v>
      </c>
      <c r="B89" s="85">
        <v>2.1125999999999999E-2</v>
      </c>
      <c r="C89" s="83">
        <v>3541</v>
      </c>
      <c r="D89" s="83">
        <v>4005.8</v>
      </c>
      <c r="E89" s="82">
        <v>6.9528999999999996</v>
      </c>
      <c r="F89" s="82"/>
      <c r="G89" s="28"/>
      <c r="H89" s="28"/>
    </row>
    <row r="90" spans="1:8" ht="18.75" customHeight="1" x14ac:dyDescent="0.25">
      <c r="A90" s="7">
        <v>800</v>
      </c>
      <c r="B90" s="85">
        <v>2.162E-2</v>
      </c>
      <c r="C90" s="83">
        <v>3582.4</v>
      </c>
      <c r="D90" s="83">
        <v>4058</v>
      </c>
      <c r="E90" s="82">
        <v>7.0019999999999998</v>
      </c>
      <c r="F90" s="82"/>
      <c r="G90" s="28"/>
      <c r="H90" s="28"/>
    </row>
    <row r="91" spans="1:8" ht="18.75" customHeight="1" x14ac:dyDescent="0.25">
      <c r="A91" s="7">
        <v>820</v>
      </c>
      <c r="B91" s="85">
        <v>2.2109E-2</v>
      </c>
      <c r="C91" s="83">
        <v>3623.7</v>
      </c>
      <c r="D91" s="83">
        <v>4110.1000000000004</v>
      </c>
      <c r="E91" s="82">
        <v>7.05</v>
      </c>
      <c r="F91" s="82"/>
      <c r="G91" s="28"/>
      <c r="H91" s="28"/>
    </row>
    <row r="92" spans="1:8" ht="18.75" customHeight="1" x14ac:dyDescent="0.25">
      <c r="A92" s="7">
        <v>840</v>
      </c>
      <c r="B92" s="85">
        <v>2.2594E-2</v>
      </c>
      <c r="C92" s="83">
        <v>3665</v>
      </c>
      <c r="D92" s="83">
        <v>4162.1000000000004</v>
      </c>
      <c r="E92" s="82">
        <v>7.0972</v>
      </c>
      <c r="F92" s="82"/>
      <c r="G92" s="28"/>
      <c r="H92" s="28"/>
    </row>
    <row r="93" spans="1:8" ht="18.75" customHeight="1" x14ac:dyDescent="0.25">
      <c r="A93" s="7">
        <v>860</v>
      </c>
      <c r="B93" s="85">
        <v>2.3074000000000001E-2</v>
      </c>
      <c r="C93" s="83">
        <v>3706.5</v>
      </c>
      <c r="D93" s="83">
        <v>4214.1000000000004</v>
      </c>
      <c r="E93" s="82">
        <v>7.1435000000000004</v>
      </c>
      <c r="F93" s="82"/>
      <c r="G93" s="28"/>
      <c r="H93" s="28"/>
    </row>
    <row r="94" spans="1:8" ht="18.75" customHeight="1" x14ac:dyDescent="0.25">
      <c r="A94" s="7">
        <v>880</v>
      </c>
      <c r="B94" s="85">
        <v>2.3550999999999999E-2</v>
      </c>
      <c r="C94" s="83">
        <v>3747.9</v>
      </c>
      <c r="D94" s="83">
        <v>4266</v>
      </c>
      <c r="E94" s="82">
        <v>7.1889000000000003</v>
      </c>
      <c r="F94" s="82"/>
      <c r="G94" s="28"/>
      <c r="H94" s="28"/>
    </row>
    <row r="95" spans="1:8" ht="18.75" customHeight="1" x14ac:dyDescent="0.25">
      <c r="A95" s="7">
        <v>900</v>
      </c>
      <c r="B95" s="85">
        <v>2.4025000000000001E-2</v>
      </c>
      <c r="C95" s="83">
        <v>3789.4</v>
      </c>
      <c r="D95" s="83">
        <v>4318</v>
      </c>
      <c r="E95" s="82">
        <v>7.2336</v>
      </c>
      <c r="F95" s="82"/>
      <c r="G95" s="28"/>
      <c r="H95" s="28"/>
    </row>
    <row r="96" spans="1:8" ht="18.75" customHeight="1" x14ac:dyDescent="0.25">
      <c r="A96" s="7">
        <v>920</v>
      </c>
      <c r="B96" s="85">
        <v>2.4494999999999999E-2</v>
      </c>
      <c r="C96" s="83">
        <v>3831.2</v>
      </c>
      <c r="D96" s="83">
        <v>4370.1000000000004</v>
      </c>
      <c r="E96" s="82">
        <v>7.2775999999999996</v>
      </c>
      <c r="F96" s="82"/>
      <c r="G96" s="28"/>
      <c r="H96" s="28"/>
    </row>
    <row r="97" spans="1:8" ht="18.75" customHeight="1" x14ac:dyDescent="0.25">
      <c r="A97" s="7">
        <v>940</v>
      </c>
      <c r="B97" s="85">
        <v>2.4962999999999999E-2</v>
      </c>
      <c r="C97" s="83">
        <v>3873</v>
      </c>
      <c r="D97" s="83">
        <v>4422.2</v>
      </c>
      <c r="E97" s="82">
        <v>7.3209</v>
      </c>
      <c r="F97" s="82"/>
      <c r="G97" s="28"/>
      <c r="H97" s="28"/>
    </row>
    <row r="98" spans="1:8" ht="18.75" customHeight="1" x14ac:dyDescent="0.25">
      <c r="A98" s="7">
        <v>960</v>
      </c>
      <c r="B98" s="85">
        <v>2.5427999999999999E-2</v>
      </c>
      <c r="C98" s="83">
        <v>3914.9</v>
      </c>
      <c r="D98" s="83">
        <v>4474.3</v>
      </c>
      <c r="E98" s="82">
        <v>7.3635999999999999</v>
      </c>
      <c r="F98" s="82"/>
      <c r="G98" s="28"/>
      <c r="H98" s="28"/>
    </row>
    <row r="99" spans="1:8" ht="18.75" customHeight="1" x14ac:dyDescent="0.25">
      <c r="A99" s="7">
        <v>980</v>
      </c>
      <c r="B99" s="85">
        <v>2.5891000000000001E-2</v>
      </c>
      <c r="C99" s="83">
        <v>3957</v>
      </c>
      <c r="D99" s="83">
        <v>4526.6000000000004</v>
      </c>
      <c r="E99" s="82">
        <v>7.4055999999999997</v>
      </c>
      <c r="F99" s="82"/>
      <c r="G99" s="28"/>
      <c r="H99" s="28"/>
    </row>
    <row r="100" spans="1:8" ht="18.75" customHeight="1" x14ac:dyDescent="0.25">
      <c r="A100" s="7">
        <v>1000</v>
      </c>
      <c r="B100" s="85">
        <v>2.6352E-2</v>
      </c>
      <c r="C100" s="83">
        <v>3999.2</v>
      </c>
      <c r="D100" s="83">
        <v>4578.8999999999996</v>
      </c>
      <c r="E100" s="82">
        <v>7.4470000000000001</v>
      </c>
      <c r="F100" s="82"/>
      <c r="G100" s="28"/>
      <c r="H100" s="28"/>
    </row>
  </sheetData>
  <mergeCells count="1">
    <mergeCell ref="A1:H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G100"/>
  <sheetViews>
    <sheetView topLeftCell="A45" workbookViewId="0">
      <selection activeCell="G57" sqref="G57"/>
    </sheetView>
  </sheetViews>
  <sheetFormatPr defaultRowHeight="13.2" x14ac:dyDescent="0.25"/>
  <cols>
    <col min="1" max="1" width="8.21875" customWidth="1"/>
    <col min="2" max="2" width="12" customWidth="1"/>
    <col min="3" max="3" width="5.44140625" customWidth="1"/>
    <col min="4" max="4" width="5.88671875" customWidth="1"/>
    <col min="5" max="5" width="7.6640625" customWidth="1"/>
    <col min="6" max="6" width="1.109375" customWidth="1"/>
    <col min="7" max="7" width="78.88671875" customWidth="1"/>
  </cols>
  <sheetData>
    <row r="1" spans="1:7" ht="18.75" customHeight="1" x14ac:dyDescent="0.25">
      <c r="A1" s="206" t="s">
        <v>101</v>
      </c>
      <c r="B1" s="206"/>
      <c r="C1" s="206"/>
      <c r="D1" s="206"/>
      <c r="E1" s="206"/>
      <c r="F1" s="206"/>
      <c r="G1" s="206"/>
    </row>
    <row r="2" spans="1:7" ht="18.75" customHeight="1" x14ac:dyDescent="0.25">
      <c r="A2" s="89" t="s">
        <v>126</v>
      </c>
      <c r="B2" s="90">
        <v>25000</v>
      </c>
      <c r="C2" s="76"/>
      <c r="D2" s="76"/>
      <c r="E2" s="76"/>
      <c r="F2" s="76"/>
      <c r="G2" s="76"/>
    </row>
    <row r="3" spans="1:7" ht="15.75" customHeight="1" x14ac:dyDescent="0.25">
      <c r="A3" s="77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47"/>
      <c r="G3" s="47"/>
    </row>
    <row r="4" spans="1:7" ht="18.75" customHeight="1" x14ac:dyDescent="0.25">
      <c r="A4" s="7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47"/>
      <c r="G4" s="47"/>
    </row>
    <row r="5" spans="1:7" ht="18.75" customHeight="1" x14ac:dyDescent="0.25">
      <c r="A5" s="86">
        <v>0</v>
      </c>
      <c r="B5" s="79">
        <v>9.8799999999999995E-4</v>
      </c>
      <c r="C5" s="80">
        <v>0.26</v>
      </c>
      <c r="D5" s="80">
        <v>24.96</v>
      </c>
      <c r="E5" s="81">
        <v>4.0999999999999999E-4</v>
      </c>
      <c r="F5" s="47"/>
      <c r="G5" s="47"/>
    </row>
    <row r="6" spans="1:7" ht="18.75" customHeight="1" x14ac:dyDescent="0.25">
      <c r="A6" s="86">
        <v>5</v>
      </c>
      <c r="B6" s="79">
        <v>9.8825999999999992E-4</v>
      </c>
      <c r="C6" s="80">
        <v>20.8</v>
      </c>
      <c r="D6" s="80">
        <v>45.51</v>
      </c>
      <c r="E6" s="81">
        <v>7.4959999999999999E-2</v>
      </c>
      <c r="F6" s="47"/>
      <c r="G6" s="47"/>
    </row>
    <row r="7" spans="1:7" ht="18.75" customHeight="1" x14ac:dyDescent="0.25">
      <c r="A7" s="86">
        <v>10</v>
      </c>
      <c r="B7" s="79">
        <v>9.8883999999999994E-4</v>
      </c>
      <c r="C7" s="80">
        <v>41.34</v>
      </c>
      <c r="D7" s="80">
        <v>66.06</v>
      </c>
      <c r="E7" s="81">
        <v>0.14818999999999999</v>
      </c>
      <c r="F7" s="47"/>
      <c r="G7" s="47"/>
    </row>
    <row r="8" spans="1:7" ht="18.75" customHeight="1" x14ac:dyDescent="0.25">
      <c r="A8" s="86">
        <v>15</v>
      </c>
      <c r="B8" s="79">
        <v>9.8967999999999994E-4</v>
      </c>
      <c r="C8" s="80">
        <v>61.88</v>
      </c>
      <c r="D8" s="80">
        <v>86.62</v>
      </c>
      <c r="E8" s="81">
        <v>0.22015000000000001</v>
      </c>
      <c r="F8" s="47"/>
      <c r="G8" s="47"/>
    </row>
    <row r="9" spans="1:7" ht="18.75" customHeight="1" x14ac:dyDescent="0.25">
      <c r="A9" s="86">
        <v>20</v>
      </c>
      <c r="B9" s="79">
        <v>9.9076999999999998E-4</v>
      </c>
      <c r="C9" s="80">
        <v>82.41</v>
      </c>
      <c r="D9" s="80">
        <v>107.18</v>
      </c>
      <c r="E9" s="81">
        <v>0.29088999999999998</v>
      </c>
      <c r="F9" s="47"/>
      <c r="G9" s="47"/>
    </row>
    <row r="10" spans="1:7" ht="18.75" customHeight="1" x14ac:dyDescent="0.25">
      <c r="A10" s="86">
        <v>25</v>
      </c>
      <c r="B10" s="79">
        <v>9.9207000000000006E-4</v>
      </c>
      <c r="C10" s="80">
        <v>102.95</v>
      </c>
      <c r="D10" s="80">
        <v>127.75</v>
      </c>
      <c r="E10" s="81">
        <v>0.36047000000000001</v>
      </c>
      <c r="F10" s="47"/>
      <c r="G10" s="47"/>
    </row>
    <row r="11" spans="1:7" ht="18.75" customHeight="1" x14ac:dyDescent="0.25">
      <c r="A11" s="86">
        <v>30</v>
      </c>
      <c r="B11" s="79">
        <v>9.9357999999999998E-4</v>
      </c>
      <c r="C11" s="80">
        <v>123.49</v>
      </c>
      <c r="D11" s="80">
        <v>148.33000000000001</v>
      </c>
      <c r="E11" s="81">
        <v>0.42893999999999999</v>
      </c>
      <c r="F11" s="47"/>
      <c r="G11" s="47"/>
    </row>
    <row r="12" spans="1:7" ht="18.75" customHeight="1" x14ac:dyDescent="0.25">
      <c r="A12" s="86">
        <v>35</v>
      </c>
      <c r="B12" s="79">
        <v>9.9526999999999992E-4</v>
      </c>
      <c r="C12" s="80">
        <v>144.05000000000001</v>
      </c>
      <c r="D12" s="80">
        <v>168.93</v>
      </c>
      <c r="E12" s="81">
        <v>0.49631999999999998</v>
      </c>
      <c r="F12" s="47"/>
      <c r="G12" s="47"/>
    </row>
    <row r="13" spans="1:7" ht="18.75" customHeight="1" x14ac:dyDescent="0.25">
      <c r="A13" s="86">
        <v>40</v>
      </c>
      <c r="B13" s="79">
        <v>9.9715000000000003E-4</v>
      </c>
      <c r="C13" s="80">
        <v>164.6</v>
      </c>
      <c r="D13" s="80">
        <v>189.53</v>
      </c>
      <c r="E13" s="81">
        <v>0.56264999999999998</v>
      </c>
      <c r="F13" s="47"/>
      <c r="G13" s="47"/>
    </row>
    <row r="14" spans="1:7" ht="18.75" customHeight="1" x14ac:dyDescent="0.25">
      <c r="A14" s="86">
        <v>45</v>
      </c>
      <c r="B14" s="79">
        <v>9.9919000000000006E-4</v>
      </c>
      <c r="C14" s="80">
        <v>185.17</v>
      </c>
      <c r="D14" s="80">
        <v>210.15</v>
      </c>
      <c r="E14" s="81">
        <v>0.62797999999999998</v>
      </c>
      <c r="F14" s="47"/>
      <c r="G14" s="47"/>
    </row>
    <row r="15" spans="1:7" ht="18.75" customHeight="1" x14ac:dyDescent="0.25">
      <c r="A15" s="86">
        <v>50</v>
      </c>
      <c r="B15" s="79">
        <v>1.00139E-3</v>
      </c>
      <c r="C15" s="80">
        <v>205.76</v>
      </c>
      <c r="D15" s="80">
        <v>230.79</v>
      </c>
      <c r="E15" s="81">
        <v>0.69233</v>
      </c>
      <c r="F15" s="47"/>
      <c r="G15" s="47"/>
    </row>
    <row r="16" spans="1:7" ht="18.75" customHeight="1" x14ac:dyDescent="0.25">
      <c r="A16" s="86">
        <v>55</v>
      </c>
      <c r="B16" s="79">
        <v>1.0037500000000001E-3</v>
      </c>
      <c r="C16" s="80">
        <v>226.34</v>
      </c>
      <c r="D16" s="80">
        <v>251.43</v>
      </c>
      <c r="E16" s="81">
        <v>0.75573000000000001</v>
      </c>
      <c r="F16" s="47"/>
      <c r="G16" s="47"/>
    </row>
    <row r="17" spans="1:7" ht="18.75" customHeight="1" x14ac:dyDescent="0.25">
      <c r="A17" s="86">
        <v>60</v>
      </c>
      <c r="B17" s="79">
        <v>1.00625E-3</v>
      </c>
      <c r="C17" s="80">
        <v>246.93</v>
      </c>
      <c r="D17" s="80">
        <v>272.08999999999997</v>
      </c>
      <c r="E17" s="81">
        <v>0.81820999999999999</v>
      </c>
      <c r="F17" s="47"/>
      <c r="G17" s="47"/>
    </row>
    <row r="18" spans="1:7" ht="18.75" customHeight="1" x14ac:dyDescent="0.25">
      <c r="A18" s="86">
        <v>65</v>
      </c>
      <c r="B18" s="79">
        <v>1.0089000000000001E-3</v>
      </c>
      <c r="C18" s="80">
        <v>267.55</v>
      </c>
      <c r="D18" s="80">
        <v>292.77</v>
      </c>
      <c r="E18" s="81">
        <v>0.87980999999999998</v>
      </c>
      <c r="F18" s="47"/>
      <c r="G18" s="47"/>
    </row>
    <row r="19" spans="1:7" ht="18.75" customHeight="1" x14ac:dyDescent="0.25">
      <c r="A19" s="86">
        <v>70</v>
      </c>
      <c r="B19" s="79">
        <v>1.0116999999999999E-3</v>
      </c>
      <c r="C19" s="80">
        <v>288.17</v>
      </c>
      <c r="D19" s="80">
        <v>313.45999999999998</v>
      </c>
      <c r="E19" s="81">
        <v>0.94054000000000004</v>
      </c>
      <c r="F19" s="47"/>
      <c r="G19" s="47"/>
    </row>
    <row r="20" spans="1:7" ht="18.75" customHeight="1" x14ac:dyDescent="0.25">
      <c r="A20" s="86">
        <v>75</v>
      </c>
      <c r="B20" s="79">
        <v>1.0146300000000001E-3</v>
      </c>
      <c r="C20" s="80">
        <v>308.79000000000002</v>
      </c>
      <c r="D20" s="80">
        <v>334.16</v>
      </c>
      <c r="E20" s="82">
        <v>1.0004</v>
      </c>
      <c r="F20" s="47"/>
      <c r="G20" s="47"/>
    </row>
    <row r="21" spans="1:7" ht="18.75" customHeight="1" x14ac:dyDescent="0.25">
      <c r="A21" s="86">
        <v>80</v>
      </c>
      <c r="B21" s="79">
        <v>1.0176899999999999E-3</v>
      </c>
      <c r="C21" s="80">
        <v>329.44</v>
      </c>
      <c r="D21" s="80">
        <v>354.88</v>
      </c>
      <c r="E21" s="82">
        <v>1.0595000000000001</v>
      </c>
      <c r="F21" s="47"/>
      <c r="G21" s="47"/>
    </row>
    <row r="22" spans="1:7" ht="18.75" customHeight="1" x14ac:dyDescent="0.25">
      <c r="A22" s="86">
        <v>85</v>
      </c>
      <c r="B22" s="79">
        <v>1.0208999999999999E-3</v>
      </c>
      <c r="C22" s="80">
        <v>350.1</v>
      </c>
      <c r="D22" s="80">
        <v>375.62</v>
      </c>
      <c r="E22" s="82">
        <v>1.1177999999999999</v>
      </c>
      <c r="F22" s="47"/>
      <c r="G22" s="47"/>
    </row>
    <row r="23" spans="1:7" ht="18.75" customHeight="1" x14ac:dyDescent="0.25">
      <c r="A23" s="86">
        <v>90</v>
      </c>
      <c r="B23" s="79">
        <v>1.0242300000000001E-3</v>
      </c>
      <c r="C23" s="80">
        <v>370.77</v>
      </c>
      <c r="D23" s="80">
        <v>396.38</v>
      </c>
      <c r="E23" s="82">
        <v>1.1754</v>
      </c>
      <c r="F23" s="47"/>
      <c r="G23" s="47"/>
    </row>
    <row r="24" spans="1:7" ht="18.75" customHeight="1" x14ac:dyDescent="0.25">
      <c r="A24" s="86">
        <v>95</v>
      </c>
      <c r="B24" s="79">
        <v>1.0277000000000001E-3</v>
      </c>
      <c r="C24" s="80">
        <v>391.46</v>
      </c>
      <c r="D24" s="80">
        <v>417.15</v>
      </c>
      <c r="E24" s="82">
        <v>1.2322</v>
      </c>
      <c r="F24" s="47"/>
      <c r="G24" s="47"/>
    </row>
    <row r="25" spans="1:7" ht="18.75" customHeight="1" x14ac:dyDescent="0.25">
      <c r="A25" s="86">
        <v>100</v>
      </c>
      <c r="B25" s="79">
        <v>1.0313E-3</v>
      </c>
      <c r="C25" s="80">
        <v>412.17</v>
      </c>
      <c r="D25" s="80">
        <v>437.95</v>
      </c>
      <c r="E25" s="82">
        <v>1.2883</v>
      </c>
      <c r="F25" s="47"/>
      <c r="G25" s="47"/>
    </row>
    <row r="26" spans="1:7" ht="18.75" customHeight="1" x14ac:dyDescent="0.25">
      <c r="A26" s="86">
        <v>105</v>
      </c>
      <c r="B26" s="79">
        <v>1.0350400000000001E-3</v>
      </c>
      <c r="C26" s="80">
        <v>432.9</v>
      </c>
      <c r="D26" s="80">
        <v>458.78</v>
      </c>
      <c r="E26" s="82">
        <v>1.3438000000000001</v>
      </c>
      <c r="F26" s="47"/>
      <c r="G26" s="47"/>
    </row>
    <row r="27" spans="1:7" ht="18.75" customHeight="1" x14ac:dyDescent="0.25">
      <c r="A27" s="86">
        <v>110</v>
      </c>
      <c r="B27" s="79">
        <v>1.0389100000000001E-3</v>
      </c>
      <c r="C27" s="80">
        <v>453.66</v>
      </c>
      <c r="D27" s="80">
        <v>479.63</v>
      </c>
      <c r="E27" s="82">
        <v>1.3986000000000001</v>
      </c>
      <c r="F27" s="47"/>
      <c r="G27" s="47"/>
    </row>
    <row r="28" spans="1:7" ht="18.75" customHeight="1" x14ac:dyDescent="0.25">
      <c r="A28" s="86">
        <v>115</v>
      </c>
      <c r="B28" s="79">
        <v>1.0429199999999999E-3</v>
      </c>
      <c r="C28" s="80">
        <v>474.43</v>
      </c>
      <c r="D28" s="80">
        <v>500.5</v>
      </c>
      <c r="E28" s="82">
        <v>1.4527000000000001</v>
      </c>
      <c r="F28" s="47"/>
      <c r="G28" s="47"/>
    </row>
    <row r="29" spans="1:7" ht="18.75" customHeight="1" x14ac:dyDescent="0.25">
      <c r="A29" s="86">
        <v>120</v>
      </c>
      <c r="B29" s="79">
        <v>1.04706E-3</v>
      </c>
      <c r="C29" s="80">
        <v>495.23</v>
      </c>
      <c r="D29" s="80">
        <v>521.41</v>
      </c>
      <c r="E29" s="82">
        <v>1.5062</v>
      </c>
      <c r="F29" s="47"/>
      <c r="G29" s="47"/>
    </row>
    <row r="30" spans="1:7" ht="18.75" customHeight="1" x14ac:dyDescent="0.25">
      <c r="A30" s="86">
        <v>125</v>
      </c>
      <c r="B30" s="79">
        <v>1.05134E-3</v>
      </c>
      <c r="C30" s="80">
        <v>516.07000000000005</v>
      </c>
      <c r="D30" s="80">
        <v>542.35</v>
      </c>
      <c r="E30" s="82">
        <v>1.5590999999999999</v>
      </c>
      <c r="F30" s="47"/>
      <c r="G30" s="47"/>
    </row>
    <row r="31" spans="1:7" ht="18.75" customHeight="1" x14ac:dyDescent="0.25">
      <c r="A31" s="86">
        <v>130</v>
      </c>
      <c r="B31" s="79">
        <v>1.0557699999999999E-3</v>
      </c>
      <c r="C31" s="80">
        <v>536.94000000000005</v>
      </c>
      <c r="D31" s="80">
        <v>563.33000000000004</v>
      </c>
      <c r="E31" s="82">
        <v>1.6114999999999999</v>
      </c>
      <c r="F31" s="47"/>
      <c r="G31" s="47"/>
    </row>
    <row r="32" spans="1:7" ht="18.75" customHeight="1" x14ac:dyDescent="0.25">
      <c r="A32" s="86">
        <v>135</v>
      </c>
      <c r="B32" s="79">
        <v>1.06033E-3</v>
      </c>
      <c r="C32" s="80">
        <v>557.84</v>
      </c>
      <c r="D32" s="80">
        <v>584.35</v>
      </c>
      <c r="E32" s="82">
        <v>1.6633</v>
      </c>
      <c r="F32" s="47"/>
      <c r="G32" s="47"/>
    </row>
    <row r="33" spans="1:7" ht="18.75" customHeight="1" x14ac:dyDescent="0.25">
      <c r="A33" s="86">
        <v>140</v>
      </c>
      <c r="B33" s="79">
        <v>1.0650499999999999E-3</v>
      </c>
      <c r="C33" s="80">
        <v>578.78</v>
      </c>
      <c r="D33" s="80">
        <v>605.41</v>
      </c>
      <c r="E33" s="82">
        <v>1.7145999999999999</v>
      </c>
      <c r="F33" s="47"/>
      <c r="G33" s="47"/>
    </row>
    <row r="34" spans="1:7" ht="18.75" customHeight="1" x14ac:dyDescent="0.25">
      <c r="A34" s="86">
        <v>145</v>
      </c>
      <c r="B34" s="79">
        <v>1.0699100000000001E-3</v>
      </c>
      <c r="C34" s="80">
        <v>599.76</v>
      </c>
      <c r="D34" s="80">
        <v>626.51</v>
      </c>
      <c r="E34" s="82">
        <v>1.7654000000000001</v>
      </c>
      <c r="F34" s="47"/>
      <c r="G34" s="47"/>
    </row>
    <row r="35" spans="1:7" ht="18.75" customHeight="1" x14ac:dyDescent="0.25">
      <c r="A35" s="86">
        <v>150</v>
      </c>
      <c r="B35" s="79">
        <v>1.07492E-3</v>
      </c>
      <c r="C35" s="80">
        <v>620.79</v>
      </c>
      <c r="D35" s="80">
        <v>647.66</v>
      </c>
      <c r="E35" s="82">
        <v>1.8156000000000001</v>
      </c>
      <c r="F35" s="47"/>
      <c r="G35" s="47"/>
    </row>
    <row r="36" spans="1:7" ht="18.75" customHeight="1" x14ac:dyDescent="0.25">
      <c r="A36" s="86">
        <v>155</v>
      </c>
      <c r="B36" s="79">
        <v>1.0800899999999999E-3</v>
      </c>
      <c r="C36" s="80">
        <v>641.86</v>
      </c>
      <c r="D36" s="80">
        <v>668.86</v>
      </c>
      <c r="E36" s="82">
        <v>1.8653999999999999</v>
      </c>
      <c r="F36" s="47"/>
      <c r="G36" s="47"/>
    </row>
    <row r="37" spans="1:7" ht="18.75" customHeight="1" x14ac:dyDescent="0.25">
      <c r="A37" s="86">
        <v>160</v>
      </c>
      <c r="B37" s="79">
        <v>1.0854300000000001E-3</v>
      </c>
      <c r="C37" s="80">
        <v>662.97</v>
      </c>
      <c r="D37" s="80">
        <v>690.11</v>
      </c>
      <c r="E37" s="82">
        <v>1.9148000000000001</v>
      </c>
      <c r="F37" s="47"/>
      <c r="G37" s="47"/>
    </row>
    <row r="38" spans="1:7" ht="18.75" customHeight="1" x14ac:dyDescent="0.25">
      <c r="A38" s="86">
        <v>165</v>
      </c>
      <c r="B38" s="79">
        <v>1.0909299999999999E-3</v>
      </c>
      <c r="C38" s="80">
        <v>684.16</v>
      </c>
      <c r="D38" s="80">
        <v>711.43</v>
      </c>
      <c r="E38" s="82">
        <v>1.9637</v>
      </c>
      <c r="F38" s="47"/>
      <c r="G38" s="47"/>
    </row>
    <row r="39" spans="1:7" ht="18.75" customHeight="1" x14ac:dyDescent="0.25">
      <c r="A39" s="86">
        <v>170</v>
      </c>
      <c r="B39" s="79">
        <v>1.0966000000000001E-3</v>
      </c>
      <c r="C39" s="80">
        <v>705.39</v>
      </c>
      <c r="D39" s="80">
        <v>732.8</v>
      </c>
      <c r="E39" s="82">
        <v>2.0122</v>
      </c>
      <c r="F39" s="47"/>
      <c r="G39" s="47"/>
    </row>
    <row r="40" spans="1:7" ht="18.75" customHeight="1" x14ac:dyDescent="0.25">
      <c r="A40" s="86">
        <v>175</v>
      </c>
      <c r="B40" s="79">
        <v>1.10245E-3</v>
      </c>
      <c r="C40" s="80">
        <v>726.69</v>
      </c>
      <c r="D40" s="80">
        <v>754.25</v>
      </c>
      <c r="E40" s="82">
        <v>2.0604</v>
      </c>
      <c r="F40" s="47"/>
      <c r="G40" s="47"/>
    </row>
    <row r="41" spans="1:7" ht="18.75" customHeight="1" x14ac:dyDescent="0.25">
      <c r="A41" s="86">
        <v>180</v>
      </c>
      <c r="B41" s="79">
        <v>1.10849E-3</v>
      </c>
      <c r="C41" s="80">
        <v>748.05</v>
      </c>
      <c r="D41" s="80">
        <v>775.76</v>
      </c>
      <c r="E41" s="82">
        <v>2.1080999999999999</v>
      </c>
      <c r="F41" s="47"/>
      <c r="G41" s="47"/>
    </row>
    <row r="42" spans="1:7" ht="18.75" customHeight="1" x14ac:dyDescent="0.25">
      <c r="A42" s="86">
        <v>185</v>
      </c>
      <c r="B42" s="79">
        <v>1.11472E-3</v>
      </c>
      <c r="C42" s="80">
        <v>769.48</v>
      </c>
      <c r="D42" s="80">
        <v>797.35</v>
      </c>
      <c r="E42" s="82">
        <v>2.1555</v>
      </c>
      <c r="F42" s="47"/>
      <c r="G42" s="47"/>
    </row>
    <row r="43" spans="1:7" ht="18.75" customHeight="1" x14ac:dyDescent="0.25">
      <c r="A43" s="86">
        <v>190</v>
      </c>
      <c r="B43" s="79">
        <v>1.12115E-3</v>
      </c>
      <c r="C43" s="80">
        <v>790.99</v>
      </c>
      <c r="D43" s="80">
        <v>819.02</v>
      </c>
      <c r="E43" s="82">
        <v>2.2025000000000001</v>
      </c>
      <c r="F43" s="47"/>
      <c r="G43" s="47"/>
    </row>
    <row r="44" spans="1:7" ht="18.75" customHeight="1" x14ac:dyDescent="0.25">
      <c r="A44" s="86">
        <v>195</v>
      </c>
      <c r="B44" s="79">
        <v>1.1277800000000001E-3</v>
      </c>
      <c r="C44" s="80">
        <v>812.58</v>
      </c>
      <c r="D44" s="80">
        <v>840.77</v>
      </c>
      <c r="E44" s="82">
        <v>2.2492000000000001</v>
      </c>
      <c r="F44" s="47"/>
      <c r="G44" s="47"/>
    </row>
    <row r="45" spans="1:7" ht="18.75" customHeight="1" x14ac:dyDescent="0.25">
      <c r="A45" s="86">
        <v>200</v>
      </c>
      <c r="B45" s="79">
        <v>1.1346399999999999E-3</v>
      </c>
      <c r="C45" s="80">
        <v>834.24</v>
      </c>
      <c r="D45" s="80">
        <v>862.61</v>
      </c>
      <c r="E45" s="82">
        <v>2.2955999999999999</v>
      </c>
      <c r="F45" s="47"/>
      <c r="G45" s="47"/>
    </row>
    <row r="46" spans="1:7" ht="18.75" customHeight="1" x14ac:dyDescent="0.25">
      <c r="A46" s="86">
        <v>210</v>
      </c>
      <c r="B46" s="79">
        <v>1.1490599999999999E-3</v>
      </c>
      <c r="C46" s="80">
        <v>877.86</v>
      </c>
      <c r="D46" s="80">
        <v>906.59</v>
      </c>
      <c r="E46" s="82">
        <v>2.3875999999999999</v>
      </c>
      <c r="F46" s="47"/>
      <c r="G46" s="47"/>
    </row>
    <row r="47" spans="1:7" ht="18.75" customHeight="1" x14ac:dyDescent="0.25">
      <c r="A47" s="86">
        <v>220</v>
      </c>
      <c r="B47" s="79">
        <v>1.16449E-3</v>
      </c>
      <c r="C47" s="80">
        <v>921.89</v>
      </c>
      <c r="D47" s="80">
        <v>951</v>
      </c>
      <c r="E47" s="82">
        <v>2.4786000000000001</v>
      </c>
      <c r="F47" s="47"/>
      <c r="G47" s="47"/>
    </row>
    <row r="48" spans="1:7" ht="18.75" customHeight="1" x14ac:dyDescent="0.25">
      <c r="A48" s="86">
        <v>230</v>
      </c>
      <c r="B48" s="79">
        <v>1.18104E-3</v>
      </c>
      <c r="C48" s="80">
        <v>966.36</v>
      </c>
      <c r="D48" s="80">
        <v>995.89</v>
      </c>
      <c r="E48" s="82">
        <v>2.5687000000000002</v>
      </c>
      <c r="F48" s="47"/>
      <c r="G48" s="47"/>
    </row>
    <row r="49" spans="1:7" ht="18.75" customHeight="1" x14ac:dyDescent="0.25">
      <c r="A49" s="86">
        <v>240</v>
      </c>
      <c r="B49" s="79">
        <v>1.1988700000000001E-3</v>
      </c>
      <c r="C49" s="83">
        <v>1011.3</v>
      </c>
      <c r="D49" s="83">
        <v>1041.3</v>
      </c>
      <c r="E49" s="82">
        <v>2.6581999999999999</v>
      </c>
      <c r="F49" s="47"/>
      <c r="G49" s="47"/>
    </row>
    <row r="50" spans="1:7" ht="18.75" customHeight="1" x14ac:dyDescent="0.25">
      <c r="A50" s="86">
        <v>250</v>
      </c>
      <c r="B50" s="79">
        <v>1.2181399999999999E-3</v>
      </c>
      <c r="C50" s="83">
        <v>1056.9000000000001</v>
      </c>
      <c r="D50" s="83">
        <v>1087.4000000000001</v>
      </c>
      <c r="E50" s="82">
        <v>2.7471000000000001</v>
      </c>
      <c r="F50" s="47"/>
      <c r="G50" s="47"/>
    </row>
    <row r="51" spans="1:7" ht="18.75" customHeight="1" x14ac:dyDescent="0.25">
      <c r="A51" s="86">
        <v>260</v>
      </c>
      <c r="B51" s="79">
        <v>1.2390599999999999E-3</v>
      </c>
      <c r="C51" s="83">
        <v>1103.2</v>
      </c>
      <c r="D51" s="83">
        <v>1134.2</v>
      </c>
      <c r="E51" s="82">
        <v>2.8357000000000001</v>
      </c>
      <c r="F51" s="47"/>
      <c r="G51" s="47"/>
    </row>
    <row r="52" spans="1:7" ht="18.75" customHeight="1" x14ac:dyDescent="0.25">
      <c r="A52" s="86">
        <v>270</v>
      </c>
      <c r="B52" s="79">
        <v>1.2619E-3</v>
      </c>
      <c r="C52" s="83">
        <v>1150.4000000000001</v>
      </c>
      <c r="D52" s="83">
        <v>1181.9000000000001</v>
      </c>
      <c r="E52" s="82">
        <v>2.9241999999999999</v>
      </c>
      <c r="F52" s="47"/>
      <c r="G52" s="47"/>
    </row>
    <row r="53" spans="1:7" ht="18.75" customHeight="1" x14ac:dyDescent="0.25">
      <c r="A53" s="218">
        <v>280</v>
      </c>
      <c r="B53" s="219">
        <v>1.28699E-3</v>
      </c>
      <c r="C53" s="220">
        <v>1198.3</v>
      </c>
      <c r="D53" s="220">
        <v>1230.5</v>
      </c>
      <c r="E53" s="210">
        <v>3.0129000000000001</v>
      </c>
      <c r="F53" s="82"/>
      <c r="G53" s="47"/>
    </row>
    <row r="54" spans="1:7" ht="18.75" customHeight="1" x14ac:dyDescent="0.25">
      <c r="A54" s="218">
        <v>290</v>
      </c>
      <c r="B54" s="219">
        <v>1.31478E-3</v>
      </c>
      <c r="C54" s="220">
        <v>1247.3</v>
      </c>
      <c r="D54" s="220">
        <v>1280.2</v>
      </c>
      <c r="E54" s="210">
        <v>3.1019999999999999</v>
      </c>
      <c r="F54" s="82"/>
      <c r="G54" s="47"/>
    </row>
    <row r="55" spans="1:7" ht="18.75" customHeight="1" x14ac:dyDescent="0.25">
      <c r="A55" s="218">
        <v>300</v>
      </c>
      <c r="B55" s="219">
        <v>1.3458999999999999E-3</v>
      </c>
      <c r="C55" s="220">
        <v>1297.7</v>
      </c>
      <c r="D55" s="220">
        <v>1331.3</v>
      </c>
      <c r="E55" s="210">
        <v>3.1919</v>
      </c>
      <c r="F55" s="82"/>
      <c r="G55" s="47"/>
    </row>
    <row r="56" spans="1:7" ht="18.75" customHeight="1" x14ac:dyDescent="0.25">
      <c r="A56" s="218">
        <v>310</v>
      </c>
      <c r="B56" s="219">
        <v>1.3810000000000001E-3</v>
      </c>
      <c r="C56" s="220">
        <v>1349.6</v>
      </c>
      <c r="D56" s="220">
        <v>1384.1</v>
      </c>
      <c r="E56" s="210">
        <v>3.2831999999999999</v>
      </c>
      <c r="F56" s="82"/>
      <c r="G56" s="47"/>
    </row>
    <row r="57" spans="1:7" ht="18.75" customHeight="1" x14ac:dyDescent="0.25">
      <c r="A57" s="218">
        <v>320</v>
      </c>
      <c r="B57" s="219">
        <v>1.4215E-3</v>
      </c>
      <c r="C57" s="220">
        <v>1403.4</v>
      </c>
      <c r="D57" s="220">
        <v>1438.9</v>
      </c>
      <c r="E57" s="210">
        <v>3.3763999999999998</v>
      </c>
      <c r="F57" s="82"/>
      <c r="G57" s="47"/>
    </row>
    <row r="58" spans="1:7" ht="18.75" customHeight="1" x14ac:dyDescent="0.25">
      <c r="A58" s="218">
        <v>330</v>
      </c>
      <c r="B58" s="219">
        <v>1.469E-3</v>
      </c>
      <c r="C58" s="220">
        <v>1459.7</v>
      </c>
      <c r="D58" s="220">
        <v>1496.4</v>
      </c>
      <c r="E58" s="210">
        <v>3.4725999999999999</v>
      </c>
      <c r="F58" s="82"/>
      <c r="G58" s="47"/>
    </row>
    <row r="59" spans="1:7" ht="18.75" customHeight="1" x14ac:dyDescent="0.25">
      <c r="A59" s="218">
        <v>340</v>
      </c>
      <c r="B59" s="219">
        <v>1.5264E-3</v>
      </c>
      <c r="C59" s="220">
        <v>1519.3</v>
      </c>
      <c r="D59" s="220">
        <v>1557.5</v>
      </c>
      <c r="E59" s="210">
        <v>3.5731000000000002</v>
      </c>
      <c r="F59" s="82"/>
      <c r="G59" s="47"/>
    </row>
    <row r="60" spans="1:7" ht="18.75" customHeight="1" x14ac:dyDescent="0.25">
      <c r="A60" s="218">
        <v>350</v>
      </c>
      <c r="B60" s="219">
        <v>1.5988E-3</v>
      </c>
      <c r="C60" s="220">
        <v>1583.9</v>
      </c>
      <c r="D60" s="220">
        <v>1623.9</v>
      </c>
      <c r="E60" s="210">
        <v>3.6804000000000001</v>
      </c>
      <c r="F60" s="82"/>
      <c r="G60" s="47"/>
    </row>
    <row r="61" spans="1:7" ht="18.75" customHeight="1" x14ac:dyDescent="0.25">
      <c r="A61" s="218">
        <v>360</v>
      </c>
      <c r="B61" s="219">
        <v>1.6969000000000001E-3</v>
      </c>
      <c r="C61" s="220">
        <v>1656.2</v>
      </c>
      <c r="D61" s="220">
        <v>1698.6</v>
      </c>
      <c r="E61" s="210">
        <v>3.7993000000000001</v>
      </c>
      <c r="F61" s="82"/>
      <c r="G61" s="47"/>
    </row>
    <row r="62" spans="1:7" ht="18.75" customHeight="1" x14ac:dyDescent="0.25">
      <c r="A62" s="218">
        <v>370</v>
      </c>
      <c r="B62" s="219">
        <v>1.8503E-3</v>
      </c>
      <c r="C62" s="220">
        <v>1743.5</v>
      </c>
      <c r="D62" s="220">
        <v>1789.8</v>
      </c>
      <c r="E62" s="210">
        <v>3.9422999999999999</v>
      </c>
      <c r="F62" s="82"/>
      <c r="G62" s="47"/>
    </row>
    <row r="63" spans="1:7" ht="18.75" customHeight="1" x14ac:dyDescent="0.25">
      <c r="A63" s="218">
        <v>380</v>
      </c>
      <c r="B63" s="219">
        <v>2.2182E-3</v>
      </c>
      <c r="C63" s="220">
        <v>1880.2</v>
      </c>
      <c r="D63" s="220">
        <v>1935.7</v>
      </c>
      <c r="E63" s="210">
        <v>4.1670999999999996</v>
      </c>
      <c r="F63" s="82"/>
      <c r="G63" s="47"/>
    </row>
    <row r="64" spans="1:7" ht="18.75" customHeight="1" x14ac:dyDescent="0.25">
      <c r="A64" s="218">
        <v>390</v>
      </c>
      <c r="B64" s="219">
        <v>4.6474000000000003E-3</v>
      </c>
      <c r="C64" s="220">
        <v>2279.5</v>
      </c>
      <c r="D64" s="220">
        <v>2395.6999999999998</v>
      </c>
      <c r="E64" s="210">
        <v>4.8659999999999997</v>
      </c>
      <c r="F64" s="82"/>
      <c r="G64" s="47"/>
    </row>
    <row r="65" spans="1:7" ht="18.75" customHeight="1" x14ac:dyDescent="0.25">
      <c r="A65" s="218">
        <v>400</v>
      </c>
      <c r="B65" s="219">
        <v>6.0047E-3</v>
      </c>
      <c r="C65" s="220">
        <v>2428.5</v>
      </c>
      <c r="D65" s="220">
        <v>2578.6</v>
      </c>
      <c r="E65" s="210">
        <v>5.14</v>
      </c>
      <c r="F65" s="82"/>
      <c r="G65" s="47"/>
    </row>
    <row r="66" spans="1:7" ht="18.75" customHeight="1" x14ac:dyDescent="0.25">
      <c r="A66" s="218">
        <v>410</v>
      </c>
      <c r="B66" s="219">
        <v>6.8833000000000002E-3</v>
      </c>
      <c r="C66" s="220">
        <v>2515</v>
      </c>
      <c r="D66" s="220">
        <v>2687.1</v>
      </c>
      <c r="E66" s="210">
        <v>5.3</v>
      </c>
      <c r="F66" s="82"/>
      <c r="G66" s="47"/>
    </row>
    <row r="67" spans="1:7" ht="18.75" customHeight="1" x14ac:dyDescent="0.25">
      <c r="A67" s="218">
        <v>420</v>
      </c>
      <c r="B67" s="219">
        <v>7.5792000000000003E-3</v>
      </c>
      <c r="C67" s="220">
        <v>2579.9</v>
      </c>
      <c r="D67" s="220">
        <v>2769.4</v>
      </c>
      <c r="E67" s="210">
        <v>5.4196999999999997</v>
      </c>
      <c r="F67" s="82"/>
      <c r="G67" s="47"/>
    </row>
    <row r="68" spans="1:7" ht="18.75" customHeight="1" x14ac:dyDescent="0.25">
      <c r="A68" s="218">
        <v>430</v>
      </c>
      <c r="B68" s="219">
        <v>8.1724999999999992E-3</v>
      </c>
      <c r="C68" s="220">
        <v>2633.5</v>
      </c>
      <c r="D68" s="220">
        <v>2837.8</v>
      </c>
      <c r="E68" s="210">
        <v>5.5175999999999998</v>
      </c>
      <c r="F68" s="82"/>
      <c r="G68" s="47"/>
    </row>
    <row r="69" spans="1:7" ht="18.75" customHeight="1" x14ac:dyDescent="0.25">
      <c r="A69" s="218">
        <v>440</v>
      </c>
      <c r="B69" s="219">
        <v>8.6986000000000008E-3</v>
      </c>
      <c r="C69" s="220">
        <v>2679.8</v>
      </c>
      <c r="D69" s="220">
        <v>2897.3</v>
      </c>
      <c r="E69" s="210">
        <v>5.6016000000000004</v>
      </c>
      <c r="F69" s="82"/>
      <c r="G69" s="47"/>
    </row>
    <row r="70" spans="1:7" ht="18.75" customHeight="1" x14ac:dyDescent="0.25">
      <c r="A70" s="218">
        <v>450</v>
      </c>
      <c r="B70" s="219">
        <v>9.1763000000000001E-3</v>
      </c>
      <c r="C70" s="220">
        <v>2721.2</v>
      </c>
      <c r="D70" s="220">
        <v>2950.6</v>
      </c>
      <c r="E70" s="210">
        <v>5.6759000000000004</v>
      </c>
      <c r="F70" s="82"/>
      <c r="G70" s="47"/>
    </row>
    <row r="71" spans="1:7" ht="18.75" customHeight="1" x14ac:dyDescent="0.25">
      <c r="A71" s="218">
        <v>460</v>
      </c>
      <c r="B71" s="219">
        <v>9.6176000000000005E-3</v>
      </c>
      <c r="C71" s="220">
        <v>2759</v>
      </c>
      <c r="D71" s="220">
        <v>2999.4</v>
      </c>
      <c r="E71" s="210">
        <v>5.7427999999999999</v>
      </c>
      <c r="F71" s="82"/>
      <c r="G71" s="47"/>
    </row>
    <row r="72" spans="1:7" ht="18.75" customHeight="1" x14ac:dyDescent="0.25">
      <c r="A72" s="218">
        <v>470</v>
      </c>
      <c r="B72" s="221">
        <v>1.0030000000000001E-2</v>
      </c>
      <c r="C72" s="220">
        <v>2793.9</v>
      </c>
      <c r="D72" s="220">
        <v>3044.6</v>
      </c>
      <c r="E72" s="210">
        <v>5.8041999999999998</v>
      </c>
      <c r="F72" s="82"/>
      <c r="G72" s="47"/>
    </row>
    <row r="73" spans="1:7" ht="18.75" customHeight="1" x14ac:dyDescent="0.25">
      <c r="A73" s="218">
        <v>480</v>
      </c>
      <c r="B73" s="221">
        <v>1.0418999999999999E-2</v>
      </c>
      <c r="C73" s="220">
        <v>2826.7</v>
      </c>
      <c r="D73" s="220">
        <v>3087.2</v>
      </c>
      <c r="E73" s="210">
        <v>5.8609999999999998</v>
      </c>
      <c r="F73" s="82"/>
      <c r="G73" s="47"/>
    </row>
    <row r="74" spans="1:7" ht="18.75" customHeight="1" x14ac:dyDescent="0.25">
      <c r="A74" s="218">
        <v>490</v>
      </c>
      <c r="B74" s="221">
        <v>1.0789E-2</v>
      </c>
      <c r="C74" s="220">
        <v>2857.8</v>
      </c>
      <c r="D74" s="220">
        <v>3127.5</v>
      </c>
      <c r="E74" s="210">
        <v>5.9142000000000001</v>
      </c>
      <c r="F74" s="82"/>
      <c r="G74" s="47"/>
    </row>
    <row r="75" spans="1:7" ht="18.75" customHeight="1" x14ac:dyDescent="0.25">
      <c r="A75" s="218">
        <v>500</v>
      </c>
      <c r="B75" s="221">
        <v>1.1143E-2</v>
      </c>
      <c r="C75" s="220">
        <v>2887.3</v>
      </c>
      <c r="D75" s="220">
        <v>3165.9</v>
      </c>
      <c r="E75" s="210">
        <v>5.9641999999999999</v>
      </c>
      <c r="F75" s="82"/>
      <c r="G75" s="47"/>
    </row>
    <row r="76" spans="1:7" ht="18.75" customHeight="1" x14ac:dyDescent="0.25">
      <c r="A76" s="218">
        <v>520</v>
      </c>
      <c r="B76" s="221">
        <v>1.1811E-2</v>
      </c>
      <c r="C76" s="220">
        <v>2943.1</v>
      </c>
      <c r="D76" s="220">
        <v>3238.4</v>
      </c>
      <c r="E76" s="210">
        <v>6.0568999999999997</v>
      </c>
      <c r="F76" s="82"/>
      <c r="G76" s="47"/>
    </row>
    <row r="77" spans="1:7" ht="18.75" customHeight="1" x14ac:dyDescent="0.25">
      <c r="A77" s="218">
        <v>540</v>
      </c>
      <c r="B77" s="221">
        <v>1.2435999999999999E-2</v>
      </c>
      <c r="C77" s="220">
        <v>2995.6</v>
      </c>
      <c r="D77" s="220">
        <v>3306.5</v>
      </c>
      <c r="E77" s="210">
        <v>6.1416000000000004</v>
      </c>
      <c r="F77" s="82"/>
      <c r="G77" s="47"/>
    </row>
    <row r="78" spans="1:7" ht="18.75" customHeight="1" x14ac:dyDescent="0.25">
      <c r="A78" s="218">
        <v>560</v>
      </c>
      <c r="B78" s="221">
        <v>1.3029000000000001E-2</v>
      </c>
      <c r="C78" s="220">
        <v>3045.5</v>
      </c>
      <c r="D78" s="220">
        <v>3371.2</v>
      </c>
      <c r="E78" s="210">
        <v>6.2202000000000002</v>
      </c>
      <c r="F78" s="82"/>
      <c r="G78" s="47"/>
    </row>
    <row r="79" spans="1:7" ht="18.75" customHeight="1" x14ac:dyDescent="0.25">
      <c r="A79" s="218">
        <v>580</v>
      </c>
      <c r="B79" s="221">
        <v>1.3594999999999999E-2</v>
      </c>
      <c r="C79" s="220">
        <v>3093.4</v>
      </c>
      <c r="D79" s="220">
        <v>3433.3</v>
      </c>
      <c r="E79" s="210">
        <v>6.2939999999999996</v>
      </c>
      <c r="F79" s="82"/>
      <c r="G79" s="47"/>
    </row>
    <row r="80" spans="1:7" ht="18.75" customHeight="1" x14ac:dyDescent="0.25">
      <c r="A80" s="218">
        <v>600</v>
      </c>
      <c r="B80" s="221">
        <v>1.414E-2</v>
      </c>
      <c r="C80" s="220">
        <v>3140</v>
      </c>
      <c r="D80" s="220">
        <v>3493.5</v>
      </c>
      <c r="E80" s="210">
        <v>6.3636999999999997</v>
      </c>
      <c r="F80" s="82"/>
      <c r="G80" s="47"/>
    </row>
    <row r="81" spans="1:7" ht="18.75" customHeight="1" x14ac:dyDescent="0.25">
      <c r="A81" s="218">
        <v>620</v>
      </c>
      <c r="B81" s="221">
        <v>1.4666999999999999E-2</v>
      </c>
      <c r="C81" s="220">
        <v>3185.4</v>
      </c>
      <c r="D81" s="220">
        <v>3552.1</v>
      </c>
      <c r="E81" s="210">
        <v>6.43</v>
      </c>
      <c r="F81" s="82"/>
      <c r="G81" s="47"/>
    </row>
    <row r="82" spans="1:7" ht="18.75" customHeight="1" x14ac:dyDescent="0.25">
      <c r="A82" s="218">
        <v>640</v>
      </c>
      <c r="B82" s="221">
        <v>1.5179E-2</v>
      </c>
      <c r="C82" s="220">
        <v>3229.9</v>
      </c>
      <c r="D82" s="220">
        <v>3609.4</v>
      </c>
      <c r="E82" s="210">
        <v>6.4935</v>
      </c>
      <c r="F82" s="82"/>
      <c r="G82" s="47"/>
    </row>
    <row r="83" spans="1:7" ht="18.75" customHeight="1" x14ac:dyDescent="0.25">
      <c r="A83" s="218">
        <v>660</v>
      </c>
      <c r="B83" s="221">
        <v>1.5678000000000001E-2</v>
      </c>
      <c r="C83" s="220">
        <v>3273.8</v>
      </c>
      <c r="D83" s="220">
        <v>3665.7</v>
      </c>
      <c r="E83" s="210">
        <v>6.5545</v>
      </c>
      <c r="F83" s="82"/>
      <c r="G83" s="47"/>
    </row>
    <row r="84" spans="1:7" ht="18.75" customHeight="1" x14ac:dyDescent="0.25">
      <c r="A84" s="218">
        <v>680</v>
      </c>
      <c r="B84" s="221">
        <v>1.6164999999999999E-2</v>
      </c>
      <c r="C84" s="220">
        <v>3317.1</v>
      </c>
      <c r="D84" s="220">
        <v>3721.2</v>
      </c>
      <c r="E84" s="210">
        <v>6.6132999999999997</v>
      </c>
      <c r="F84" s="82"/>
      <c r="G84" s="47"/>
    </row>
    <row r="85" spans="1:7" ht="18.75" customHeight="1" x14ac:dyDescent="0.25">
      <c r="A85" s="218">
        <v>700</v>
      </c>
      <c r="B85" s="221">
        <v>1.6643000000000002E-2</v>
      </c>
      <c r="C85" s="220">
        <v>3359.9</v>
      </c>
      <c r="D85" s="220">
        <v>3776</v>
      </c>
      <c r="E85" s="210">
        <v>6.6702000000000004</v>
      </c>
      <c r="F85" s="82"/>
      <c r="G85" s="47"/>
    </row>
    <row r="86" spans="1:7" ht="18.75" customHeight="1" x14ac:dyDescent="0.25">
      <c r="A86" s="218">
        <v>720</v>
      </c>
      <c r="B86" s="221">
        <v>1.7113E-2</v>
      </c>
      <c r="C86" s="220">
        <v>3402.4</v>
      </c>
      <c r="D86" s="220">
        <v>3830.2</v>
      </c>
      <c r="E86" s="210">
        <v>6.7253999999999996</v>
      </c>
      <c r="F86" s="82"/>
      <c r="G86" s="47"/>
    </row>
    <row r="87" spans="1:7" ht="18.75" customHeight="1" x14ac:dyDescent="0.25">
      <c r="A87" s="218">
        <v>740</v>
      </c>
      <c r="B87" s="221">
        <v>1.7573999999999999E-2</v>
      </c>
      <c r="C87" s="220">
        <v>3444.8</v>
      </c>
      <c r="D87" s="220">
        <v>3884.1</v>
      </c>
      <c r="E87" s="210">
        <v>6.7790999999999997</v>
      </c>
      <c r="F87" s="82"/>
      <c r="G87" s="47"/>
    </row>
    <row r="88" spans="1:7" ht="18.75" customHeight="1" x14ac:dyDescent="0.25">
      <c r="A88" s="218">
        <v>760</v>
      </c>
      <c r="B88" s="221">
        <v>1.8029E-2</v>
      </c>
      <c r="C88" s="220">
        <v>3486.9</v>
      </c>
      <c r="D88" s="220">
        <v>3937.6</v>
      </c>
      <c r="E88" s="210">
        <v>6.8312999999999997</v>
      </c>
      <c r="F88" s="82"/>
      <c r="G88" s="47"/>
    </row>
    <row r="89" spans="1:7" ht="18.75" customHeight="1" x14ac:dyDescent="0.25">
      <c r="A89" s="218">
        <v>780</v>
      </c>
      <c r="B89" s="221">
        <v>1.8478000000000001E-2</v>
      </c>
      <c r="C89" s="220">
        <v>3528.9</v>
      </c>
      <c r="D89" s="220">
        <v>3990.8</v>
      </c>
      <c r="E89" s="210">
        <v>6.8822999999999999</v>
      </c>
      <c r="F89" s="82"/>
      <c r="G89" s="47"/>
    </row>
    <row r="90" spans="1:7" ht="18.75" customHeight="1" x14ac:dyDescent="0.25">
      <c r="A90" s="218">
        <v>800</v>
      </c>
      <c r="B90" s="221">
        <v>1.8922000000000001E-2</v>
      </c>
      <c r="C90" s="220">
        <v>3570.8</v>
      </c>
      <c r="D90" s="220">
        <v>4043.8</v>
      </c>
      <c r="E90" s="210">
        <v>6.9321999999999999</v>
      </c>
      <c r="F90" s="82"/>
      <c r="G90" s="47"/>
    </row>
    <row r="91" spans="1:7" ht="18.75" customHeight="1" x14ac:dyDescent="0.25">
      <c r="A91" s="218">
        <v>820</v>
      </c>
      <c r="B91" s="221">
        <v>1.9361E-2</v>
      </c>
      <c r="C91" s="220">
        <v>3612.6</v>
      </c>
      <c r="D91" s="220">
        <v>4096.6000000000004</v>
      </c>
      <c r="E91" s="210">
        <v>6.9809999999999999</v>
      </c>
      <c r="F91" s="82"/>
      <c r="G91" s="47"/>
    </row>
    <row r="92" spans="1:7" ht="18.75" customHeight="1" x14ac:dyDescent="0.25">
      <c r="A92" s="218">
        <v>840</v>
      </c>
      <c r="B92" s="221">
        <v>1.9795E-2</v>
      </c>
      <c r="C92" s="220">
        <v>3654.4</v>
      </c>
      <c r="D92" s="220">
        <v>4149.3</v>
      </c>
      <c r="E92" s="210">
        <v>7.0286999999999997</v>
      </c>
      <c r="F92" s="82"/>
      <c r="G92" s="47"/>
    </row>
    <row r="93" spans="1:7" ht="18.75" customHeight="1" x14ac:dyDescent="0.25">
      <c r="A93" s="218">
        <v>860</v>
      </c>
      <c r="B93" s="221">
        <v>2.0225E-2</v>
      </c>
      <c r="C93" s="220">
        <v>3696.3</v>
      </c>
      <c r="D93" s="220">
        <v>4201.8999999999996</v>
      </c>
      <c r="E93" s="210">
        <v>7.0755999999999997</v>
      </c>
      <c r="F93" s="82"/>
      <c r="G93" s="47"/>
    </row>
    <row r="94" spans="1:7" ht="18.75" customHeight="1" x14ac:dyDescent="0.25">
      <c r="A94" s="218">
        <v>880</v>
      </c>
      <c r="B94" s="221">
        <v>2.0652E-2</v>
      </c>
      <c r="C94" s="220">
        <v>3738.2</v>
      </c>
      <c r="D94" s="220">
        <v>4254.5</v>
      </c>
      <c r="E94" s="210">
        <v>7.1215999999999999</v>
      </c>
      <c r="F94" s="82"/>
      <c r="G94" s="47"/>
    </row>
    <row r="95" spans="1:7" ht="18.75" customHeight="1" x14ac:dyDescent="0.25">
      <c r="A95" s="218">
        <v>900</v>
      </c>
      <c r="B95" s="221">
        <v>2.1075E-2</v>
      </c>
      <c r="C95" s="220">
        <v>3780.2</v>
      </c>
      <c r="D95" s="220">
        <v>4307.1000000000004</v>
      </c>
      <c r="E95" s="210">
        <v>7.1668000000000003</v>
      </c>
      <c r="F95" s="82"/>
      <c r="G95" s="47"/>
    </row>
    <row r="96" spans="1:7" ht="18.75" customHeight="1" x14ac:dyDescent="0.25">
      <c r="A96" s="218">
        <v>920</v>
      </c>
      <c r="B96" s="221">
        <v>2.1496000000000001E-2</v>
      </c>
      <c r="C96" s="220">
        <v>3822.2</v>
      </c>
      <c r="D96" s="220">
        <v>4359.6000000000004</v>
      </c>
      <c r="E96" s="210">
        <v>7.2111999999999998</v>
      </c>
      <c r="F96" s="82"/>
      <c r="G96" s="47"/>
    </row>
    <row r="97" spans="1:7" ht="18.75" customHeight="1" x14ac:dyDescent="0.25">
      <c r="A97" s="218">
        <v>940</v>
      </c>
      <c r="B97" s="221">
        <v>2.1912999999999998E-2</v>
      </c>
      <c r="C97" s="220">
        <v>3864.4</v>
      </c>
      <c r="D97" s="220">
        <v>4412.2</v>
      </c>
      <c r="E97" s="210">
        <v>7.2549000000000001</v>
      </c>
      <c r="F97" s="82"/>
      <c r="G97" s="47"/>
    </row>
    <row r="98" spans="1:7" ht="18.75" customHeight="1" x14ac:dyDescent="0.25">
      <c r="A98" s="218">
        <v>960</v>
      </c>
      <c r="B98" s="221">
        <v>2.2328000000000001E-2</v>
      </c>
      <c r="C98" s="220">
        <v>3906.6</v>
      </c>
      <c r="D98" s="220">
        <v>4464.8</v>
      </c>
      <c r="E98" s="210">
        <v>7.2979000000000003</v>
      </c>
      <c r="F98" s="82"/>
      <c r="G98" s="47"/>
    </row>
    <row r="99" spans="1:7" ht="18.75" customHeight="1" x14ac:dyDescent="0.25">
      <c r="A99" s="218">
        <v>980</v>
      </c>
      <c r="B99" s="221">
        <v>2.274E-2</v>
      </c>
      <c r="C99" s="220">
        <v>3949</v>
      </c>
      <c r="D99" s="220">
        <v>4517.5</v>
      </c>
      <c r="E99" s="210">
        <v>7.3403</v>
      </c>
      <c r="F99" s="82"/>
      <c r="G99" s="47"/>
    </row>
    <row r="100" spans="1:7" ht="18.75" customHeight="1" x14ac:dyDescent="0.25">
      <c r="A100" s="218">
        <v>1000</v>
      </c>
      <c r="B100" s="221">
        <v>2.315E-2</v>
      </c>
      <c r="C100" s="220">
        <v>3991.5</v>
      </c>
      <c r="D100" s="220">
        <v>4570.2</v>
      </c>
      <c r="E100" s="210">
        <v>7.3819999999999997</v>
      </c>
      <c r="F100" s="82"/>
      <c r="G100" s="47"/>
    </row>
  </sheetData>
  <mergeCells count="1">
    <mergeCell ref="A1:G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H100"/>
  <sheetViews>
    <sheetView topLeftCell="A49" workbookViewId="0">
      <selection activeCell="H57" sqref="H57"/>
    </sheetView>
  </sheetViews>
  <sheetFormatPr defaultRowHeight="13.2" x14ac:dyDescent="0.25"/>
  <cols>
    <col min="1" max="1" width="5.88671875" customWidth="1"/>
    <col min="2" max="2" width="11.109375" customWidth="1"/>
    <col min="3" max="3" width="9.109375" customWidth="1"/>
    <col min="4" max="4" width="8.21875" customWidth="1"/>
    <col min="5" max="5" width="9.33203125" customWidth="1"/>
    <col min="6" max="6" width="10.21875" customWidth="1"/>
    <col min="7" max="7" width="6.33203125" customWidth="1"/>
    <col min="8" max="8" width="78.88671875" customWidth="1"/>
  </cols>
  <sheetData>
    <row r="1" spans="1:8" ht="18.75" customHeight="1" x14ac:dyDescent="0.25">
      <c r="A1" s="206" t="s">
        <v>102</v>
      </c>
      <c r="B1" s="206"/>
      <c r="C1" s="206"/>
      <c r="D1" s="206"/>
      <c r="E1" s="206"/>
      <c r="F1" s="206"/>
      <c r="G1" s="206"/>
      <c r="H1" s="206"/>
    </row>
    <row r="2" spans="1:8" ht="18.75" customHeight="1" x14ac:dyDescent="0.25">
      <c r="A2" s="89" t="s">
        <v>126</v>
      </c>
      <c r="B2" s="90">
        <v>30000</v>
      </c>
      <c r="C2" s="76"/>
      <c r="D2" s="76"/>
      <c r="E2" s="76"/>
      <c r="F2" s="76"/>
      <c r="G2" s="76"/>
      <c r="H2" s="76"/>
    </row>
    <row r="3" spans="1:8" ht="15.75" customHeight="1" x14ac:dyDescent="0.25">
      <c r="A3" s="77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47"/>
      <c r="H3" s="47"/>
    </row>
    <row r="4" spans="1:8" ht="18.75" customHeight="1" x14ac:dyDescent="0.25">
      <c r="A4" s="76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47"/>
      <c r="H4" s="47"/>
    </row>
    <row r="5" spans="1:8" ht="18.75" customHeight="1" x14ac:dyDescent="0.25">
      <c r="A5" s="86">
        <v>0</v>
      </c>
      <c r="B5" s="79">
        <v>9.8566999999999991E-4</v>
      </c>
      <c r="C5" s="80">
        <v>0.28999999999999998</v>
      </c>
      <c r="D5" s="80">
        <v>29.86</v>
      </c>
      <c r="E5" s="81">
        <v>2.7E-4</v>
      </c>
      <c r="F5" s="81"/>
      <c r="G5" s="47"/>
      <c r="H5" s="47"/>
    </row>
    <row r="6" spans="1:8" ht="18.75" customHeight="1" x14ac:dyDescent="0.25">
      <c r="A6" s="86">
        <v>5</v>
      </c>
      <c r="B6" s="79">
        <v>9.8601000000000005E-4</v>
      </c>
      <c r="C6" s="80">
        <v>20.74</v>
      </c>
      <c r="D6" s="80">
        <v>50.32</v>
      </c>
      <c r="E6" s="81">
        <v>7.4499999999999997E-2</v>
      </c>
      <c r="F6" s="81"/>
      <c r="G6" s="47"/>
      <c r="H6" s="47"/>
    </row>
    <row r="7" spans="1:8" ht="18.75" customHeight="1" x14ac:dyDescent="0.25">
      <c r="A7" s="86">
        <v>10</v>
      </c>
      <c r="B7" s="79">
        <v>9.8664E-4</v>
      </c>
      <c r="C7" s="80">
        <v>41.19</v>
      </c>
      <c r="D7" s="80">
        <v>70.790000000000006</v>
      </c>
      <c r="E7" s="81">
        <v>0.14745</v>
      </c>
      <c r="F7" s="81"/>
      <c r="G7" s="47"/>
      <c r="H7" s="47"/>
    </row>
    <row r="8" spans="1:8" ht="18.75" customHeight="1" x14ac:dyDescent="0.25">
      <c r="A8" s="86">
        <v>15</v>
      </c>
      <c r="B8" s="79">
        <v>9.8752999999999992E-4</v>
      </c>
      <c r="C8" s="80">
        <v>61.65</v>
      </c>
      <c r="D8" s="80">
        <v>91.28</v>
      </c>
      <c r="E8" s="81">
        <v>0.21915999999999999</v>
      </c>
      <c r="F8" s="81"/>
      <c r="G8" s="47"/>
      <c r="H8" s="47"/>
    </row>
    <row r="9" spans="1:8" ht="18.75" customHeight="1" x14ac:dyDescent="0.25">
      <c r="A9" s="86">
        <v>20</v>
      </c>
      <c r="B9" s="79">
        <v>9.8864999999999999E-4</v>
      </c>
      <c r="C9" s="80">
        <v>82.11</v>
      </c>
      <c r="D9" s="80">
        <v>111.77</v>
      </c>
      <c r="E9" s="81">
        <v>0.28967999999999999</v>
      </c>
      <c r="F9" s="81"/>
      <c r="G9" s="47"/>
      <c r="H9" s="47"/>
    </row>
    <row r="10" spans="1:8" ht="18.75" customHeight="1" x14ac:dyDescent="0.25">
      <c r="A10" s="86">
        <v>25</v>
      </c>
      <c r="B10" s="79">
        <v>9.899799999999999E-4</v>
      </c>
      <c r="C10" s="80">
        <v>102.58</v>
      </c>
      <c r="D10" s="80">
        <v>132.28</v>
      </c>
      <c r="E10" s="81">
        <v>0.35904999999999998</v>
      </c>
      <c r="F10" s="81"/>
      <c r="G10" s="47"/>
      <c r="H10" s="47"/>
    </row>
    <row r="11" spans="1:8" ht="18.75" customHeight="1" x14ac:dyDescent="0.25">
      <c r="A11" s="86">
        <v>30</v>
      </c>
      <c r="B11" s="79">
        <v>9.9149999999999998E-4</v>
      </c>
      <c r="C11" s="80">
        <v>123.07</v>
      </c>
      <c r="D11" s="80">
        <v>152.81</v>
      </c>
      <c r="E11" s="81">
        <v>0.42731999999999998</v>
      </c>
      <c r="F11" s="81"/>
      <c r="G11" s="47"/>
      <c r="H11" s="47"/>
    </row>
    <row r="12" spans="1:8" ht="18.75" customHeight="1" x14ac:dyDescent="0.25">
      <c r="A12" s="86">
        <v>35</v>
      </c>
      <c r="B12" s="79">
        <v>9.9321000000000001E-4</v>
      </c>
      <c r="C12" s="80">
        <v>143.55000000000001</v>
      </c>
      <c r="D12" s="80">
        <v>173.35</v>
      </c>
      <c r="E12" s="81">
        <v>0.49452000000000002</v>
      </c>
      <c r="F12" s="81"/>
      <c r="G12" s="47"/>
      <c r="H12" s="47"/>
    </row>
    <row r="13" spans="1:8" ht="18.75" customHeight="1" x14ac:dyDescent="0.25">
      <c r="A13" s="86">
        <v>40</v>
      </c>
      <c r="B13" s="79">
        <v>9.9508999999999991E-4</v>
      </c>
      <c r="C13" s="80">
        <v>164.05</v>
      </c>
      <c r="D13" s="80">
        <v>193.9</v>
      </c>
      <c r="E13" s="81">
        <v>0.56069000000000002</v>
      </c>
      <c r="F13" s="81"/>
      <c r="G13" s="47"/>
      <c r="H13" s="47"/>
    </row>
    <row r="14" spans="1:8" ht="18.75" customHeight="1" x14ac:dyDescent="0.25">
      <c r="A14" s="86">
        <v>45</v>
      </c>
      <c r="B14" s="79">
        <v>9.9714000000000009E-4</v>
      </c>
      <c r="C14" s="80">
        <v>184.56</v>
      </c>
      <c r="D14" s="80">
        <v>214.47</v>
      </c>
      <c r="E14" s="81">
        <v>0.62585999999999997</v>
      </c>
      <c r="F14" s="81"/>
      <c r="G14" s="47"/>
      <c r="H14" s="47"/>
    </row>
    <row r="15" spans="1:8" ht="18.75" customHeight="1" x14ac:dyDescent="0.25">
      <c r="A15" s="86">
        <v>50</v>
      </c>
      <c r="B15" s="79">
        <v>9.993300000000001E-4</v>
      </c>
      <c r="C15" s="80">
        <v>205.07</v>
      </c>
      <c r="D15" s="80">
        <v>235.05</v>
      </c>
      <c r="E15" s="81">
        <v>0.69005000000000005</v>
      </c>
      <c r="F15" s="81"/>
      <c r="G15" s="47"/>
      <c r="H15" s="47"/>
    </row>
    <row r="16" spans="1:8" ht="18.75" customHeight="1" x14ac:dyDescent="0.25">
      <c r="A16" s="86">
        <v>55</v>
      </c>
      <c r="B16" s="79">
        <v>1.00168E-3</v>
      </c>
      <c r="C16" s="80">
        <v>225.6</v>
      </c>
      <c r="D16" s="80">
        <v>255.65</v>
      </c>
      <c r="E16" s="81">
        <v>0.75329999999999997</v>
      </c>
      <c r="F16" s="81"/>
      <c r="G16" s="47"/>
      <c r="H16" s="47"/>
    </row>
    <row r="17" spans="1:8" ht="18.75" customHeight="1" x14ac:dyDescent="0.25">
      <c r="A17" s="86">
        <v>60</v>
      </c>
      <c r="B17" s="79">
        <v>1.00417E-3</v>
      </c>
      <c r="C17" s="80">
        <v>246.13</v>
      </c>
      <c r="D17" s="80">
        <v>276.26</v>
      </c>
      <c r="E17" s="81">
        <v>0.81564000000000003</v>
      </c>
      <c r="F17" s="81"/>
      <c r="G17" s="47"/>
      <c r="H17" s="47"/>
    </row>
    <row r="18" spans="1:8" ht="18.75" customHeight="1" x14ac:dyDescent="0.25">
      <c r="A18" s="86">
        <v>65</v>
      </c>
      <c r="B18" s="79">
        <v>1.0068099999999999E-3</v>
      </c>
      <c r="C18" s="80">
        <v>266.69</v>
      </c>
      <c r="D18" s="80">
        <v>296.89</v>
      </c>
      <c r="E18" s="81">
        <v>0.87709999999999999</v>
      </c>
      <c r="F18" s="81"/>
      <c r="G18" s="47"/>
      <c r="H18" s="47"/>
    </row>
    <row r="19" spans="1:8" ht="18.75" customHeight="1" x14ac:dyDescent="0.25">
      <c r="A19" s="86">
        <v>70</v>
      </c>
      <c r="B19" s="79">
        <v>1.0095799999999999E-3</v>
      </c>
      <c r="C19" s="80">
        <v>287.24</v>
      </c>
      <c r="D19" s="80">
        <v>317.52999999999997</v>
      </c>
      <c r="E19" s="81">
        <v>0.93769000000000002</v>
      </c>
      <c r="F19" s="81"/>
      <c r="G19" s="47"/>
      <c r="H19" s="47"/>
    </row>
    <row r="20" spans="1:8" ht="18.75" customHeight="1" x14ac:dyDescent="0.25">
      <c r="A20" s="86">
        <v>75</v>
      </c>
      <c r="B20" s="79">
        <v>1.01249E-3</v>
      </c>
      <c r="C20" s="80">
        <v>307.82</v>
      </c>
      <c r="D20" s="80">
        <v>338.19</v>
      </c>
      <c r="E20" s="81">
        <v>0.99746000000000001</v>
      </c>
      <c r="F20" s="81"/>
      <c r="G20" s="47"/>
      <c r="H20" s="47"/>
    </row>
    <row r="21" spans="1:8" ht="18.75" customHeight="1" x14ac:dyDescent="0.25">
      <c r="A21" s="86">
        <v>80</v>
      </c>
      <c r="B21" s="79">
        <v>1.0155299999999999E-3</v>
      </c>
      <c r="C21" s="80">
        <v>328.39</v>
      </c>
      <c r="D21" s="80">
        <v>358.86</v>
      </c>
      <c r="E21" s="82">
        <v>1.0564</v>
      </c>
      <c r="F21" s="82"/>
      <c r="G21" s="47"/>
      <c r="H21" s="47"/>
    </row>
    <row r="22" spans="1:8" ht="18.75" customHeight="1" x14ac:dyDescent="0.25">
      <c r="A22" s="86">
        <v>85</v>
      </c>
      <c r="B22" s="79">
        <v>1.0187E-3</v>
      </c>
      <c r="C22" s="80">
        <v>348.99</v>
      </c>
      <c r="D22" s="80">
        <v>379.55</v>
      </c>
      <c r="E22" s="82">
        <v>1.1146</v>
      </c>
      <c r="F22" s="82"/>
      <c r="G22" s="47"/>
      <c r="H22" s="47"/>
    </row>
    <row r="23" spans="1:8" ht="18.75" customHeight="1" x14ac:dyDescent="0.25">
      <c r="A23" s="86">
        <v>90</v>
      </c>
      <c r="B23" s="79">
        <v>1.0219999999999999E-3</v>
      </c>
      <c r="C23" s="80">
        <v>369.6</v>
      </c>
      <c r="D23" s="80">
        <v>400.26</v>
      </c>
      <c r="E23" s="82">
        <v>1.1719999999999999</v>
      </c>
      <c r="F23" s="82"/>
      <c r="G23" s="47"/>
      <c r="H23" s="47"/>
    </row>
    <row r="24" spans="1:8" ht="18.75" customHeight="1" x14ac:dyDescent="0.25">
      <c r="A24" s="86">
        <v>95</v>
      </c>
      <c r="B24" s="79">
        <v>1.0254299999999999E-3</v>
      </c>
      <c r="C24" s="80">
        <v>390.23</v>
      </c>
      <c r="D24" s="80">
        <v>420.99</v>
      </c>
      <c r="E24" s="82">
        <v>1.2286999999999999</v>
      </c>
      <c r="F24" s="82"/>
      <c r="G24" s="47"/>
      <c r="H24" s="47"/>
    </row>
    <row r="25" spans="1:8" ht="18.75" customHeight="1" x14ac:dyDescent="0.25">
      <c r="A25" s="86">
        <v>100</v>
      </c>
      <c r="B25" s="79">
        <v>1.02899E-3</v>
      </c>
      <c r="C25" s="80">
        <v>410.87</v>
      </c>
      <c r="D25" s="80">
        <v>441.74</v>
      </c>
      <c r="E25" s="82">
        <v>1.2847</v>
      </c>
      <c r="F25" s="82"/>
      <c r="G25" s="47"/>
      <c r="H25" s="47"/>
    </row>
    <row r="26" spans="1:8" ht="18.75" customHeight="1" x14ac:dyDescent="0.25">
      <c r="A26" s="86">
        <v>105</v>
      </c>
      <c r="B26" s="79">
        <v>1.03268E-3</v>
      </c>
      <c r="C26" s="80">
        <v>431.54</v>
      </c>
      <c r="D26" s="80">
        <v>462.52</v>
      </c>
      <c r="E26" s="82">
        <v>1.34</v>
      </c>
      <c r="F26" s="82"/>
      <c r="G26" s="47"/>
      <c r="H26" s="47"/>
    </row>
    <row r="27" spans="1:8" ht="18.75" customHeight="1" x14ac:dyDescent="0.25">
      <c r="A27" s="86">
        <v>110</v>
      </c>
      <c r="B27" s="79">
        <v>1.03651E-3</v>
      </c>
      <c r="C27" s="80">
        <v>452.22</v>
      </c>
      <c r="D27" s="80">
        <v>483.32</v>
      </c>
      <c r="E27" s="82">
        <v>1.3946000000000001</v>
      </c>
      <c r="F27" s="82"/>
      <c r="G27" s="47"/>
      <c r="H27" s="47"/>
    </row>
    <row r="28" spans="1:8" ht="18.75" customHeight="1" x14ac:dyDescent="0.25">
      <c r="A28" s="86">
        <v>115</v>
      </c>
      <c r="B28" s="79">
        <v>1.04046E-3</v>
      </c>
      <c r="C28" s="80">
        <v>472.93</v>
      </c>
      <c r="D28" s="80">
        <v>504.14</v>
      </c>
      <c r="E28" s="82">
        <v>1.4486000000000001</v>
      </c>
      <c r="F28" s="82"/>
      <c r="G28" s="47"/>
      <c r="H28" s="47"/>
    </row>
    <row r="29" spans="1:8" ht="18.75" customHeight="1" x14ac:dyDescent="0.25">
      <c r="A29" s="86">
        <v>120</v>
      </c>
      <c r="B29" s="79">
        <v>1.04455E-3</v>
      </c>
      <c r="C29" s="80">
        <v>493.66</v>
      </c>
      <c r="D29" s="80">
        <v>525</v>
      </c>
      <c r="E29" s="82">
        <v>1.502</v>
      </c>
      <c r="F29" s="82"/>
      <c r="G29" s="47"/>
      <c r="H29" s="47"/>
    </row>
    <row r="30" spans="1:8" ht="18.75" customHeight="1" x14ac:dyDescent="0.25">
      <c r="A30" s="86">
        <v>125</v>
      </c>
      <c r="B30" s="79">
        <v>1.0487700000000001E-3</v>
      </c>
      <c r="C30" s="80">
        <v>514.41999999999996</v>
      </c>
      <c r="D30" s="80">
        <v>545.88</v>
      </c>
      <c r="E30" s="82">
        <v>1.5548</v>
      </c>
      <c r="F30" s="82"/>
      <c r="G30" s="47"/>
      <c r="H30" s="47"/>
    </row>
    <row r="31" spans="1:8" ht="18.75" customHeight="1" x14ac:dyDescent="0.25">
      <c r="A31" s="86">
        <v>130</v>
      </c>
      <c r="B31" s="79">
        <v>1.0531200000000001E-3</v>
      </c>
      <c r="C31" s="80">
        <v>535.22</v>
      </c>
      <c r="D31" s="80">
        <v>566.80999999999995</v>
      </c>
      <c r="E31" s="82">
        <v>1.607</v>
      </c>
      <c r="F31" s="82"/>
      <c r="G31" s="47"/>
      <c r="H31" s="47"/>
    </row>
    <row r="32" spans="1:8" ht="18.75" customHeight="1" x14ac:dyDescent="0.25">
      <c r="A32" s="86">
        <v>135</v>
      </c>
      <c r="B32" s="79">
        <v>1.05762E-3</v>
      </c>
      <c r="C32" s="80">
        <v>556.03</v>
      </c>
      <c r="D32" s="80">
        <v>587.76</v>
      </c>
      <c r="E32" s="82">
        <v>1.6587000000000001</v>
      </c>
      <c r="F32" s="82"/>
      <c r="G32" s="47"/>
      <c r="H32" s="47"/>
    </row>
    <row r="33" spans="1:8" ht="18.75" customHeight="1" x14ac:dyDescent="0.25">
      <c r="A33" s="86">
        <v>140</v>
      </c>
      <c r="B33" s="79">
        <v>1.06226E-3</v>
      </c>
      <c r="C33" s="80">
        <v>576.89</v>
      </c>
      <c r="D33" s="80">
        <v>608.76</v>
      </c>
      <c r="E33" s="82">
        <v>1.7098</v>
      </c>
      <c r="F33" s="82"/>
      <c r="G33" s="47"/>
      <c r="H33" s="47"/>
    </row>
    <row r="34" spans="1:8" ht="18.75" customHeight="1" x14ac:dyDescent="0.25">
      <c r="A34" s="86">
        <v>145</v>
      </c>
      <c r="B34" s="79">
        <v>1.06704E-3</v>
      </c>
      <c r="C34" s="80">
        <v>597.79</v>
      </c>
      <c r="D34" s="80">
        <v>629.79999999999995</v>
      </c>
      <c r="E34" s="82">
        <v>1.7605</v>
      </c>
      <c r="F34" s="82"/>
      <c r="G34" s="47"/>
      <c r="H34" s="47"/>
    </row>
    <row r="35" spans="1:8" ht="18.75" customHeight="1" x14ac:dyDescent="0.25">
      <c r="A35" s="86">
        <v>150</v>
      </c>
      <c r="B35" s="79">
        <v>1.07197E-3</v>
      </c>
      <c r="C35" s="80">
        <v>618.73</v>
      </c>
      <c r="D35" s="80">
        <v>650.89</v>
      </c>
      <c r="E35" s="82">
        <v>1.8106</v>
      </c>
      <c r="F35" s="82"/>
      <c r="G35" s="47"/>
      <c r="H35" s="47"/>
    </row>
    <row r="36" spans="1:8" ht="18.75" customHeight="1" x14ac:dyDescent="0.25">
      <c r="A36" s="86">
        <v>155</v>
      </c>
      <c r="B36" s="79">
        <v>1.07705E-3</v>
      </c>
      <c r="C36" s="80">
        <v>639.71</v>
      </c>
      <c r="D36" s="80">
        <v>672.02</v>
      </c>
      <c r="E36" s="82">
        <v>1.8602000000000001</v>
      </c>
      <c r="F36" s="82"/>
      <c r="G36" s="47"/>
      <c r="H36" s="47"/>
    </row>
    <row r="37" spans="1:8" ht="18.75" customHeight="1" x14ac:dyDescent="0.25">
      <c r="A37" s="86">
        <v>160</v>
      </c>
      <c r="B37" s="79">
        <v>1.0822799999999999E-3</v>
      </c>
      <c r="C37" s="80">
        <v>660.74</v>
      </c>
      <c r="D37" s="80">
        <v>693.21</v>
      </c>
      <c r="E37" s="82">
        <v>1.9094</v>
      </c>
      <c r="F37" s="82"/>
      <c r="G37" s="47"/>
      <c r="H37" s="47"/>
    </row>
    <row r="38" spans="1:8" ht="18.75" customHeight="1" x14ac:dyDescent="0.25">
      <c r="A38" s="86">
        <v>165</v>
      </c>
      <c r="B38" s="79">
        <v>1.0876799999999999E-3</v>
      </c>
      <c r="C38" s="80">
        <v>681.82</v>
      </c>
      <c r="D38" s="80">
        <v>714.45</v>
      </c>
      <c r="E38" s="82">
        <v>1.9581999999999999</v>
      </c>
      <c r="F38" s="82"/>
      <c r="G38" s="47"/>
      <c r="H38" s="47"/>
    </row>
    <row r="39" spans="1:8" ht="18.75" customHeight="1" x14ac:dyDescent="0.25">
      <c r="A39" s="86">
        <v>170</v>
      </c>
      <c r="B39" s="79">
        <v>1.0932400000000001E-3</v>
      </c>
      <c r="C39" s="80">
        <v>702.95</v>
      </c>
      <c r="D39" s="80">
        <v>735.75</v>
      </c>
      <c r="E39" s="82">
        <v>2.0065</v>
      </c>
      <c r="F39" s="82"/>
      <c r="G39" s="47"/>
      <c r="H39" s="47"/>
    </row>
    <row r="40" spans="1:8" ht="18.75" customHeight="1" x14ac:dyDescent="0.25">
      <c r="A40" s="86">
        <v>175</v>
      </c>
      <c r="B40" s="79">
        <v>1.0989699999999999E-3</v>
      </c>
      <c r="C40" s="80">
        <v>724.14</v>
      </c>
      <c r="D40" s="80">
        <v>757.11</v>
      </c>
      <c r="E40" s="82">
        <v>2.0545</v>
      </c>
      <c r="F40" s="82"/>
      <c r="G40" s="47"/>
      <c r="H40" s="47"/>
    </row>
    <row r="41" spans="1:8" ht="18.75" customHeight="1" x14ac:dyDescent="0.25">
      <c r="A41" s="86">
        <v>180</v>
      </c>
      <c r="B41" s="79">
        <v>1.1048799999999999E-3</v>
      </c>
      <c r="C41" s="80">
        <v>745.39</v>
      </c>
      <c r="D41" s="80">
        <v>778.54</v>
      </c>
      <c r="E41" s="82">
        <v>2.1019999999999999</v>
      </c>
      <c r="F41" s="82"/>
      <c r="G41" s="47"/>
      <c r="H41" s="47"/>
    </row>
    <row r="42" spans="1:8" ht="18.75" customHeight="1" x14ac:dyDescent="0.25">
      <c r="A42" s="86">
        <v>185</v>
      </c>
      <c r="B42" s="79">
        <v>1.1109799999999999E-3</v>
      </c>
      <c r="C42" s="80">
        <v>766.72</v>
      </c>
      <c r="D42" s="80">
        <v>800.05</v>
      </c>
      <c r="E42" s="82">
        <v>2.1492</v>
      </c>
      <c r="F42" s="82"/>
      <c r="G42" s="47"/>
      <c r="H42" s="47"/>
    </row>
    <row r="43" spans="1:8" ht="18.75" customHeight="1" x14ac:dyDescent="0.25">
      <c r="A43" s="86">
        <v>190</v>
      </c>
      <c r="B43" s="79">
        <v>1.1172599999999999E-3</v>
      </c>
      <c r="C43" s="80">
        <v>788.1</v>
      </c>
      <c r="D43" s="80">
        <v>821.62</v>
      </c>
      <c r="E43" s="82">
        <v>2.1960999999999999</v>
      </c>
      <c r="F43" s="82"/>
      <c r="G43" s="47"/>
      <c r="H43" s="47"/>
    </row>
    <row r="44" spans="1:8" ht="18.75" customHeight="1" x14ac:dyDescent="0.25">
      <c r="A44" s="86">
        <v>195</v>
      </c>
      <c r="B44" s="79">
        <v>1.12374E-3</v>
      </c>
      <c r="C44" s="80">
        <v>809.57</v>
      </c>
      <c r="D44" s="80">
        <v>843.28</v>
      </c>
      <c r="E44" s="82">
        <v>2.2425999999999999</v>
      </c>
      <c r="F44" s="82"/>
      <c r="G44" s="47"/>
      <c r="H44" s="47"/>
    </row>
    <row r="45" spans="1:8" ht="18.75" customHeight="1" x14ac:dyDescent="0.25">
      <c r="A45" s="86">
        <v>200</v>
      </c>
      <c r="B45" s="79">
        <v>1.13043E-3</v>
      </c>
      <c r="C45" s="80">
        <v>831.11</v>
      </c>
      <c r="D45" s="80">
        <v>865.02</v>
      </c>
      <c r="E45" s="82">
        <v>2.2888000000000002</v>
      </c>
      <c r="F45" s="82"/>
      <c r="G45" s="47"/>
      <c r="H45" s="47"/>
    </row>
    <row r="46" spans="1:8" ht="18.75" customHeight="1" x14ac:dyDescent="0.25">
      <c r="A46" s="86">
        <v>210</v>
      </c>
      <c r="B46" s="79">
        <v>1.1444700000000001E-3</v>
      </c>
      <c r="C46" s="80">
        <v>874.44</v>
      </c>
      <c r="D46" s="80">
        <v>908.77</v>
      </c>
      <c r="E46" s="82">
        <v>2.3803000000000001</v>
      </c>
      <c r="F46" s="82"/>
      <c r="G46" s="47"/>
      <c r="H46" s="47"/>
    </row>
    <row r="47" spans="1:8" ht="18.75" customHeight="1" x14ac:dyDescent="0.25">
      <c r="A47" s="86">
        <v>220</v>
      </c>
      <c r="B47" s="79">
        <v>1.1594699999999999E-3</v>
      </c>
      <c r="C47" s="80">
        <v>918.15</v>
      </c>
      <c r="D47" s="80">
        <v>952.93</v>
      </c>
      <c r="E47" s="82">
        <v>2.4706999999999999</v>
      </c>
      <c r="F47" s="82"/>
      <c r="G47" s="47"/>
      <c r="H47" s="47"/>
    </row>
    <row r="48" spans="1:8" ht="18.75" customHeight="1" x14ac:dyDescent="0.25">
      <c r="A48" s="86">
        <v>230</v>
      </c>
      <c r="B48" s="79">
        <v>1.17552E-3</v>
      </c>
      <c r="C48" s="80">
        <v>962.27</v>
      </c>
      <c r="D48" s="80">
        <v>997.54</v>
      </c>
      <c r="E48" s="82">
        <v>2.5602999999999998</v>
      </c>
      <c r="F48" s="82"/>
      <c r="G48" s="47"/>
      <c r="H48" s="47"/>
    </row>
    <row r="49" spans="1:8" ht="18.75" customHeight="1" x14ac:dyDescent="0.25">
      <c r="A49" s="86">
        <v>240</v>
      </c>
      <c r="B49" s="79">
        <v>1.19275E-3</v>
      </c>
      <c r="C49" s="83">
        <v>1006.9</v>
      </c>
      <c r="D49" s="83">
        <v>1042.7</v>
      </c>
      <c r="E49" s="82">
        <v>2.6490999999999998</v>
      </c>
      <c r="F49" s="82"/>
      <c r="G49" s="47"/>
      <c r="H49" s="47"/>
    </row>
    <row r="50" spans="1:8" ht="18.75" customHeight="1" x14ac:dyDescent="0.25">
      <c r="A50" s="86">
        <v>250</v>
      </c>
      <c r="B50" s="79">
        <v>1.2113099999999999E-3</v>
      </c>
      <c r="C50" s="83">
        <v>1052.0999999999999</v>
      </c>
      <c r="D50" s="83">
        <v>1088.4000000000001</v>
      </c>
      <c r="E50" s="82">
        <v>2.7372999999999998</v>
      </c>
      <c r="F50" s="82"/>
      <c r="G50" s="47"/>
      <c r="H50" s="47"/>
    </row>
    <row r="51" spans="1:8" ht="18.75" customHeight="1" x14ac:dyDescent="0.25">
      <c r="A51" s="86">
        <v>260</v>
      </c>
      <c r="B51" s="79">
        <v>1.2313700000000001E-3</v>
      </c>
      <c r="C51" s="83">
        <v>1097.8</v>
      </c>
      <c r="D51" s="83">
        <v>1134.7</v>
      </c>
      <c r="E51" s="82">
        <v>2.8250000000000002</v>
      </c>
      <c r="F51" s="82"/>
      <c r="G51" s="47"/>
      <c r="H51" s="47"/>
    </row>
    <row r="52" spans="1:8" ht="18.75" customHeight="1" x14ac:dyDescent="0.25">
      <c r="A52" s="86">
        <v>270</v>
      </c>
      <c r="B52" s="79">
        <v>1.2531700000000001E-3</v>
      </c>
      <c r="C52" s="83">
        <v>1144.2</v>
      </c>
      <c r="D52" s="83">
        <v>1181.8</v>
      </c>
      <c r="E52" s="82">
        <v>2.9125999999999999</v>
      </c>
      <c r="F52" s="82"/>
      <c r="G52" s="47"/>
      <c r="H52" s="47"/>
    </row>
    <row r="53" spans="1:8" ht="18.75" customHeight="1" x14ac:dyDescent="0.25">
      <c r="A53" s="86">
        <v>280</v>
      </c>
      <c r="B53" s="219">
        <v>1.27698E-3</v>
      </c>
      <c r="C53" s="220">
        <v>1191.5</v>
      </c>
      <c r="D53" s="220">
        <v>1229.8</v>
      </c>
      <c r="E53" s="210">
        <v>3.0001000000000002</v>
      </c>
      <c r="F53" s="82"/>
      <c r="G53" s="82"/>
      <c r="H53" s="47"/>
    </row>
    <row r="54" spans="1:8" ht="18.75" customHeight="1" x14ac:dyDescent="0.25">
      <c r="A54" s="86">
        <v>290</v>
      </c>
      <c r="B54" s="219">
        <v>1.3031500000000001E-3</v>
      </c>
      <c r="C54" s="220">
        <v>1239.5999999999999</v>
      </c>
      <c r="D54" s="220">
        <v>1278.7</v>
      </c>
      <c r="E54" s="210">
        <v>3.0878000000000001</v>
      </c>
      <c r="F54" s="82"/>
      <c r="G54" s="82"/>
      <c r="H54" s="47"/>
    </row>
    <row r="55" spans="1:8" ht="18.75" customHeight="1" x14ac:dyDescent="0.25">
      <c r="A55" s="86">
        <v>300</v>
      </c>
      <c r="B55" s="219">
        <v>1.3322E-3</v>
      </c>
      <c r="C55" s="220">
        <v>1288.9000000000001</v>
      </c>
      <c r="D55" s="220">
        <v>1328.9</v>
      </c>
      <c r="E55" s="210">
        <v>3.1760000000000002</v>
      </c>
      <c r="F55" s="82"/>
      <c r="G55" s="82"/>
      <c r="H55" s="47"/>
    </row>
    <row r="56" spans="1:8" ht="18.75" customHeight="1" x14ac:dyDescent="0.25">
      <c r="A56" s="86">
        <v>310</v>
      </c>
      <c r="B56" s="219">
        <v>1.3646000000000001E-3</v>
      </c>
      <c r="C56" s="220">
        <v>1339.5</v>
      </c>
      <c r="D56" s="220">
        <v>1380.4</v>
      </c>
      <c r="E56" s="210">
        <v>3.2652000000000001</v>
      </c>
      <c r="F56" s="82"/>
      <c r="G56" s="82"/>
      <c r="H56" s="47"/>
    </row>
    <row r="57" spans="1:8" ht="18.75" customHeight="1" x14ac:dyDescent="0.25">
      <c r="A57" s="86">
        <v>320</v>
      </c>
      <c r="B57" s="219">
        <v>1.4013999999999999E-3</v>
      </c>
      <c r="C57" s="220">
        <v>1391.7</v>
      </c>
      <c r="D57" s="220">
        <v>1433.7</v>
      </c>
      <c r="E57" s="210">
        <v>3.3557000000000001</v>
      </c>
      <c r="F57" s="82"/>
      <c r="G57" s="82"/>
      <c r="H57" s="47"/>
    </row>
    <row r="58" spans="1:8" ht="18.75" customHeight="1" x14ac:dyDescent="0.25">
      <c r="A58" s="86">
        <v>330</v>
      </c>
      <c r="B58" s="219">
        <v>1.4436E-3</v>
      </c>
      <c r="C58" s="220">
        <v>1445.8</v>
      </c>
      <c r="D58" s="220">
        <v>1489.1</v>
      </c>
      <c r="E58" s="210">
        <v>3.4483000000000001</v>
      </c>
      <c r="F58" s="82"/>
      <c r="G58" s="82"/>
      <c r="H58" s="47"/>
    </row>
    <row r="59" spans="1:8" ht="18.75" customHeight="1" x14ac:dyDescent="0.25">
      <c r="A59" s="86">
        <v>340</v>
      </c>
      <c r="B59" s="219">
        <v>1.4932000000000001E-3</v>
      </c>
      <c r="C59" s="220">
        <v>1502.3</v>
      </c>
      <c r="D59" s="220">
        <v>1547.1</v>
      </c>
      <c r="E59" s="210">
        <v>3.5438000000000001</v>
      </c>
      <c r="F59" s="82"/>
      <c r="G59" s="82"/>
      <c r="H59" s="47"/>
    </row>
    <row r="60" spans="1:8" ht="18.75" customHeight="1" x14ac:dyDescent="0.25">
      <c r="A60" s="86">
        <v>350</v>
      </c>
      <c r="B60" s="219">
        <v>1.5529000000000001E-3</v>
      </c>
      <c r="C60" s="220">
        <v>1562.2</v>
      </c>
      <c r="D60" s="220">
        <v>1608.8</v>
      </c>
      <c r="E60" s="210">
        <v>3.6436000000000002</v>
      </c>
      <c r="F60" s="82"/>
      <c r="G60" s="82"/>
      <c r="H60" s="47"/>
    </row>
    <row r="61" spans="1:8" ht="18.75" customHeight="1" x14ac:dyDescent="0.25">
      <c r="A61" s="86">
        <v>360</v>
      </c>
      <c r="B61" s="219">
        <v>1.6276000000000001E-3</v>
      </c>
      <c r="C61" s="220">
        <v>1626.8</v>
      </c>
      <c r="D61" s="220">
        <v>1675.6</v>
      </c>
      <c r="E61" s="210">
        <v>3.7498</v>
      </c>
      <c r="F61" s="82"/>
      <c r="G61" s="82"/>
      <c r="H61" s="47"/>
    </row>
    <row r="62" spans="1:8" ht="18.75" customHeight="1" x14ac:dyDescent="0.25">
      <c r="A62" s="86">
        <v>370</v>
      </c>
      <c r="B62" s="219">
        <v>1.7267999999999999E-3</v>
      </c>
      <c r="C62" s="220">
        <v>1698.3</v>
      </c>
      <c r="D62" s="220">
        <v>1750.1</v>
      </c>
      <c r="E62" s="210">
        <v>3.8666</v>
      </c>
      <c r="F62" s="82"/>
      <c r="G62" s="82"/>
      <c r="H62" s="47"/>
    </row>
    <row r="63" spans="1:8" ht="18.75" customHeight="1" x14ac:dyDescent="0.25">
      <c r="A63" s="86">
        <v>380</v>
      </c>
      <c r="B63" s="219">
        <v>1.8729E-3</v>
      </c>
      <c r="C63" s="220">
        <v>1782</v>
      </c>
      <c r="D63" s="220">
        <v>1838.2</v>
      </c>
      <c r="E63" s="210">
        <v>4.0025000000000004</v>
      </c>
      <c r="F63" s="82"/>
      <c r="G63" s="82"/>
      <c r="H63" s="47"/>
    </row>
    <row r="64" spans="1:8" ht="18.75" customHeight="1" x14ac:dyDescent="0.25">
      <c r="A64" s="86">
        <v>390</v>
      </c>
      <c r="B64" s="219">
        <v>2.1331000000000002E-3</v>
      </c>
      <c r="C64" s="220">
        <v>1891.3</v>
      </c>
      <c r="D64" s="220">
        <v>1955.3</v>
      </c>
      <c r="E64" s="210">
        <v>4.1803999999999997</v>
      </c>
      <c r="F64" s="82"/>
      <c r="G64" s="82"/>
      <c r="H64" s="47"/>
    </row>
    <row r="65" spans="1:8" ht="18.75" customHeight="1" x14ac:dyDescent="0.25">
      <c r="A65" s="86">
        <v>400</v>
      </c>
      <c r="B65" s="219">
        <v>2.7978E-3</v>
      </c>
      <c r="C65" s="220">
        <v>2068.9</v>
      </c>
      <c r="D65" s="220">
        <v>2152.8000000000002</v>
      </c>
      <c r="E65" s="210">
        <v>4.4756999999999998</v>
      </c>
      <c r="F65" s="82"/>
      <c r="G65" s="82"/>
      <c r="H65" s="47"/>
    </row>
    <row r="66" spans="1:8" ht="18.75" customHeight="1" x14ac:dyDescent="0.25">
      <c r="A66" s="86">
        <v>410</v>
      </c>
      <c r="B66" s="219">
        <v>3.9808999999999999E-3</v>
      </c>
      <c r="C66" s="220">
        <v>2276</v>
      </c>
      <c r="D66" s="220">
        <v>2395.4</v>
      </c>
      <c r="E66" s="210">
        <v>4.8335999999999997</v>
      </c>
      <c r="F66" s="82"/>
      <c r="G66" s="82"/>
      <c r="H66" s="47"/>
    </row>
    <row r="67" spans="1:8" ht="18.75" customHeight="1" x14ac:dyDescent="0.25">
      <c r="A67" s="86">
        <v>420</v>
      </c>
      <c r="B67" s="219">
        <v>4.9202999999999998E-3</v>
      </c>
      <c r="C67" s="220">
        <v>2405.3000000000002</v>
      </c>
      <c r="D67" s="220">
        <v>2552.9</v>
      </c>
      <c r="E67" s="210">
        <v>5.0627000000000004</v>
      </c>
      <c r="F67" s="82"/>
      <c r="G67" s="82"/>
      <c r="H67" s="47"/>
    </row>
    <row r="68" spans="1:8" ht="18.75" customHeight="1" x14ac:dyDescent="0.25">
      <c r="A68" s="86">
        <v>430</v>
      </c>
      <c r="B68" s="219">
        <v>5.6366000000000003E-3</v>
      </c>
      <c r="C68" s="220">
        <v>2493.6999999999998</v>
      </c>
      <c r="D68" s="220">
        <v>2662.8</v>
      </c>
      <c r="E68" s="210">
        <v>5.22</v>
      </c>
      <c r="F68" s="82"/>
      <c r="G68" s="82"/>
      <c r="H68" s="47"/>
    </row>
    <row r="69" spans="1:8" ht="18.75" customHeight="1" x14ac:dyDescent="0.25">
      <c r="A69" s="86">
        <v>440</v>
      </c>
      <c r="B69" s="219">
        <v>6.2266999999999999E-3</v>
      </c>
      <c r="C69" s="220">
        <v>2562.1</v>
      </c>
      <c r="D69" s="220">
        <v>2748.9</v>
      </c>
      <c r="E69" s="210">
        <v>5.3415999999999997</v>
      </c>
      <c r="F69" s="82"/>
      <c r="G69" s="82"/>
      <c r="H69" s="47"/>
    </row>
    <row r="70" spans="1:8" ht="18.75" customHeight="1" x14ac:dyDescent="0.25">
      <c r="A70" s="86">
        <v>450</v>
      </c>
      <c r="B70" s="219">
        <v>6.7372999999999999E-3</v>
      </c>
      <c r="C70" s="220">
        <v>2618.9</v>
      </c>
      <c r="D70" s="220">
        <v>2821</v>
      </c>
      <c r="E70" s="210">
        <v>5.4420999999999999</v>
      </c>
      <c r="F70" s="82"/>
      <c r="G70" s="82"/>
      <c r="H70" s="47"/>
    </row>
    <row r="71" spans="1:8" ht="18.75" customHeight="1" x14ac:dyDescent="0.25">
      <c r="A71" s="86">
        <v>460</v>
      </c>
      <c r="B71" s="219">
        <v>7.1931E-3</v>
      </c>
      <c r="C71" s="220">
        <v>2668.2</v>
      </c>
      <c r="D71" s="220">
        <v>2884</v>
      </c>
      <c r="E71" s="210">
        <v>5.5286</v>
      </c>
      <c r="F71" s="82"/>
      <c r="G71" s="82"/>
      <c r="H71" s="47"/>
    </row>
    <row r="72" spans="1:8" ht="18.75" customHeight="1" x14ac:dyDescent="0.25">
      <c r="A72" s="86">
        <v>470</v>
      </c>
      <c r="B72" s="219">
        <v>7.6083000000000001E-3</v>
      </c>
      <c r="C72" s="220">
        <v>2712.2</v>
      </c>
      <c r="D72" s="220">
        <v>2940.4</v>
      </c>
      <c r="E72" s="210">
        <v>5.6051000000000002</v>
      </c>
      <c r="F72" s="82"/>
      <c r="G72" s="82"/>
      <c r="H72" s="47"/>
    </row>
    <row r="73" spans="1:8" ht="18.75" customHeight="1" x14ac:dyDescent="0.25">
      <c r="A73" s="86">
        <v>480</v>
      </c>
      <c r="B73" s="219">
        <v>7.9923000000000008E-3</v>
      </c>
      <c r="C73" s="220">
        <v>2752.2</v>
      </c>
      <c r="D73" s="220">
        <v>2992</v>
      </c>
      <c r="E73" s="210">
        <v>5.6741000000000001</v>
      </c>
      <c r="F73" s="82"/>
      <c r="G73" s="82"/>
      <c r="H73" s="47"/>
    </row>
    <row r="74" spans="1:8" ht="18.75" customHeight="1" x14ac:dyDescent="0.25">
      <c r="A74" s="86">
        <v>490</v>
      </c>
      <c r="B74" s="219">
        <v>8.3514999999999995E-3</v>
      </c>
      <c r="C74" s="220">
        <v>2789.4</v>
      </c>
      <c r="D74" s="220">
        <v>3039.9</v>
      </c>
      <c r="E74" s="210">
        <v>5.7371999999999996</v>
      </c>
      <c r="F74" s="82"/>
      <c r="G74" s="82"/>
      <c r="H74" s="47"/>
    </row>
    <row r="75" spans="1:8" ht="18.75" customHeight="1" x14ac:dyDescent="0.25">
      <c r="A75" s="86">
        <v>500</v>
      </c>
      <c r="B75" s="219">
        <v>8.6903999999999992E-3</v>
      </c>
      <c r="C75" s="220">
        <v>2824</v>
      </c>
      <c r="D75" s="220">
        <v>3084.7</v>
      </c>
      <c r="E75" s="210">
        <v>5.7956000000000003</v>
      </c>
      <c r="F75" s="82"/>
      <c r="G75" s="82"/>
      <c r="H75" s="47"/>
    </row>
    <row r="76" spans="1:8" ht="18.75" customHeight="1" x14ac:dyDescent="0.25">
      <c r="A76" s="86">
        <v>520</v>
      </c>
      <c r="B76" s="219">
        <v>9.3200000000000002E-3</v>
      </c>
      <c r="C76" s="220">
        <v>2888</v>
      </c>
      <c r="D76" s="220">
        <v>3167.6</v>
      </c>
      <c r="E76" s="210">
        <v>5.9013999999999998</v>
      </c>
      <c r="F76" s="82"/>
      <c r="G76" s="82"/>
      <c r="H76" s="47"/>
    </row>
    <row r="77" spans="1:8" ht="18.75" customHeight="1" x14ac:dyDescent="0.25">
      <c r="A77" s="86">
        <v>540</v>
      </c>
      <c r="B77" s="219">
        <v>9.9000000000000008E-3</v>
      </c>
      <c r="C77" s="220">
        <v>2946.6</v>
      </c>
      <c r="D77" s="220">
        <v>3243.6</v>
      </c>
      <c r="E77" s="210">
        <v>5.9961000000000002</v>
      </c>
      <c r="F77" s="82"/>
      <c r="G77" s="82"/>
      <c r="H77" s="47"/>
    </row>
    <row r="78" spans="1:8" ht="18.75" customHeight="1" x14ac:dyDescent="0.25">
      <c r="A78" s="86">
        <v>560</v>
      </c>
      <c r="B78" s="221">
        <v>1.0442E-2</v>
      </c>
      <c r="C78" s="220">
        <v>3001.4</v>
      </c>
      <c r="D78" s="220">
        <v>3314.7</v>
      </c>
      <c r="E78" s="210">
        <v>6.0824999999999996</v>
      </c>
      <c r="F78" s="82"/>
      <c r="G78" s="82"/>
      <c r="H78" s="47"/>
    </row>
    <row r="79" spans="1:8" ht="18.75" customHeight="1" x14ac:dyDescent="0.25">
      <c r="A79" s="86">
        <v>580</v>
      </c>
      <c r="B79" s="221">
        <v>1.0954999999999999E-2</v>
      </c>
      <c r="C79" s="220">
        <v>3053.6</v>
      </c>
      <c r="D79" s="220">
        <v>3382.2</v>
      </c>
      <c r="E79" s="210">
        <v>6.1624999999999996</v>
      </c>
      <c r="F79" s="82"/>
      <c r="G79" s="82"/>
      <c r="H79" s="47"/>
    </row>
    <row r="80" spans="1:8" ht="18.75" customHeight="1" x14ac:dyDescent="0.25">
      <c r="A80" s="86">
        <v>600</v>
      </c>
      <c r="B80" s="221">
        <v>1.1445E-2</v>
      </c>
      <c r="C80" s="220">
        <v>3103.3</v>
      </c>
      <c r="D80" s="220">
        <v>3446.7</v>
      </c>
      <c r="E80" s="210">
        <v>6.2373000000000003</v>
      </c>
      <c r="F80" s="82"/>
      <c r="G80" s="82"/>
      <c r="H80" s="47"/>
    </row>
    <row r="81" spans="1:8" ht="18.75" customHeight="1" x14ac:dyDescent="0.25">
      <c r="A81" s="86">
        <v>620</v>
      </c>
      <c r="B81" s="221">
        <v>1.1913999999999999E-2</v>
      </c>
      <c r="C81" s="220">
        <v>3151.7</v>
      </c>
      <c r="D81" s="220">
        <v>3509.1</v>
      </c>
      <c r="E81" s="210">
        <v>6.3079000000000001</v>
      </c>
      <c r="F81" s="82"/>
      <c r="G81" s="82"/>
      <c r="H81" s="47"/>
    </row>
    <row r="82" spans="1:8" ht="18.75" customHeight="1" x14ac:dyDescent="0.25">
      <c r="A82" s="86">
        <v>640</v>
      </c>
      <c r="B82" s="221">
        <v>1.2368000000000001E-2</v>
      </c>
      <c r="C82" s="220">
        <v>3198.7</v>
      </c>
      <c r="D82" s="220">
        <v>3569.7</v>
      </c>
      <c r="E82" s="210">
        <v>6.375</v>
      </c>
      <c r="F82" s="82"/>
      <c r="G82" s="82"/>
      <c r="H82" s="47"/>
    </row>
    <row r="83" spans="1:8" ht="18.75" customHeight="1" x14ac:dyDescent="0.25">
      <c r="A83" s="86">
        <v>660</v>
      </c>
      <c r="B83" s="221">
        <v>1.2808E-2</v>
      </c>
      <c r="C83" s="220">
        <v>3244.6</v>
      </c>
      <c r="D83" s="220">
        <v>3628.8</v>
      </c>
      <c r="E83" s="210">
        <v>6.4390999999999998</v>
      </c>
      <c r="F83" s="82"/>
      <c r="G83" s="82"/>
      <c r="H83" s="47"/>
    </row>
    <row r="84" spans="1:8" ht="18.75" customHeight="1" x14ac:dyDescent="0.25">
      <c r="A84" s="86">
        <v>680</v>
      </c>
      <c r="B84" s="221">
        <v>1.3236E-2</v>
      </c>
      <c r="C84" s="220">
        <v>3289.7</v>
      </c>
      <c r="D84" s="220">
        <v>3686.8</v>
      </c>
      <c r="E84" s="210">
        <v>6.5006000000000004</v>
      </c>
      <c r="F84" s="82"/>
      <c r="G84" s="82"/>
      <c r="H84" s="47"/>
    </row>
    <row r="85" spans="1:8" ht="18.75" customHeight="1" x14ac:dyDescent="0.25">
      <c r="A85" s="86">
        <v>700</v>
      </c>
      <c r="B85" s="221">
        <v>1.3653E-2</v>
      </c>
      <c r="C85" s="220">
        <v>3334.3</v>
      </c>
      <c r="D85" s="220">
        <v>3743.9</v>
      </c>
      <c r="E85" s="210">
        <v>6.5598000000000001</v>
      </c>
      <c r="F85" s="82"/>
      <c r="G85" s="82"/>
      <c r="H85" s="47"/>
    </row>
    <row r="86" spans="1:8" ht="18.75" customHeight="1" x14ac:dyDescent="0.25">
      <c r="A86" s="86">
        <v>720</v>
      </c>
      <c r="B86" s="221">
        <v>1.4062E-2</v>
      </c>
      <c r="C86" s="220">
        <v>3378.3</v>
      </c>
      <c r="D86" s="220">
        <v>3800.2</v>
      </c>
      <c r="E86" s="210">
        <v>6.6170999999999998</v>
      </c>
      <c r="F86" s="82"/>
      <c r="G86" s="82"/>
      <c r="H86" s="47"/>
    </row>
    <row r="87" spans="1:8" ht="18.75" customHeight="1" x14ac:dyDescent="0.25">
      <c r="A87" s="86">
        <v>740</v>
      </c>
      <c r="B87" s="221">
        <v>1.4463E-2</v>
      </c>
      <c r="C87" s="220">
        <v>3421.9</v>
      </c>
      <c r="D87" s="220">
        <v>3855.8</v>
      </c>
      <c r="E87" s="210">
        <v>6.6726000000000001</v>
      </c>
      <c r="F87" s="82"/>
      <c r="G87" s="82"/>
      <c r="H87" s="47"/>
    </row>
    <row r="88" spans="1:8" ht="18.75" customHeight="1" x14ac:dyDescent="0.25">
      <c r="A88" s="86">
        <v>760</v>
      </c>
      <c r="B88" s="221">
        <v>1.4857E-2</v>
      </c>
      <c r="C88" s="220">
        <v>3465.2</v>
      </c>
      <c r="D88" s="220">
        <v>3910.9</v>
      </c>
      <c r="E88" s="210">
        <v>6.7263999999999999</v>
      </c>
      <c r="F88" s="82"/>
      <c r="G88" s="82"/>
      <c r="H88" s="47"/>
    </row>
    <row r="89" spans="1:8" ht="18.75" customHeight="1" x14ac:dyDescent="0.25">
      <c r="A89" s="86">
        <v>780</v>
      </c>
      <c r="B89" s="221">
        <v>1.5245E-2</v>
      </c>
      <c r="C89" s="220">
        <v>3508.4</v>
      </c>
      <c r="D89" s="220">
        <v>3965.7</v>
      </c>
      <c r="E89" s="210">
        <v>6.7789000000000001</v>
      </c>
      <c r="F89" s="82"/>
      <c r="G89" s="82"/>
      <c r="H89" s="47"/>
    </row>
    <row r="90" spans="1:8" ht="18.75" customHeight="1" x14ac:dyDescent="0.25">
      <c r="A90" s="86">
        <v>800</v>
      </c>
      <c r="B90" s="221">
        <v>1.5628E-2</v>
      </c>
      <c r="C90" s="220">
        <v>3551.2</v>
      </c>
      <c r="D90" s="220">
        <v>4020</v>
      </c>
      <c r="E90" s="210">
        <v>6.83</v>
      </c>
      <c r="F90" s="82"/>
      <c r="G90" s="82"/>
      <c r="H90" s="47"/>
    </row>
    <row r="91" spans="1:8" ht="18.75" customHeight="1" x14ac:dyDescent="0.25">
      <c r="A91" s="86">
        <v>820</v>
      </c>
      <c r="B91" s="221">
        <v>1.6004999999999998E-2</v>
      </c>
      <c r="C91" s="220">
        <v>3594</v>
      </c>
      <c r="D91" s="220">
        <v>4074.1</v>
      </c>
      <c r="E91" s="210">
        <v>6.88</v>
      </c>
      <c r="F91" s="82"/>
      <c r="G91" s="82"/>
      <c r="H91" s="47"/>
    </row>
    <row r="92" spans="1:8" ht="18.75" customHeight="1" x14ac:dyDescent="0.25">
      <c r="A92" s="86">
        <v>840</v>
      </c>
      <c r="B92" s="221">
        <v>1.6378E-2</v>
      </c>
      <c r="C92" s="220">
        <v>3636.7</v>
      </c>
      <c r="D92" s="220">
        <v>4128</v>
      </c>
      <c r="E92" s="210">
        <v>6.9287999999999998</v>
      </c>
      <c r="F92" s="82"/>
      <c r="G92" s="82"/>
      <c r="H92" s="47"/>
    </row>
    <row r="93" spans="1:8" ht="18.75" customHeight="1" x14ac:dyDescent="0.25">
      <c r="A93" s="86">
        <v>860</v>
      </c>
      <c r="B93" s="221">
        <v>1.6747000000000001E-2</v>
      </c>
      <c r="C93" s="220">
        <v>3679.3</v>
      </c>
      <c r="D93" s="220">
        <v>4181.7</v>
      </c>
      <c r="E93" s="210">
        <v>6.9766000000000004</v>
      </c>
      <c r="F93" s="82"/>
      <c r="G93" s="82"/>
      <c r="H93" s="47"/>
    </row>
    <row r="94" spans="1:8" ht="18.75" customHeight="1" x14ac:dyDescent="0.25">
      <c r="A94" s="86">
        <v>880</v>
      </c>
      <c r="B94" s="221">
        <v>1.7111999999999999E-2</v>
      </c>
      <c r="C94" s="220">
        <v>3721.9</v>
      </c>
      <c r="D94" s="220">
        <v>4235.3</v>
      </c>
      <c r="E94" s="210">
        <v>7.0235000000000003</v>
      </c>
      <c r="F94" s="82"/>
      <c r="G94" s="82"/>
      <c r="H94" s="47"/>
    </row>
    <row r="95" spans="1:8" ht="18.75" customHeight="1" x14ac:dyDescent="0.25">
      <c r="A95" s="86">
        <v>900</v>
      </c>
      <c r="B95" s="221">
        <v>1.7472999999999999E-2</v>
      </c>
      <c r="C95" s="220">
        <v>3764.6</v>
      </c>
      <c r="D95" s="220">
        <v>4288.8</v>
      </c>
      <c r="E95" s="210">
        <v>7.0694999999999997</v>
      </c>
      <c r="F95" s="82"/>
      <c r="G95" s="82"/>
      <c r="H95" s="47"/>
    </row>
    <row r="96" spans="1:8" ht="18.75" customHeight="1" x14ac:dyDescent="0.25">
      <c r="A96" s="86">
        <v>920</v>
      </c>
      <c r="B96" s="221">
        <v>1.7832000000000001E-2</v>
      </c>
      <c r="C96" s="220">
        <v>3807.2</v>
      </c>
      <c r="D96" s="220">
        <v>4342.2</v>
      </c>
      <c r="E96" s="210">
        <v>7.1147</v>
      </c>
      <c r="F96" s="82"/>
      <c r="G96" s="82"/>
      <c r="H96" s="47"/>
    </row>
    <row r="97" spans="1:8" ht="18.75" customHeight="1" x14ac:dyDescent="0.25">
      <c r="A97" s="86">
        <v>940</v>
      </c>
      <c r="B97" s="221">
        <v>1.8187999999999999E-2</v>
      </c>
      <c r="C97" s="220">
        <v>3850</v>
      </c>
      <c r="D97" s="220">
        <v>4395.6000000000004</v>
      </c>
      <c r="E97" s="210">
        <v>7.1590999999999996</v>
      </c>
      <c r="F97" s="82"/>
      <c r="G97" s="82"/>
      <c r="H97" s="47"/>
    </row>
    <row r="98" spans="1:8" ht="18.75" customHeight="1" x14ac:dyDescent="0.25">
      <c r="A98" s="86">
        <v>960</v>
      </c>
      <c r="B98" s="221">
        <v>1.8540999999999998E-2</v>
      </c>
      <c r="C98" s="220">
        <v>3892.8</v>
      </c>
      <c r="D98" s="220">
        <v>4449</v>
      </c>
      <c r="E98" s="210">
        <v>7.2027000000000001</v>
      </c>
      <c r="F98" s="82"/>
      <c r="G98" s="82"/>
      <c r="H98" s="47"/>
    </row>
    <row r="99" spans="1:8" ht="18.75" customHeight="1" x14ac:dyDescent="0.25">
      <c r="A99" s="86">
        <v>980</v>
      </c>
      <c r="B99" s="221">
        <v>1.8891000000000002E-2</v>
      </c>
      <c r="C99" s="220">
        <v>3935.7</v>
      </c>
      <c r="D99" s="220">
        <v>4502.3999999999996</v>
      </c>
      <c r="E99" s="210">
        <v>7.2457000000000003</v>
      </c>
      <c r="F99" s="82"/>
      <c r="G99" s="82"/>
      <c r="H99" s="47"/>
    </row>
    <row r="100" spans="1:8" ht="18.75" customHeight="1" x14ac:dyDescent="0.25">
      <c r="A100" s="86">
        <v>1000</v>
      </c>
      <c r="B100" s="221">
        <v>1.924E-2</v>
      </c>
      <c r="C100" s="220">
        <v>3978.6</v>
      </c>
      <c r="D100" s="220">
        <v>4555.8</v>
      </c>
      <c r="E100" s="210">
        <v>7.2880000000000003</v>
      </c>
      <c r="F100" s="82"/>
      <c r="G100" s="82"/>
      <c r="H100" s="47"/>
    </row>
  </sheetData>
  <mergeCells count="1">
    <mergeCell ref="A1:H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G100"/>
  <sheetViews>
    <sheetView topLeftCell="A37" workbookViewId="0">
      <selection activeCell="G89" sqref="G89"/>
    </sheetView>
  </sheetViews>
  <sheetFormatPr defaultRowHeight="13.2" x14ac:dyDescent="0.25"/>
  <cols>
    <col min="1" max="1" width="6.88671875" customWidth="1"/>
    <col min="2" max="2" width="15.33203125" customWidth="1"/>
    <col min="3" max="3" width="8.109375" customWidth="1"/>
    <col min="4" max="4" width="8.33203125" customWidth="1"/>
    <col min="5" max="5" width="12" customWidth="1"/>
    <col min="6" max="6" width="7.5546875" customWidth="1"/>
    <col min="7" max="7" width="78.88671875" customWidth="1"/>
  </cols>
  <sheetData>
    <row r="1" spans="1:7" ht="18.75" customHeight="1" x14ac:dyDescent="0.25">
      <c r="A1" s="193" t="s">
        <v>103</v>
      </c>
      <c r="B1" s="193"/>
      <c r="C1" s="193"/>
      <c r="D1" s="193"/>
      <c r="E1" s="193"/>
      <c r="F1" s="193"/>
      <c r="G1" s="193"/>
    </row>
    <row r="2" spans="1:7" ht="18.75" customHeight="1" x14ac:dyDescent="0.25">
      <c r="A2" s="89" t="s">
        <v>126</v>
      </c>
      <c r="B2" s="90">
        <v>35000</v>
      </c>
      <c r="C2" s="71"/>
      <c r="D2" s="71"/>
      <c r="E2" s="71"/>
      <c r="F2" s="71"/>
      <c r="G2" s="71"/>
    </row>
    <row r="3" spans="1:7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28"/>
      <c r="G3" s="28"/>
    </row>
    <row r="4" spans="1:7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28"/>
      <c r="G4" s="28"/>
    </row>
    <row r="5" spans="1:7" ht="18.75" customHeight="1" x14ac:dyDescent="0.25">
      <c r="A5" s="87">
        <v>0</v>
      </c>
      <c r="B5" s="79">
        <v>9.8338000000000006E-4</v>
      </c>
      <c r="C5" s="80">
        <v>0.3</v>
      </c>
      <c r="D5" s="80">
        <v>34.72</v>
      </c>
      <c r="E5" s="81">
        <v>5.0000000000000002E-5</v>
      </c>
      <c r="F5" s="28"/>
      <c r="G5" s="28"/>
    </row>
    <row r="6" spans="1:7" ht="18.75" customHeight="1" x14ac:dyDescent="0.25">
      <c r="A6" s="87">
        <v>5</v>
      </c>
      <c r="B6" s="79">
        <v>9.8379000000000001E-4</v>
      </c>
      <c r="C6" s="80">
        <v>20.67</v>
      </c>
      <c r="D6" s="80">
        <v>55.1</v>
      </c>
      <c r="E6" s="81">
        <v>7.3980000000000004E-2</v>
      </c>
      <c r="F6" s="28"/>
      <c r="G6" s="28"/>
    </row>
    <row r="7" spans="1:7" ht="18.75" customHeight="1" x14ac:dyDescent="0.25">
      <c r="A7" s="87">
        <v>10</v>
      </c>
      <c r="B7" s="79">
        <v>9.8447000000000009E-4</v>
      </c>
      <c r="C7" s="80">
        <v>41.04</v>
      </c>
      <c r="D7" s="80">
        <v>75.5</v>
      </c>
      <c r="E7" s="81">
        <v>0.14666000000000001</v>
      </c>
      <c r="F7" s="28"/>
      <c r="G7" s="28"/>
    </row>
    <row r="8" spans="1:7" ht="18.75" customHeight="1" x14ac:dyDescent="0.25">
      <c r="A8" s="87">
        <v>15</v>
      </c>
      <c r="B8" s="79">
        <v>9.8539999999999999E-4</v>
      </c>
      <c r="C8" s="80">
        <v>61.42</v>
      </c>
      <c r="D8" s="80">
        <v>95.91</v>
      </c>
      <c r="E8" s="81">
        <v>0.21812999999999999</v>
      </c>
      <c r="F8" s="28"/>
      <c r="G8" s="28"/>
    </row>
    <row r="9" spans="1:7" ht="18.75" customHeight="1" x14ac:dyDescent="0.25">
      <c r="A9" s="87">
        <v>20</v>
      </c>
      <c r="B9" s="79">
        <v>9.8656000000000004E-4</v>
      </c>
      <c r="C9" s="80">
        <v>81.81</v>
      </c>
      <c r="D9" s="80">
        <v>116.34</v>
      </c>
      <c r="E9" s="81">
        <v>0.28843999999999997</v>
      </c>
      <c r="F9" s="28"/>
      <c r="G9" s="28"/>
    </row>
    <row r="10" spans="1:7" ht="18.75" customHeight="1" x14ac:dyDescent="0.25">
      <c r="A10" s="87">
        <v>25</v>
      </c>
      <c r="B10" s="79">
        <v>9.8791000000000005E-4</v>
      </c>
      <c r="C10" s="80">
        <v>102.22</v>
      </c>
      <c r="D10" s="80">
        <v>136.80000000000001</v>
      </c>
      <c r="E10" s="81">
        <v>0.35760999999999998</v>
      </c>
      <c r="F10" s="28"/>
      <c r="G10" s="28"/>
    </row>
    <row r="11" spans="1:7" ht="18.75" customHeight="1" x14ac:dyDescent="0.25">
      <c r="A11" s="87">
        <v>30</v>
      </c>
      <c r="B11" s="79">
        <v>9.8945999999999995E-4</v>
      </c>
      <c r="C11" s="80">
        <v>122.64</v>
      </c>
      <c r="D11" s="80">
        <v>157.27000000000001</v>
      </c>
      <c r="E11" s="81">
        <v>0.42570000000000002</v>
      </c>
      <c r="F11" s="28"/>
      <c r="G11" s="28"/>
    </row>
    <row r="12" spans="1:7" ht="18.75" customHeight="1" x14ac:dyDescent="0.25">
      <c r="A12" s="87">
        <v>35</v>
      </c>
      <c r="B12" s="79">
        <v>9.9117999999999993E-4</v>
      </c>
      <c r="C12" s="80">
        <v>143.06</v>
      </c>
      <c r="D12" s="80">
        <v>177.75</v>
      </c>
      <c r="E12" s="81">
        <v>0.49271999999999999</v>
      </c>
      <c r="F12" s="28"/>
      <c r="G12" s="28"/>
    </row>
    <row r="13" spans="1:7" ht="18.75" customHeight="1" x14ac:dyDescent="0.25">
      <c r="A13" s="87">
        <v>40</v>
      </c>
      <c r="B13" s="79">
        <v>9.9306999999999998E-4</v>
      </c>
      <c r="C13" s="80">
        <v>163.5</v>
      </c>
      <c r="D13" s="80">
        <v>198.26</v>
      </c>
      <c r="E13" s="81">
        <v>0.55872999999999995</v>
      </c>
      <c r="F13" s="28"/>
      <c r="G13" s="28"/>
    </row>
    <row r="14" spans="1:7" ht="18.75" customHeight="1" x14ac:dyDescent="0.25">
      <c r="A14" s="87">
        <v>45</v>
      </c>
      <c r="B14" s="79">
        <v>9.9511E-4</v>
      </c>
      <c r="C14" s="80">
        <v>183.95</v>
      </c>
      <c r="D14" s="80">
        <v>218.78</v>
      </c>
      <c r="E14" s="81">
        <v>0.62373999999999996</v>
      </c>
      <c r="F14" s="28"/>
      <c r="G14" s="28"/>
    </row>
    <row r="15" spans="1:7" ht="18.75" customHeight="1" x14ac:dyDescent="0.25">
      <c r="A15" s="87">
        <v>50</v>
      </c>
      <c r="B15" s="79">
        <v>9.9730999999999995E-4</v>
      </c>
      <c r="C15" s="80">
        <v>204.4</v>
      </c>
      <c r="D15" s="80">
        <v>239.31</v>
      </c>
      <c r="E15" s="81">
        <v>0.68777999999999995</v>
      </c>
      <c r="F15" s="28"/>
      <c r="G15" s="28"/>
    </row>
    <row r="16" spans="1:7" ht="18.75" customHeight="1" x14ac:dyDescent="0.25">
      <c r="A16" s="87">
        <v>55</v>
      </c>
      <c r="B16" s="79">
        <v>9.9964999999999993E-4</v>
      </c>
      <c r="C16" s="80">
        <v>224.87</v>
      </c>
      <c r="D16" s="80">
        <v>259.86</v>
      </c>
      <c r="E16" s="81">
        <v>0.75088999999999995</v>
      </c>
      <c r="F16" s="28"/>
      <c r="G16" s="28"/>
    </row>
    <row r="17" spans="1:7" ht="18.75" customHeight="1" x14ac:dyDescent="0.25">
      <c r="A17" s="87">
        <v>60</v>
      </c>
      <c r="B17" s="79">
        <v>1.0021299999999999E-3</v>
      </c>
      <c r="C17" s="80">
        <v>245.36</v>
      </c>
      <c r="D17" s="80">
        <v>280.43</v>
      </c>
      <c r="E17" s="81">
        <v>0.81308000000000002</v>
      </c>
      <c r="F17" s="28"/>
      <c r="G17" s="28"/>
    </row>
    <row r="18" spans="1:7" ht="18.75" customHeight="1" x14ac:dyDescent="0.25">
      <c r="A18" s="87">
        <v>65</v>
      </c>
      <c r="B18" s="79">
        <v>1.00475E-3</v>
      </c>
      <c r="C18" s="80">
        <v>265.83999999999997</v>
      </c>
      <c r="D18" s="80">
        <v>301.01</v>
      </c>
      <c r="E18" s="81">
        <v>0.87439999999999996</v>
      </c>
      <c r="F18" s="28"/>
      <c r="G18" s="28"/>
    </row>
    <row r="19" spans="1:7" ht="18.75" customHeight="1" x14ac:dyDescent="0.25">
      <c r="A19" s="87">
        <v>70</v>
      </c>
      <c r="B19" s="79">
        <v>1.0074999999999999E-3</v>
      </c>
      <c r="C19" s="80">
        <v>286.33999999999997</v>
      </c>
      <c r="D19" s="80">
        <v>321.60000000000002</v>
      </c>
      <c r="E19" s="81">
        <v>0.93486000000000002</v>
      </c>
      <c r="F19" s="28"/>
      <c r="G19" s="28"/>
    </row>
    <row r="20" spans="1:7" ht="18.75" customHeight="1" x14ac:dyDescent="0.25">
      <c r="A20" s="87">
        <v>75</v>
      </c>
      <c r="B20" s="79">
        <v>1.01038E-3</v>
      </c>
      <c r="C20" s="80">
        <v>306.85000000000002</v>
      </c>
      <c r="D20" s="80">
        <v>342.21</v>
      </c>
      <c r="E20" s="81">
        <v>0.99450000000000005</v>
      </c>
      <c r="F20" s="28"/>
      <c r="G20" s="28"/>
    </row>
    <row r="21" spans="1:7" ht="18.75" customHeight="1" x14ac:dyDescent="0.25">
      <c r="A21" s="87">
        <v>80</v>
      </c>
      <c r="B21" s="79">
        <v>1.0133900000000001E-3</v>
      </c>
      <c r="C21" s="80">
        <v>327.37</v>
      </c>
      <c r="D21" s="80">
        <v>362.84</v>
      </c>
      <c r="E21" s="82">
        <v>1.0532999999999999</v>
      </c>
      <c r="F21" s="28"/>
      <c r="G21" s="28"/>
    </row>
    <row r="22" spans="1:7" ht="18.75" customHeight="1" x14ac:dyDescent="0.25">
      <c r="A22" s="87">
        <v>85</v>
      </c>
      <c r="B22" s="79">
        <v>1.01654E-3</v>
      </c>
      <c r="C22" s="80">
        <v>347.91</v>
      </c>
      <c r="D22" s="80">
        <v>383.49</v>
      </c>
      <c r="E22" s="82">
        <v>1.1113999999999999</v>
      </c>
      <c r="F22" s="28"/>
      <c r="G22" s="28"/>
    </row>
    <row r="23" spans="1:7" ht="18.75" customHeight="1" x14ac:dyDescent="0.25">
      <c r="A23" s="87">
        <v>90</v>
      </c>
      <c r="B23" s="79">
        <v>1.0198E-3</v>
      </c>
      <c r="C23" s="80">
        <v>368.46</v>
      </c>
      <c r="D23" s="80">
        <v>404.15</v>
      </c>
      <c r="E23" s="82">
        <v>1.1687000000000001</v>
      </c>
      <c r="F23" s="28"/>
      <c r="G23" s="28"/>
    </row>
    <row r="24" spans="1:7" ht="18.75" customHeight="1" x14ac:dyDescent="0.25">
      <c r="A24" s="87">
        <v>95</v>
      </c>
      <c r="B24" s="79">
        <v>1.0231999999999999E-3</v>
      </c>
      <c r="C24" s="80">
        <v>389.02</v>
      </c>
      <c r="D24" s="80">
        <v>424.83</v>
      </c>
      <c r="E24" s="82">
        <v>1.2252000000000001</v>
      </c>
      <c r="F24" s="28"/>
      <c r="G24" s="28"/>
    </row>
    <row r="25" spans="1:7" ht="18.75" customHeight="1" x14ac:dyDescent="0.25">
      <c r="A25" s="87">
        <v>100</v>
      </c>
      <c r="B25" s="79">
        <v>1.0267200000000001E-3</v>
      </c>
      <c r="C25" s="80">
        <v>409.6</v>
      </c>
      <c r="D25" s="80">
        <v>445.54</v>
      </c>
      <c r="E25" s="82">
        <v>1.2810999999999999</v>
      </c>
      <c r="F25" s="28"/>
      <c r="G25" s="28"/>
    </row>
    <row r="26" spans="1:7" ht="18.75" customHeight="1" x14ac:dyDescent="0.25">
      <c r="A26" s="87">
        <v>105</v>
      </c>
      <c r="B26" s="79">
        <v>1.0303700000000001E-3</v>
      </c>
      <c r="C26" s="80">
        <v>430.2</v>
      </c>
      <c r="D26" s="80">
        <v>466.26</v>
      </c>
      <c r="E26" s="82">
        <v>1.3363</v>
      </c>
      <c r="F26" s="28"/>
      <c r="G26" s="28"/>
    </row>
    <row r="27" spans="1:7" ht="18.75" customHeight="1" x14ac:dyDescent="0.25">
      <c r="A27" s="87">
        <v>110</v>
      </c>
      <c r="B27" s="79">
        <v>1.03414E-3</v>
      </c>
      <c r="C27" s="80">
        <v>450.82</v>
      </c>
      <c r="D27" s="80">
        <v>487.01</v>
      </c>
      <c r="E27" s="82">
        <v>1.3908</v>
      </c>
      <c r="F27" s="28"/>
      <c r="G27" s="28"/>
    </row>
    <row r="28" spans="1:7" ht="18.75" customHeight="1" x14ac:dyDescent="0.25">
      <c r="A28" s="87">
        <v>115</v>
      </c>
      <c r="B28" s="79">
        <v>1.03805E-3</v>
      </c>
      <c r="C28" s="80">
        <v>471.46</v>
      </c>
      <c r="D28" s="80">
        <v>507.79</v>
      </c>
      <c r="E28" s="82">
        <v>1.4447000000000001</v>
      </c>
      <c r="F28" s="28"/>
      <c r="G28" s="28"/>
    </row>
    <row r="29" spans="1:7" ht="18.75" customHeight="1" x14ac:dyDescent="0.25">
      <c r="A29" s="87">
        <v>120</v>
      </c>
      <c r="B29" s="79">
        <v>1.0420799999999999E-3</v>
      </c>
      <c r="C29" s="80">
        <v>492.12</v>
      </c>
      <c r="D29" s="80">
        <v>528.59</v>
      </c>
      <c r="E29" s="82">
        <v>1.4979</v>
      </c>
      <c r="F29" s="28"/>
      <c r="G29" s="28"/>
    </row>
    <row r="30" spans="1:7" ht="18.75" customHeight="1" x14ac:dyDescent="0.25">
      <c r="A30" s="87">
        <v>125</v>
      </c>
      <c r="B30" s="79">
        <v>1.0462399999999999E-3</v>
      </c>
      <c r="C30" s="80">
        <v>512.80999999999995</v>
      </c>
      <c r="D30" s="80">
        <v>549.42999999999995</v>
      </c>
      <c r="E30" s="82">
        <v>1.5506</v>
      </c>
      <c r="F30" s="28"/>
      <c r="G30" s="28"/>
    </row>
    <row r="31" spans="1:7" ht="18.75" customHeight="1" x14ac:dyDescent="0.25">
      <c r="A31" s="87">
        <v>130</v>
      </c>
      <c r="B31" s="79">
        <v>1.05053E-3</v>
      </c>
      <c r="C31" s="80">
        <v>533.52</v>
      </c>
      <c r="D31" s="80">
        <v>570.29</v>
      </c>
      <c r="E31" s="82">
        <v>1.6027</v>
      </c>
      <c r="F31" s="28"/>
      <c r="G31" s="28"/>
    </row>
    <row r="32" spans="1:7" ht="18.75" customHeight="1" x14ac:dyDescent="0.25">
      <c r="A32" s="87">
        <v>135</v>
      </c>
      <c r="B32" s="79">
        <v>1.05496E-3</v>
      </c>
      <c r="C32" s="80">
        <v>554.28</v>
      </c>
      <c r="D32" s="80">
        <v>591.20000000000005</v>
      </c>
      <c r="E32" s="82">
        <v>1.6541999999999999</v>
      </c>
      <c r="F32" s="28"/>
      <c r="G32" s="28"/>
    </row>
    <row r="33" spans="1:7" ht="18.75" customHeight="1" x14ac:dyDescent="0.25">
      <c r="A33" s="87">
        <v>140</v>
      </c>
      <c r="B33" s="79">
        <v>1.0595299999999999E-3</v>
      </c>
      <c r="C33" s="80">
        <v>575.05999999999995</v>
      </c>
      <c r="D33" s="80">
        <v>612.14</v>
      </c>
      <c r="E33" s="82">
        <v>1.7052</v>
      </c>
      <c r="F33" s="28"/>
      <c r="G33" s="28"/>
    </row>
    <row r="34" spans="1:7" ht="18.75" customHeight="1" x14ac:dyDescent="0.25">
      <c r="A34" s="87">
        <v>145</v>
      </c>
      <c r="B34" s="79">
        <v>1.06423E-3</v>
      </c>
      <c r="C34" s="80">
        <v>595.87</v>
      </c>
      <c r="D34" s="80">
        <v>633.12</v>
      </c>
      <c r="E34" s="82">
        <v>1.7557</v>
      </c>
      <c r="F34" s="28"/>
      <c r="G34" s="28"/>
    </row>
    <row r="35" spans="1:7" ht="18.75" customHeight="1" x14ac:dyDescent="0.25">
      <c r="A35" s="87">
        <v>150</v>
      </c>
      <c r="B35" s="79">
        <v>1.06908E-3</v>
      </c>
      <c r="C35" s="80">
        <v>616.72</v>
      </c>
      <c r="D35" s="80">
        <v>654.14</v>
      </c>
      <c r="E35" s="82">
        <v>1.8056000000000001</v>
      </c>
      <c r="F35" s="28"/>
      <c r="G35" s="28"/>
    </row>
    <row r="36" spans="1:7" ht="18.75" customHeight="1" x14ac:dyDescent="0.25">
      <c r="A36" s="87">
        <v>155</v>
      </c>
      <c r="B36" s="79">
        <v>1.0740700000000001E-3</v>
      </c>
      <c r="C36" s="80">
        <v>637.62</v>
      </c>
      <c r="D36" s="80">
        <v>675.21</v>
      </c>
      <c r="E36" s="82">
        <v>1.8551</v>
      </c>
      <c r="F36" s="28"/>
      <c r="G36" s="28"/>
    </row>
    <row r="37" spans="1:7" ht="18.75" customHeight="1" x14ac:dyDescent="0.25">
      <c r="A37" s="87">
        <v>160</v>
      </c>
      <c r="B37" s="79">
        <v>1.0792200000000001E-3</v>
      </c>
      <c r="C37" s="80">
        <v>658.56</v>
      </c>
      <c r="D37" s="80">
        <v>696.33</v>
      </c>
      <c r="E37" s="82">
        <v>1.9041999999999999</v>
      </c>
      <c r="F37" s="28"/>
      <c r="G37" s="28"/>
    </row>
    <row r="38" spans="1:7" ht="18.75" customHeight="1" x14ac:dyDescent="0.25">
      <c r="A38" s="87">
        <v>165</v>
      </c>
      <c r="B38" s="79">
        <v>1.0845099999999999E-3</v>
      </c>
      <c r="C38" s="80">
        <v>679.54</v>
      </c>
      <c r="D38" s="80">
        <v>717.5</v>
      </c>
      <c r="E38" s="82">
        <v>1.9528000000000001</v>
      </c>
      <c r="F38" s="28"/>
      <c r="G38" s="28"/>
    </row>
    <row r="39" spans="1:7" ht="18.75" customHeight="1" x14ac:dyDescent="0.25">
      <c r="A39" s="87">
        <v>170</v>
      </c>
      <c r="B39" s="79">
        <v>1.08997E-3</v>
      </c>
      <c r="C39" s="80">
        <v>700.58</v>
      </c>
      <c r="D39" s="80">
        <v>738.73</v>
      </c>
      <c r="E39" s="82">
        <v>2.0009000000000001</v>
      </c>
      <c r="F39" s="28"/>
      <c r="G39" s="28"/>
    </row>
    <row r="40" spans="1:7" ht="18.75" customHeight="1" x14ac:dyDescent="0.25">
      <c r="A40" s="87">
        <v>175</v>
      </c>
      <c r="B40" s="79">
        <v>1.09559E-3</v>
      </c>
      <c r="C40" s="80">
        <v>721.67</v>
      </c>
      <c r="D40" s="80">
        <v>760.02</v>
      </c>
      <c r="E40" s="82">
        <v>2.0487000000000002</v>
      </c>
      <c r="F40" s="28"/>
      <c r="G40" s="28"/>
    </row>
    <row r="41" spans="1:7" ht="18.75" customHeight="1" x14ac:dyDescent="0.25">
      <c r="A41" s="87">
        <v>180</v>
      </c>
      <c r="B41" s="79">
        <v>1.1013799999999999E-3</v>
      </c>
      <c r="C41" s="80">
        <v>742.82</v>
      </c>
      <c r="D41" s="80">
        <v>781.37</v>
      </c>
      <c r="E41" s="82">
        <v>2.0960999999999999</v>
      </c>
      <c r="F41" s="28"/>
      <c r="G41" s="28"/>
    </row>
    <row r="42" spans="1:7" ht="18.75" customHeight="1" x14ac:dyDescent="0.25">
      <c r="A42" s="87">
        <v>185</v>
      </c>
      <c r="B42" s="79">
        <v>1.1073400000000001E-3</v>
      </c>
      <c r="C42" s="80">
        <v>764.03</v>
      </c>
      <c r="D42" s="80">
        <v>802.79</v>
      </c>
      <c r="E42" s="82">
        <v>2.1431</v>
      </c>
      <c r="F42" s="28"/>
      <c r="G42" s="28"/>
    </row>
    <row r="43" spans="1:7" ht="18.75" customHeight="1" x14ac:dyDescent="0.25">
      <c r="A43" s="87">
        <v>190</v>
      </c>
      <c r="B43" s="79">
        <v>1.11349E-3</v>
      </c>
      <c r="C43" s="80">
        <v>785.31</v>
      </c>
      <c r="D43" s="80">
        <v>824.28</v>
      </c>
      <c r="E43" s="82">
        <v>2.1897000000000002</v>
      </c>
      <c r="F43" s="28"/>
      <c r="G43" s="28"/>
    </row>
    <row r="44" spans="1:7" ht="18.75" customHeight="1" x14ac:dyDescent="0.25">
      <c r="A44" s="87">
        <v>195</v>
      </c>
      <c r="B44" s="79">
        <v>1.11983E-3</v>
      </c>
      <c r="C44" s="80">
        <v>806.65</v>
      </c>
      <c r="D44" s="80">
        <v>845.84</v>
      </c>
      <c r="E44" s="82">
        <v>2.2361</v>
      </c>
      <c r="F44" s="28"/>
      <c r="G44" s="28"/>
    </row>
    <row r="45" spans="1:7" ht="18.75" customHeight="1" x14ac:dyDescent="0.25">
      <c r="A45" s="87">
        <v>200</v>
      </c>
      <c r="B45" s="79">
        <v>1.1263600000000001E-3</v>
      </c>
      <c r="C45" s="80">
        <v>828.06</v>
      </c>
      <c r="D45" s="80">
        <v>867.48</v>
      </c>
      <c r="E45" s="82">
        <v>2.282</v>
      </c>
      <c r="F45" s="28"/>
      <c r="G45" s="28"/>
    </row>
    <row r="46" spans="1:7" ht="18.75" customHeight="1" x14ac:dyDescent="0.25">
      <c r="A46" s="87">
        <v>210</v>
      </c>
      <c r="B46" s="79">
        <v>1.1400500000000001E-3</v>
      </c>
      <c r="C46" s="80">
        <v>871.12</v>
      </c>
      <c r="D46" s="80">
        <v>911.02</v>
      </c>
      <c r="E46" s="82">
        <v>2.3731</v>
      </c>
      <c r="F46" s="28"/>
      <c r="G46" s="28"/>
    </row>
    <row r="47" spans="1:7" ht="18.75" customHeight="1" x14ac:dyDescent="0.25">
      <c r="A47" s="87">
        <v>220</v>
      </c>
      <c r="B47" s="79">
        <v>1.15464E-3</v>
      </c>
      <c r="C47" s="80">
        <v>914.53</v>
      </c>
      <c r="D47" s="80">
        <v>954.94</v>
      </c>
      <c r="E47" s="82">
        <v>2.4630999999999998</v>
      </c>
      <c r="F47" s="28"/>
      <c r="G47" s="28"/>
    </row>
    <row r="48" spans="1:7" ht="18.75" customHeight="1" x14ac:dyDescent="0.25">
      <c r="A48" s="87">
        <v>230</v>
      </c>
      <c r="B48" s="79">
        <v>1.17022E-3</v>
      </c>
      <c r="C48" s="80">
        <v>958.32</v>
      </c>
      <c r="D48" s="80">
        <v>999.28</v>
      </c>
      <c r="E48" s="82">
        <v>2.5520999999999998</v>
      </c>
      <c r="F48" s="28"/>
      <c r="G48" s="28"/>
    </row>
    <row r="49" spans="1:7" ht="18.75" customHeight="1" x14ac:dyDescent="0.25">
      <c r="A49" s="87">
        <v>240</v>
      </c>
      <c r="B49" s="79">
        <v>1.1869000000000001E-3</v>
      </c>
      <c r="C49" s="83">
        <v>1002.6</v>
      </c>
      <c r="D49" s="83">
        <v>1044.0999999999999</v>
      </c>
      <c r="E49" s="82">
        <v>2.6402999999999999</v>
      </c>
      <c r="F49" s="28"/>
      <c r="G49" s="28"/>
    </row>
    <row r="50" spans="1:7" ht="18.75" customHeight="1" x14ac:dyDescent="0.25">
      <c r="A50" s="87">
        <v>250</v>
      </c>
      <c r="B50" s="79">
        <v>1.20481E-3</v>
      </c>
      <c r="C50" s="83">
        <v>1047.2</v>
      </c>
      <c r="D50" s="83">
        <v>1089.4000000000001</v>
      </c>
      <c r="E50" s="82">
        <v>2.7277999999999998</v>
      </c>
      <c r="F50" s="28"/>
      <c r="G50" s="28"/>
    </row>
    <row r="51" spans="1:7" ht="18.75" customHeight="1" x14ac:dyDescent="0.25">
      <c r="A51" s="87">
        <v>260</v>
      </c>
      <c r="B51" s="79">
        <v>1.22411E-3</v>
      </c>
      <c r="C51" s="83">
        <v>1092.5999999999999</v>
      </c>
      <c r="D51" s="83">
        <v>1135.4000000000001</v>
      </c>
      <c r="E51" s="82">
        <v>2.8148</v>
      </c>
      <c r="F51" s="28"/>
      <c r="G51" s="28"/>
    </row>
    <row r="52" spans="1:7" ht="18.75" customHeight="1" x14ac:dyDescent="0.25">
      <c r="A52" s="87">
        <v>270</v>
      </c>
      <c r="B52" s="79">
        <v>1.2449799999999999E-3</v>
      </c>
      <c r="C52" s="83">
        <v>1138.4000000000001</v>
      </c>
      <c r="D52" s="83">
        <v>1182</v>
      </c>
      <c r="E52" s="82">
        <v>2.9014000000000002</v>
      </c>
      <c r="F52" s="28"/>
      <c r="G52" s="28"/>
    </row>
    <row r="53" spans="1:7" ht="18.75" customHeight="1" x14ac:dyDescent="0.25">
      <c r="A53" s="86">
        <v>280</v>
      </c>
      <c r="B53" s="219">
        <v>1.2676600000000001E-3</v>
      </c>
      <c r="C53" s="220">
        <v>1185</v>
      </c>
      <c r="D53" s="220">
        <v>1229.4000000000001</v>
      </c>
      <c r="E53" s="210">
        <v>2.9878999999999998</v>
      </c>
      <c r="F53" s="82"/>
      <c r="G53" s="28"/>
    </row>
    <row r="54" spans="1:7" ht="18.75" customHeight="1" x14ac:dyDescent="0.25">
      <c r="A54" s="86">
        <v>290</v>
      </c>
      <c r="B54" s="219">
        <v>1.2924499999999999E-3</v>
      </c>
      <c r="C54" s="220">
        <v>1232.5</v>
      </c>
      <c r="D54" s="220">
        <v>1277.7</v>
      </c>
      <c r="E54" s="210">
        <v>3.0743999999999998</v>
      </c>
      <c r="F54" s="82"/>
      <c r="G54" s="28"/>
    </row>
    <row r="55" spans="1:7" ht="18.75" customHeight="1" x14ac:dyDescent="0.25">
      <c r="A55" s="86">
        <v>300</v>
      </c>
      <c r="B55" s="219">
        <v>1.3197E-3</v>
      </c>
      <c r="C55" s="220">
        <v>1280.8</v>
      </c>
      <c r="D55" s="220">
        <v>1327</v>
      </c>
      <c r="E55" s="210">
        <v>3.1612</v>
      </c>
      <c r="F55" s="82"/>
      <c r="G55" s="28"/>
    </row>
    <row r="56" spans="1:7" ht="18.75" customHeight="1" x14ac:dyDescent="0.25">
      <c r="A56" s="86">
        <v>310</v>
      </c>
      <c r="B56" s="219">
        <v>1.3499E-3</v>
      </c>
      <c r="C56" s="220">
        <v>1330.4</v>
      </c>
      <c r="D56" s="220">
        <v>1377.6</v>
      </c>
      <c r="E56" s="210">
        <v>3.2486000000000002</v>
      </c>
      <c r="F56" s="82"/>
      <c r="G56" s="28"/>
    </row>
    <row r="57" spans="1:7" ht="18.75" customHeight="1" x14ac:dyDescent="0.25">
      <c r="A57" s="86">
        <v>320</v>
      </c>
      <c r="B57" s="219">
        <v>1.3837000000000001E-3</v>
      </c>
      <c r="C57" s="220">
        <v>1381.1</v>
      </c>
      <c r="D57" s="220">
        <v>1429.5</v>
      </c>
      <c r="E57" s="210">
        <v>3.3370000000000002</v>
      </c>
      <c r="F57" s="82"/>
      <c r="G57" s="28"/>
    </row>
    <row r="58" spans="1:7" ht="18.75" customHeight="1" x14ac:dyDescent="0.25">
      <c r="A58" s="86">
        <v>330</v>
      </c>
      <c r="B58" s="219">
        <v>1.4220000000000001E-3</v>
      </c>
      <c r="C58" s="220">
        <v>1433.4</v>
      </c>
      <c r="D58" s="220">
        <v>1483.2</v>
      </c>
      <c r="E58" s="210">
        <v>3.4268000000000001</v>
      </c>
      <c r="F58" s="82"/>
      <c r="G58" s="28"/>
    </row>
    <row r="59" spans="1:7" ht="18.75" customHeight="1" x14ac:dyDescent="0.25">
      <c r="A59" s="86">
        <v>340</v>
      </c>
      <c r="B59" s="219">
        <v>1.4660000000000001E-3</v>
      </c>
      <c r="C59" s="220">
        <v>1487.8</v>
      </c>
      <c r="D59" s="220">
        <v>1539.1</v>
      </c>
      <c r="E59" s="210">
        <v>3.5186000000000002</v>
      </c>
      <c r="F59" s="82"/>
      <c r="G59" s="28"/>
    </row>
    <row r="60" spans="1:7" ht="18.75" customHeight="1" x14ac:dyDescent="0.25">
      <c r="A60" s="86">
        <v>350</v>
      </c>
      <c r="B60" s="219">
        <v>1.5173999999999999E-3</v>
      </c>
      <c r="C60" s="220">
        <v>1544.5</v>
      </c>
      <c r="D60" s="220">
        <v>1597.6</v>
      </c>
      <c r="E60" s="210">
        <v>3.6132</v>
      </c>
      <c r="F60" s="82"/>
      <c r="G60" s="28"/>
    </row>
    <row r="61" spans="1:7" ht="18.75" customHeight="1" x14ac:dyDescent="0.25">
      <c r="A61" s="86">
        <v>360</v>
      </c>
      <c r="B61" s="219">
        <v>1.5790999999999999E-3</v>
      </c>
      <c r="C61" s="220">
        <v>1604.3</v>
      </c>
      <c r="D61" s="220">
        <v>1659.6</v>
      </c>
      <c r="E61" s="210">
        <v>3.7120000000000002</v>
      </c>
      <c r="F61" s="82"/>
      <c r="G61" s="28"/>
    </row>
    <row r="62" spans="1:7" ht="18.75" customHeight="1" x14ac:dyDescent="0.25">
      <c r="A62" s="86">
        <v>370</v>
      </c>
      <c r="B62" s="219">
        <v>1.6554E-3</v>
      </c>
      <c r="C62" s="220">
        <v>1668.6</v>
      </c>
      <c r="D62" s="220">
        <v>1726.5</v>
      </c>
      <c r="E62" s="210">
        <v>3.8168000000000002</v>
      </c>
      <c r="F62" s="82"/>
      <c r="G62" s="28"/>
    </row>
    <row r="63" spans="1:7" ht="18.75" customHeight="1" x14ac:dyDescent="0.25">
      <c r="A63" s="86">
        <v>380</v>
      </c>
      <c r="B63" s="219">
        <v>1.7546E-3</v>
      </c>
      <c r="C63" s="220">
        <v>1739</v>
      </c>
      <c r="D63" s="220">
        <v>1800.4</v>
      </c>
      <c r="E63" s="210">
        <v>3.9308000000000001</v>
      </c>
      <c r="F63" s="82"/>
      <c r="G63" s="28"/>
    </row>
    <row r="64" spans="1:7" ht="18.75" customHeight="1" x14ac:dyDescent="0.25">
      <c r="A64" s="86">
        <v>390</v>
      </c>
      <c r="B64" s="219">
        <v>1.8929999999999999E-3</v>
      </c>
      <c r="C64" s="220">
        <v>1819.1</v>
      </c>
      <c r="D64" s="220">
        <v>1885.4</v>
      </c>
      <c r="E64" s="210">
        <v>4.0598999999999998</v>
      </c>
      <c r="F64" s="82"/>
      <c r="G64" s="28"/>
    </row>
    <row r="65" spans="1:7" ht="18.75" customHeight="1" x14ac:dyDescent="0.25">
      <c r="A65" s="86">
        <v>400</v>
      </c>
      <c r="B65" s="219">
        <v>2.1053999999999999E-3</v>
      </c>
      <c r="C65" s="220">
        <v>1914.9</v>
      </c>
      <c r="D65" s="220">
        <v>1988.6</v>
      </c>
      <c r="E65" s="210">
        <v>4.2142999999999997</v>
      </c>
      <c r="F65" s="82"/>
      <c r="G65" s="28"/>
    </row>
    <row r="66" spans="1:7" ht="18.75" customHeight="1" x14ac:dyDescent="0.25">
      <c r="A66" s="86">
        <v>410</v>
      </c>
      <c r="B66" s="219">
        <v>2.4746999999999998E-3</v>
      </c>
      <c r="C66" s="220">
        <v>2037.3</v>
      </c>
      <c r="D66" s="220">
        <v>2123.9</v>
      </c>
      <c r="E66" s="210">
        <v>4.4138000000000002</v>
      </c>
      <c r="F66" s="82"/>
      <c r="G66" s="28"/>
    </row>
    <row r="67" spans="1:7" ht="18.75" customHeight="1" x14ac:dyDescent="0.25">
      <c r="A67" s="86">
        <v>420</v>
      </c>
      <c r="B67" s="219">
        <v>3.0837999999999998E-3</v>
      </c>
      <c r="C67" s="220">
        <v>2184</v>
      </c>
      <c r="D67" s="220">
        <v>2291.9</v>
      </c>
      <c r="E67" s="210">
        <v>4.6578999999999997</v>
      </c>
      <c r="F67" s="82"/>
      <c r="G67" s="28"/>
    </row>
    <row r="68" spans="1:7" ht="18.75" customHeight="1" x14ac:dyDescent="0.25">
      <c r="A68" s="86">
        <v>430</v>
      </c>
      <c r="B68" s="219">
        <v>3.7799999999999999E-3</v>
      </c>
      <c r="C68" s="220">
        <v>2315.3000000000002</v>
      </c>
      <c r="D68" s="220">
        <v>2447.6</v>
      </c>
      <c r="E68" s="210">
        <v>4.8808999999999996</v>
      </c>
      <c r="F68" s="82"/>
      <c r="G68" s="28"/>
    </row>
    <row r="69" spans="1:7" ht="18.75" customHeight="1" x14ac:dyDescent="0.25">
      <c r="A69" s="86">
        <v>440</v>
      </c>
      <c r="B69" s="219">
        <v>4.4120000000000001E-3</v>
      </c>
      <c r="C69" s="220">
        <v>2417.4</v>
      </c>
      <c r="D69" s="220">
        <v>2571.8000000000002</v>
      </c>
      <c r="E69" s="210">
        <v>5.0564</v>
      </c>
      <c r="F69" s="82"/>
      <c r="G69" s="28"/>
    </row>
    <row r="70" spans="1:7" ht="18.75" customHeight="1" x14ac:dyDescent="0.25">
      <c r="A70" s="86">
        <v>450</v>
      </c>
      <c r="B70" s="219">
        <v>4.9572000000000001E-3</v>
      </c>
      <c r="C70" s="220">
        <v>2497.5</v>
      </c>
      <c r="D70" s="220">
        <v>2671</v>
      </c>
      <c r="E70" s="210">
        <v>5.1944999999999997</v>
      </c>
      <c r="F70" s="82"/>
      <c r="G70" s="28"/>
    </row>
    <row r="71" spans="1:7" ht="18.75" customHeight="1" x14ac:dyDescent="0.25">
      <c r="A71" s="86">
        <v>460</v>
      </c>
      <c r="B71" s="219">
        <v>5.4336000000000002E-3</v>
      </c>
      <c r="C71" s="220">
        <v>2563.4</v>
      </c>
      <c r="D71" s="220">
        <v>2753.6</v>
      </c>
      <c r="E71" s="210">
        <v>5.3079999999999998</v>
      </c>
      <c r="F71" s="82"/>
      <c r="G71" s="28"/>
    </row>
    <row r="72" spans="1:7" ht="18.75" customHeight="1" x14ac:dyDescent="0.25">
      <c r="A72" s="86">
        <v>470</v>
      </c>
      <c r="B72" s="219">
        <v>5.8587999999999999E-3</v>
      </c>
      <c r="C72" s="220">
        <v>2619.6999999999998</v>
      </c>
      <c r="D72" s="220">
        <v>2824.8</v>
      </c>
      <c r="E72" s="210">
        <v>5.4046000000000003</v>
      </c>
      <c r="F72" s="82"/>
      <c r="G72" s="28"/>
    </row>
    <row r="73" spans="1:7" ht="18.75" customHeight="1" x14ac:dyDescent="0.25">
      <c r="A73" s="86">
        <v>480</v>
      </c>
      <c r="B73" s="219">
        <v>6.2449999999999997E-3</v>
      </c>
      <c r="C73" s="220">
        <v>2669.5</v>
      </c>
      <c r="D73" s="220">
        <v>2888.1</v>
      </c>
      <c r="E73" s="210">
        <v>5.4890999999999996</v>
      </c>
      <c r="F73" s="82"/>
      <c r="G73" s="28"/>
    </row>
    <row r="74" spans="1:7" ht="18.75" customHeight="1" x14ac:dyDescent="0.25">
      <c r="A74" s="86">
        <v>490</v>
      </c>
      <c r="B74" s="219">
        <v>6.6008999999999998E-3</v>
      </c>
      <c r="C74" s="220">
        <v>2714.3</v>
      </c>
      <c r="D74" s="220">
        <v>2945.3</v>
      </c>
      <c r="E74" s="210">
        <v>5.5646000000000004</v>
      </c>
      <c r="F74" s="82"/>
      <c r="G74" s="28"/>
    </row>
    <row r="75" spans="1:7" ht="18.75" customHeight="1" x14ac:dyDescent="0.25">
      <c r="A75" s="86">
        <v>500</v>
      </c>
      <c r="B75" s="219">
        <v>6.9325000000000003E-3</v>
      </c>
      <c r="C75" s="220">
        <v>2755.3</v>
      </c>
      <c r="D75" s="220">
        <v>2997.9</v>
      </c>
      <c r="E75" s="210">
        <v>5.6330999999999998</v>
      </c>
      <c r="F75" s="82"/>
      <c r="G75" s="28"/>
    </row>
    <row r="76" spans="1:7" ht="18.75" customHeight="1" x14ac:dyDescent="0.25">
      <c r="A76" s="86">
        <v>520</v>
      </c>
      <c r="B76" s="219">
        <v>7.5392000000000002E-3</v>
      </c>
      <c r="C76" s="220">
        <v>2829</v>
      </c>
      <c r="D76" s="220">
        <v>3092.9</v>
      </c>
      <c r="E76" s="210">
        <v>5.7544000000000004</v>
      </c>
      <c r="F76" s="82"/>
      <c r="G76" s="28"/>
    </row>
    <row r="77" spans="1:7" ht="18.75" customHeight="1" x14ac:dyDescent="0.25">
      <c r="A77" s="86">
        <v>540</v>
      </c>
      <c r="B77" s="219">
        <v>8.0893000000000007E-3</v>
      </c>
      <c r="C77" s="220">
        <v>2895</v>
      </c>
      <c r="D77" s="220">
        <v>3178.1</v>
      </c>
      <c r="E77" s="210">
        <v>5.8605</v>
      </c>
      <c r="F77" s="82"/>
      <c r="G77" s="28"/>
    </row>
    <row r="78" spans="1:7" ht="18.75" customHeight="1" x14ac:dyDescent="0.25">
      <c r="A78" s="86">
        <v>560</v>
      </c>
      <c r="B78" s="219">
        <v>8.5973999999999998E-3</v>
      </c>
      <c r="C78" s="220">
        <v>2955.5</v>
      </c>
      <c r="D78" s="220">
        <v>3256.4</v>
      </c>
      <c r="E78" s="210">
        <v>5.9555999999999996</v>
      </c>
      <c r="F78" s="82"/>
      <c r="G78" s="28"/>
    </row>
    <row r="79" spans="1:7" ht="18.75" customHeight="1" x14ac:dyDescent="0.25">
      <c r="A79" s="86">
        <v>580</v>
      </c>
      <c r="B79" s="219">
        <v>9.0732E-3</v>
      </c>
      <c r="C79" s="220">
        <v>3012</v>
      </c>
      <c r="D79" s="220">
        <v>3329.6</v>
      </c>
      <c r="E79" s="210">
        <v>6.0425000000000004</v>
      </c>
      <c r="F79" s="82"/>
      <c r="G79" s="28"/>
    </row>
    <row r="80" spans="1:7" ht="18.75" customHeight="1" x14ac:dyDescent="0.25">
      <c r="A80" s="86">
        <v>600</v>
      </c>
      <c r="B80" s="219">
        <v>9.5233999999999996E-3</v>
      </c>
      <c r="C80" s="220">
        <v>3065.6</v>
      </c>
      <c r="D80" s="220">
        <v>3398.9</v>
      </c>
      <c r="E80" s="210">
        <v>6.1227999999999998</v>
      </c>
      <c r="F80" s="82"/>
      <c r="G80" s="28"/>
    </row>
    <row r="81" spans="1:7" ht="18.75" customHeight="1" x14ac:dyDescent="0.25">
      <c r="A81" s="86">
        <v>620</v>
      </c>
      <c r="B81" s="219">
        <v>9.9527000000000001E-3</v>
      </c>
      <c r="C81" s="220">
        <v>3117</v>
      </c>
      <c r="D81" s="220">
        <v>3465.3</v>
      </c>
      <c r="E81" s="210">
        <v>6.1980000000000004</v>
      </c>
      <c r="F81" s="82"/>
      <c r="G81" s="28"/>
    </row>
    <row r="82" spans="1:7" ht="18.75" customHeight="1" x14ac:dyDescent="0.25">
      <c r="A82" s="86">
        <v>640</v>
      </c>
      <c r="B82" s="221">
        <v>1.0364999999999999E-2</v>
      </c>
      <c r="C82" s="220">
        <v>3166.6</v>
      </c>
      <c r="D82" s="220">
        <v>3529.4</v>
      </c>
      <c r="E82" s="210">
        <v>6.2689000000000004</v>
      </c>
      <c r="F82" s="82"/>
      <c r="G82" s="28"/>
    </row>
    <row r="83" spans="1:7" ht="18.75" customHeight="1" x14ac:dyDescent="0.25">
      <c r="A83" s="86">
        <v>660</v>
      </c>
      <c r="B83" s="221">
        <v>1.0762000000000001E-2</v>
      </c>
      <c r="C83" s="220">
        <v>3214.8</v>
      </c>
      <c r="D83" s="220">
        <v>3591.5</v>
      </c>
      <c r="E83" s="210">
        <v>6.3362999999999996</v>
      </c>
      <c r="F83" s="82"/>
      <c r="G83" s="28"/>
    </row>
    <row r="84" spans="1:7" ht="18.75" customHeight="1" x14ac:dyDescent="0.25">
      <c r="A84" s="86">
        <v>680</v>
      </c>
      <c r="B84" s="221">
        <v>1.1148E-2</v>
      </c>
      <c r="C84" s="220">
        <v>3262</v>
      </c>
      <c r="D84" s="220">
        <v>3652.2</v>
      </c>
      <c r="E84" s="210">
        <v>6.4005999999999998</v>
      </c>
      <c r="F84" s="82"/>
      <c r="G84" s="28"/>
    </row>
    <row r="85" spans="1:7" ht="18.75" customHeight="1" x14ac:dyDescent="0.25">
      <c r="A85" s="86">
        <v>700</v>
      </c>
      <c r="B85" s="221">
        <v>1.1523E-2</v>
      </c>
      <c r="C85" s="220">
        <v>3308.3</v>
      </c>
      <c r="D85" s="220">
        <v>3711.6</v>
      </c>
      <c r="E85" s="210">
        <v>6.4622000000000002</v>
      </c>
      <c r="F85" s="82"/>
      <c r="G85" s="28"/>
    </row>
    <row r="86" spans="1:7" ht="18.75" customHeight="1" x14ac:dyDescent="0.25">
      <c r="A86" s="86">
        <v>720</v>
      </c>
      <c r="B86" s="221">
        <v>1.1887999999999999E-2</v>
      </c>
      <c r="C86" s="220">
        <v>3353.8</v>
      </c>
      <c r="D86" s="220">
        <v>3769.9</v>
      </c>
      <c r="E86" s="210">
        <v>6.5216000000000003</v>
      </c>
      <c r="F86" s="82"/>
      <c r="G86" s="28"/>
    </row>
    <row r="87" spans="1:7" ht="18.75" customHeight="1" x14ac:dyDescent="0.25">
      <c r="A87" s="86">
        <v>740</v>
      </c>
      <c r="B87" s="221">
        <v>1.2246E-2</v>
      </c>
      <c r="C87" s="220">
        <v>3398.8</v>
      </c>
      <c r="D87" s="220">
        <v>3827.4</v>
      </c>
      <c r="E87" s="210">
        <v>6.5789</v>
      </c>
      <c r="F87" s="82"/>
      <c r="G87" s="28"/>
    </row>
    <row r="88" spans="1:7" ht="18.75" customHeight="1" x14ac:dyDescent="0.25">
      <c r="A88" s="86">
        <v>760</v>
      </c>
      <c r="B88" s="221">
        <v>1.2596E-2</v>
      </c>
      <c r="C88" s="220">
        <v>3443.4</v>
      </c>
      <c r="D88" s="220">
        <v>3884.3</v>
      </c>
      <c r="E88" s="210">
        <v>6.6345000000000001</v>
      </c>
      <c r="F88" s="82"/>
      <c r="G88" s="28"/>
    </row>
    <row r="89" spans="1:7" ht="18.75" customHeight="1" x14ac:dyDescent="0.25">
      <c r="A89" s="86">
        <v>780</v>
      </c>
      <c r="B89" s="221">
        <v>1.294E-2</v>
      </c>
      <c r="C89" s="220">
        <v>3487.6</v>
      </c>
      <c r="D89" s="220">
        <v>3940.5</v>
      </c>
      <c r="E89" s="210">
        <v>6.6883999999999997</v>
      </c>
      <c r="F89" s="82"/>
      <c r="G89" s="28"/>
    </row>
    <row r="90" spans="1:7" ht="18.75" customHeight="1" x14ac:dyDescent="0.25">
      <c r="A90" s="86">
        <v>800</v>
      </c>
      <c r="B90" s="221">
        <v>1.3278E-2</v>
      </c>
      <c r="C90" s="220">
        <v>3531.6</v>
      </c>
      <c r="D90" s="220">
        <v>3996.3</v>
      </c>
      <c r="E90" s="210">
        <v>6.7408999999999999</v>
      </c>
      <c r="F90" s="82"/>
      <c r="G90" s="28"/>
    </row>
    <row r="91" spans="1:7" ht="18.75" customHeight="1" x14ac:dyDescent="0.25">
      <c r="A91" s="86">
        <v>820</v>
      </c>
      <c r="B91" s="221">
        <v>1.3612000000000001E-2</v>
      </c>
      <c r="C91" s="220">
        <v>3575.3</v>
      </c>
      <c r="D91" s="220">
        <v>4051.7</v>
      </c>
      <c r="E91" s="210">
        <v>6.7919999999999998</v>
      </c>
      <c r="F91" s="82"/>
      <c r="G91" s="28"/>
    </row>
    <row r="92" spans="1:7" ht="18.75" customHeight="1" x14ac:dyDescent="0.25">
      <c r="A92" s="86">
        <v>840</v>
      </c>
      <c r="B92" s="221">
        <v>1.3941E-2</v>
      </c>
      <c r="C92" s="220">
        <v>3618.8</v>
      </c>
      <c r="D92" s="220">
        <v>4106.7</v>
      </c>
      <c r="E92" s="210">
        <v>6.8418999999999999</v>
      </c>
      <c r="F92" s="82"/>
      <c r="G92" s="28"/>
    </row>
    <row r="93" spans="1:7" ht="18.75" customHeight="1" x14ac:dyDescent="0.25">
      <c r="A93" s="86">
        <v>860</v>
      </c>
      <c r="B93" s="221">
        <v>1.4265E-2</v>
      </c>
      <c r="C93" s="220">
        <v>3662.2</v>
      </c>
      <c r="D93" s="220">
        <v>4161.5</v>
      </c>
      <c r="E93" s="210">
        <v>6.8906999999999998</v>
      </c>
      <c r="F93" s="82"/>
      <c r="G93" s="28"/>
    </row>
    <row r="94" spans="1:7" ht="18.75" customHeight="1" x14ac:dyDescent="0.25">
      <c r="A94" s="86">
        <v>880</v>
      </c>
      <c r="B94" s="221">
        <v>1.4586E-2</v>
      </c>
      <c r="C94" s="220">
        <v>3705.6</v>
      </c>
      <c r="D94" s="220">
        <v>4216.1000000000004</v>
      </c>
      <c r="E94" s="210">
        <v>6.9385000000000003</v>
      </c>
      <c r="F94" s="82"/>
      <c r="G94" s="28"/>
    </row>
    <row r="95" spans="1:7" ht="18.75" customHeight="1" x14ac:dyDescent="0.25">
      <c r="A95" s="86">
        <v>900</v>
      </c>
      <c r="B95" s="221">
        <v>1.4904000000000001E-2</v>
      </c>
      <c r="C95" s="220">
        <v>3749</v>
      </c>
      <c r="D95" s="220">
        <v>4270.6000000000004</v>
      </c>
      <c r="E95" s="210">
        <v>6.9852999999999996</v>
      </c>
      <c r="F95" s="82"/>
      <c r="G95" s="28"/>
    </row>
    <row r="96" spans="1:7" ht="18.75" customHeight="1" x14ac:dyDescent="0.25">
      <c r="A96" s="86">
        <v>920</v>
      </c>
      <c r="B96" s="221">
        <v>1.5218000000000001E-2</v>
      </c>
      <c r="C96" s="220">
        <v>3792.3</v>
      </c>
      <c r="D96" s="220">
        <v>4324.8999999999996</v>
      </c>
      <c r="E96" s="210">
        <v>7.0312000000000001</v>
      </c>
      <c r="F96" s="82"/>
      <c r="G96" s="28"/>
    </row>
    <row r="97" spans="1:7" ht="18.75" customHeight="1" x14ac:dyDescent="0.25">
      <c r="A97" s="86">
        <v>940</v>
      </c>
      <c r="B97" s="221">
        <v>1.553E-2</v>
      </c>
      <c r="C97" s="220">
        <v>3835.6</v>
      </c>
      <c r="D97" s="220">
        <v>4379.1000000000004</v>
      </c>
      <c r="E97" s="210">
        <v>7.0762999999999998</v>
      </c>
      <c r="F97" s="82"/>
      <c r="G97" s="28"/>
    </row>
    <row r="98" spans="1:7" ht="18.75" customHeight="1" x14ac:dyDescent="0.25">
      <c r="A98" s="86">
        <v>960</v>
      </c>
      <c r="B98" s="221">
        <v>1.5838999999999999E-2</v>
      </c>
      <c r="C98" s="220">
        <v>3878.9</v>
      </c>
      <c r="D98" s="220">
        <v>4433.3</v>
      </c>
      <c r="E98" s="210">
        <v>7.1204999999999998</v>
      </c>
      <c r="F98" s="82"/>
      <c r="G98" s="28"/>
    </row>
    <row r="99" spans="1:7" ht="18.75" customHeight="1" x14ac:dyDescent="0.25">
      <c r="A99" s="86">
        <v>980</v>
      </c>
      <c r="B99" s="221">
        <v>1.6145E-2</v>
      </c>
      <c r="C99" s="220">
        <v>3922.3</v>
      </c>
      <c r="D99" s="220">
        <v>4487.3999999999996</v>
      </c>
      <c r="E99" s="210">
        <v>7.1641000000000004</v>
      </c>
      <c r="F99" s="82"/>
      <c r="G99" s="28"/>
    </row>
    <row r="100" spans="1:7" ht="18.75" customHeight="1" x14ac:dyDescent="0.25">
      <c r="A100" s="86">
        <v>1000</v>
      </c>
      <c r="B100" s="221">
        <v>1.6449999999999999E-2</v>
      </c>
      <c r="C100" s="220">
        <v>3965.8</v>
      </c>
      <c r="D100" s="220">
        <v>4541.5</v>
      </c>
      <c r="E100" s="210">
        <v>7.2069000000000001</v>
      </c>
      <c r="F100" s="82"/>
      <c r="G100" s="28"/>
    </row>
  </sheetData>
  <mergeCells count="1">
    <mergeCell ref="A1:G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G100"/>
  <sheetViews>
    <sheetView topLeftCell="A43" workbookViewId="0">
      <selection activeCell="G48" sqref="G48"/>
    </sheetView>
  </sheetViews>
  <sheetFormatPr defaultRowHeight="13.2" x14ac:dyDescent="0.25"/>
  <cols>
    <col min="1" max="1" width="8.109375" customWidth="1"/>
    <col min="2" max="2" width="13.5546875" customWidth="1"/>
    <col min="3" max="3" width="8.77734375" customWidth="1"/>
    <col min="4" max="4" width="8.109375" customWidth="1"/>
    <col min="5" max="5" width="9.33203125" customWidth="1"/>
    <col min="6" max="6" width="0.109375" customWidth="1"/>
    <col min="7" max="7" width="78.88671875" customWidth="1"/>
  </cols>
  <sheetData>
    <row r="1" spans="1:7" ht="18.75" customHeight="1" x14ac:dyDescent="0.25">
      <c r="A1" s="193" t="s">
        <v>104</v>
      </c>
      <c r="B1" s="193"/>
      <c r="C1" s="193"/>
      <c r="D1" s="193"/>
      <c r="E1" s="193"/>
      <c r="F1" s="193"/>
      <c r="G1" s="193"/>
    </row>
    <row r="2" spans="1:7" ht="18.75" customHeight="1" x14ac:dyDescent="0.25">
      <c r="A2" s="89" t="s">
        <v>126</v>
      </c>
      <c r="B2" s="90">
        <v>40000</v>
      </c>
      <c r="C2" s="71"/>
      <c r="D2" s="71"/>
      <c r="E2" s="71"/>
      <c r="F2" s="71"/>
      <c r="G2" s="71"/>
    </row>
    <row r="3" spans="1:7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28"/>
      <c r="G3" s="28"/>
    </row>
    <row r="4" spans="1:7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28"/>
      <c r="G4" s="28"/>
    </row>
    <row r="5" spans="1:7" ht="18.75" customHeight="1" x14ac:dyDescent="0.25">
      <c r="A5" s="87">
        <v>0</v>
      </c>
      <c r="B5" s="79">
        <v>9.8112999999999998E-4</v>
      </c>
      <c r="C5" s="80">
        <v>0.3</v>
      </c>
      <c r="D5" s="80">
        <v>39.549999999999997</v>
      </c>
      <c r="E5" s="81">
        <v>-2.4000000000000001E-4</v>
      </c>
      <c r="F5" s="28"/>
      <c r="G5" s="28"/>
    </row>
    <row r="6" spans="1:7" ht="18.75" customHeight="1" x14ac:dyDescent="0.25">
      <c r="A6" s="87">
        <v>5</v>
      </c>
      <c r="B6" s="79">
        <v>9.8160000000000001E-4</v>
      </c>
      <c r="C6" s="80">
        <v>20.59</v>
      </c>
      <c r="D6" s="80">
        <v>59.85</v>
      </c>
      <c r="E6" s="81">
        <v>7.3400000000000007E-2</v>
      </c>
      <c r="F6" s="28"/>
      <c r="G6" s="28"/>
    </row>
    <row r="7" spans="1:7" ht="18.75" customHeight="1" x14ac:dyDescent="0.25">
      <c r="A7" s="87">
        <v>10</v>
      </c>
      <c r="B7" s="79">
        <v>9.8233999999999995E-4</v>
      </c>
      <c r="C7" s="80">
        <v>40.89</v>
      </c>
      <c r="D7" s="80">
        <v>80.180000000000007</v>
      </c>
      <c r="E7" s="81">
        <v>0.14582000000000001</v>
      </c>
      <c r="F7" s="28"/>
      <c r="G7" s="28"/>
    </row>
    <row r="8" spans="1:7" ht="18.75" customHeight="1" x14ac:dyDescent="0.25">
      <c r="A8" s="87">
        <v>15</v>
      </c>
      <c r="B8" s="79">
        <v>9.8331000000000004E-4</v>
      </c>
      <c r="C8" s="80">
        <v>61.2</v>
      </c>
      <c r="D8" s="80">
        <v>100.53</v>
      </c>
      <c r="E8" s="81">
        <v>0.21707000000000001</v>
      </c>
      <c r="F8" s="28"/>
      <c r="G8" s="28"/>
    </row>
    <row r="9" spans="1:7" ht="18.75" customHeight="1" x14ac:dyDescent="0.25">
      <c r="A9" s="87">
        <v>20</v>
      </c>
      <c r="B9" s="79">
        <v>9.8449999999999992E-4</v>
      </c>
      <c r="C9" s="80">
        <v>81.52</v>
      </c>
      <c r="D9" s="80">
        <v>120.9</v>
      </c>
      <c r="E9" s="81">
        <v>0.28716000000000003</v>
      </c>
      <c r="F9" s="28"/>
      <c r="G9" s="28"/>
    </row>
    <row r="10" spans="1:7" ht="18.75" customHeight="1" x14ac:dyDescent="0.25">
      <c r="A10" s="87">
        <v>25</v>
      </c>
      <c r="B10" s="79">
        <v>9.8587999999999996E-4</v>
      </c>
      <c r="C10" s="80">
        <v>101.85</v>
      </c>
      <c r="D10" s="80">
        <v>141.29</v>
      </c>
      <c r="E10" s="81">
        <v>0.35615000000000002</v>
      </c>
      <c r="F10" s="28"/>
      <c r="G10" s="28"/>
    </row>
    <row r="11" spans="1:7" ht="18.75" customHeight="1" x14ac:dyDescent="0.25">
      <c r="A11" s="87">
        <v>30</v>
      </c>
      <c r="B11" s="79">
        <v>9.8744000000000002E-4</v>
      </c>
      <c r="C11" s="80">
        <v>122.21</v>
      </c>
      <c r="D11" s="80">
        <v>161.71</v>
      </c>
      <c r="E11" s="81">
        <v>0.42404999999999998</v>
      </c>
      <c r="F11" s="28"/>
      <c r="G11" s="28"/>
    </row>
    <row r="12" spans="1:7" ht="18.75" customHeight="1" x14ac:dyDescent="0.25">
      <c r="A12" s="87">
        <v>35</v>
      </c>
      <c r="B12" s="79">
        <v>9.8916999999999994E-4</v>
      </c>
      <c r="C12" s="80">
        <v>142.58000000000001</v>
      </c>
      <c r="D12" s="80">
        <v>182.15</v>
      </c>
      <c r="E12" s="81">
        <v>0.49091000000000001</v>
      </c>
      <c r="F12" s="28"/>
      <c r="G12" s="28"/>
    </row>
    <row r="13" spans="1:7" ht="18.75" customHeight="1" x14ac:dyDescent="0.25">
      <c r="A13" s="87">
        <v>40</v>
      </c>
      <c r="B13" s="79">
        <v>9.9106999999999993E-4</v>
      </c>
      <c r="C13" s="80">
        <v>162.96</v>
      </c>
      <c r="D13" s="80">
        <v>202.6</v>
      </c>
      <c r="E13" s="81">
        <v>0.55676000000000003</v>
      </c>
      <c r="F13" s="28"/>
      <c r="G13" s="28"/>
    </row>
    <row r="14" spans="1:7" ht="18.75" customHeight="1" x14ac:dyDescent="0.25">
      <c r="A14" s="87">
        <v>45</v>
      </c>
      <c r="B14" s="79">
        <v>9.9310999999999996E-4</v>
      </c>
      <c r="C14" s="80">
        <v>183.35</v>
      </c>
      <c r="D14" s="80">
        <v>223.07</v>
      </c>
      <c r="E14" s="81">
        <v>0.62161</v>
      </c>
      <c r="F14" s="28"/>
      <c r="G14" s="28"/>
    </row>
    <row r="15" spans="1:7" ht="18.75" customHeight="1" x14ac:dyDescent="0.25">
      <c r="A15" s="87">
        <v>50</v>
      </c>
      <c r="B15" s="79">
        <v>9.953099999999999E-4</v>
      </c>
      <c r="C15" s="80">
        <v>203.75</v>
      </c>
      <c r="D15" s="80">
        <v>243.56</v>
      </c>
      <c r="E15" s="81">
        <v>0.68550999999999995</v>
      </c>
      <c r="F15" s="28"/>
      <c r="G15" s="28"/>
    </row>
    <row r="16" spans="1:7" ht="18.75" customHeight="1" x14ac:dyDescent="0.25">
      <c r="A16" s="87">
        <v>55</v>
      </c>
      <c r="B16" s="79">
        <v>9.9763999999999994E-4</v>
      </c>
      <c r="C16" s="80">
        <v>224.15</v>
      </c>
      <c r="D16" s="80">
        <v>264.06</v>
      </c>
      <c r="E16" s="81">
        <v>0.74848000000000003</v>
      </c>
      <c r="F16" s="28"/>
      <c r="G16" s="28"/>
    </row>
    <row r="17" spans="1:7" ht="18.75" customHeight="1" x14ac:dyDescent="0.25">
      <c r="A17" s="87">
        <v>60</v>
      </c>
      <c r="B17" s="79">
        <v>1.00011E-3</v>
      </c>
      <c r="C17" s="80">
        <v>244.58</v>
      </c>
      <c r="D17" s="80">
        <v>284.58</v>
      </c>
      <c r="E17" s="81">
        <v>0.81054000000000004</v>
      </c>
      <c r="F17" s="28"/>
      <c r="G17" s="28"/>
    </row>
    <row r="18" spans="1:7" ht="18.75" customHeight="1" x14ac:dyDescent="0.25">
      <c r="A18" s="87">
        <v>65</v>
      </c>
      <c r="B18" s="79">
        <v>1.00271E-3</v>
      </c>
      <c r="C18" s="80">
        <v>265.01</v>
      </c>
      <c r="D18" s="80">
        <v>305.12</v>
      </c>
      <c r="E18" s="81">
        <v>0.87172000000000005</v>
      </c>
      <c r="F18" s="28"/>
      <c r="G18" s="28"/>
    </row>
    <row r="19" spans="1:7" ht="18.75" customHeight="1" x14ac:dyDescent="0.25">
      <c r="A19" s="87">
        <v>70</v>
      </c>
      <c r="B19" s="79">
        <v>1.00545E-3</v>
      </c>
      <c r="C19" s="80">
        <v>285.45</v>
      </c>
      <c r="D19" s="80">
        <v>325.67</v>
      </c>
      <c r="E19" s="81">
        <v>0.93205000000000005</v>
      </c>
      <c r="F19" s="28"/>
      <c r="G19" s="28"/>
    </row>
    <row r="20" spans="1:7" ht="18.75" customHeight="1" x14ac:dyDescent="0.25">
      <c r="A20" s="87">
        <v>75</v>
      </c>
      <c r="B20" s="79">
        <v>1.0083099999999999E-3</v>
      </c>
      <c r="C20" s="80">
        <v>305.91000000000003</v>
      </c>
      <c r="D20" s="80">
        <v>346.24</v>
      </c>
      <c r="E20" s="81">
        <v>0.99156</v>
      </c>
      <c r="F20" s="28"/>
      <c r="G20" s="28"/>
    </row>
    <row r="21" spans="1:7" ht="18.75" customHeight="1" x14ac:dyDescent="0.25">
      <c r="A21" s="87">
        <v>80</v>
      </c>
      <c r="B21" s="79">
        <v>1.01129E-3</v>
      </c>
      <c r="C21" s="80">
        <v>326.37</v>
      </c>
      <c r="D21" s="80">
        <v>366.82</v>
      </c>
      <c r="E21" s="82">
        <v>1.0503</v>
      </c>
      <c r="F21" s="28"/>
      <c r="G21" s="28"/>
    </row>
    <row r="22" spans="1:7" ht="18.75" customHeight="1" x14ac:dyDescent="0.25">
      <c r="A22" s="87">
        <v>85</v>
      </c>
      <c r="B22" s="79">
        <v>1.0144100000000001E-3</v>
      </c>
      <c r="C22" s="80">
        <v>346.84</v>
      </c>
      <c r="D22" s="80">
        <v>387.42</v>
      </c>
      <c r="E22" s="82">
        <v>1.1082000000000001</v>
      </c>
      <c r="F22" s="28"/>
      <c r="G22" s="28"/>
    </row>
    <row r="23" spans="1:7" ht="18.75" customHeight="1" x14ac:dyDescent="0.25">
      <c r="A23" s="87">
        <v>90</v>
      </c>
      <c r="B23" s="79">
        <v>1.01764E-3</v>
      </c>
      <c r="C23" s="80">
        <v>367.33</v>
      </c>
      <c r="D23" s="80">
        <v>408.04</v>
      </c>
      <c r="E23" s="82">
        <v>1.1654</v>
      </c>
      <c r="F23" s="28"/>
      <c r="G23" s="28"/>
    </row>
    <row r="24" spans="1:7" ht="18.75" customHeight="1" x14ac:dyDescent="0.25">
      <c r="A24" s="87">
        <v>95</v>
      </c>
      <c r="B24" s="79">
        <v>1.021E-3</v>
      </c>
      <c r="C24" s="80">
        <v>387.84</v>
      </c>
      <c r="D24" s="80">
        <v>428.68</v>
      </c>
      <c r="E24" s="82">
        <v>1.2218</v>
      </c>
      <c r="F24" s="28"/>
      <c r="G24" s="28"/>
    </row>
    <row r="25" spans="1:7" ht="18.75" customHeight="1" x14ac:dyDescent="0.25">
      <c r="A25" s="87">
        <v>100</v>
      </c>
      <c r="B25" s="79">
        <v>1.0244900000000001E-3</v>
      </c>
      <c r="C25" s="80">
        <v>408.35</v>
      </c>
      <c r="D25" s="80">
        <v>449.33</v>
      </c>
      <c r="E25" s="82">
        <v>1.2775000000000001</v>
      </c>
      <c r="F25" s="28"/>
      <c r="G25" s="28"/>
    </row>
    <row r="26" spans="1:7" ht="18.75" customHeight="1" x14ac:dyDescent="0.25">
      <c r="A26" s="87">
        <v>105</v>
      </c>
      <c r="B26" s="79">
        <v>1.02809E-3</v>
      </c>
      <c r="C26" s="80">
        <v>428.89</v>
      </c>
      <c r="D26" s="80">
        <v>470.01</v>
      </c>
      <c r="E26" s="82">
        <v>1.3326</v>
      </c>
      <c r="F26" s="28"/>
      <c r="G26" s="28"/>
    </row>
    <row r="27" spans="1:7" ht="18.75" customHeight="1" x14ac:dyDescent="0.25">
      <c r="A27" s="87">
        <v>110</v>
      </c>
      <c r="B27" s="79">
        <v>1.0318199999999999E-3</v>
      </c>
      <c r="C27" s="80">
        <v>449.45</v>
      </c>
      <c r="D27" s="80">
        <v>490.72</v>
      </c>
      <c r="E27" s="82">
        <v>1.387</v>
      </c>
      <c r="F27" s="28"/>
      <c r="G27" s="28"/>
    </row>
    <row r="28" spans="1:7" ht="18.75" customHeight="1" x14ac:dyDescent="0.25">
      <c r="A28" s="87">
        <v>115</v>
      </c>
      <c r="B28" s="79">
        <v>1.03568E-3</v>
      </c>
      <c r="C28" s="80">
        <v>470.01</v>
      </c>
      <c r="D28" s="80">
        <v>511.44</v>
      </c>
      <c r="E28" s="82">
        <v>1.4407000000000001</v>
      </c>
      <c r="F28" s="28"/>
      <c r="G28" s="28"/>
    </row>
    <row r="29" spans="1:7" ht="18.75" customHeight="1" x14ac:dyDescent="0.25">
      <c r="A29" s="87">
        <v>120</v>
      </c>
      <c r="B29" s="79">
        <v>1.03965E-3</v>
      </c>
      <c r="C29" s="80">
        <v>490.61</v>
      </c>
      <c r="D29" s="80">
        <v>532.20000000000005</v>
      </c>
      <c r="E29" s="82">
        <v>1.4938</v>
      </c>
      <c r="F29" s="28"/>
      <c r="G29" s="28"/>
    </row>
    <row r="30" spans="1:7" ht="18.75" customHeight="1" x14ac:dyDescent="0.25">
      <c r="A30" s="87">
        <v>125</v>
      </c>
      <c r="B30" s="79">
        <v>1.0437599999999999E-3</v>
      </c>
      <c r="C30" s="80">
        <v>511.23</v>
      </c>
      <c r="D30" s="80">
        <v>552.98</v>
      </c>
      <c r="E30" s="82">
        <v>1.5464</v>
      </c>
      <c r="F30" s="28"/>
      <c r="G30" s="28"/>
    </row>
    <row r="31" spans="1:7" ht="18.75" customHeight="1" x14ac:dyDescent="0.25">
      <c r="A31" s="87">
        <v>130</v>
      </c>
      <c r="B31" s="79">
        <v>1.0479899999999999E-3</v>
      </c>
      <c r="C31" s="80">
        <v>531.87</v>
      </c>
      <c r="D31" s="80">
        <v>573.79</v>
      </c>
      <c r="E31" s="82">
        <v>1.5983000000000001</v>
      </c>
      <c r="F31" s="28"/>
      <c r="G31" s="28"/>
    </row>
    <row r="32" spans="1:7" ht="18.75" customHeight="1" x14ac:dyDescent="0.25">
      <c r="A32" s="87">
        <v>135</v>
      </c>
      <c r="B32" s="79">
        <v>1.05236E-3</v>
      </c>
      <c r="C32" s="80">
        <v>552.54999999999995</v>
      </c>
      <c r="D32" s="80">
        <v>594.64</v>
      </c>
      <c r="E32" s="82">
        <v>1.6496999999999999</v>
      </c>
      <c r="F32" s="28"/>
      <c r="G32" s="28"/>
    </row>
    <row r="33" spans="1:7" ht="18.75" customHeight="1" x14ac:dyDescent="0.25">
      <c r="A33" s="87">
        <v>140</v>
      </c>
      <c r="B33" s="79">
        <v>1.05685E-3</v>
      </c>
      <c r="C33" s="80">
        <v>573.26</v>
      </c>
      <c r="D33" s="80">
        <v>615.53</v>
      </c>
      <c r="E33" s="82">
        <v>1.7005999999999999</v>
      </c>
      <c r="F33" s="28"/>
      <c r="G33" s="28"/>
    </row>
    <row r="34" spans="1:7" ht="18.75" customHeight="1" x14ac:dyDescent="0.25">
      <c r="A34" s="87">
        <v>145</v>
      </c>
      <c r="B34" s="79">
        <v>1.06149E-3</v>
      </c>
      <c r="C34" s="80">
        <v>593.99</v>
      </c>
      <c r="D34" s="80">
        <v>636.45000000000005</v>
      </c>
      <c r="E34" s="82">
        <v>1.7508999999999999</v>
      </c>
      <c r="F34" s="28"/>
      <c r="G34" s="28"/>
    </row>
    <row r="35" spans="1:7" ht="18.75" customHeight="1" x14ac:dyDescent="0.25">
      <c r="A35" s="87">
        <v>150</v>
      </c>
      <c r="B35" s="79">
        <v>1.0662600000000001E-3</v>
      </c>
      <c r="C35" s="80">
        <v>614.77</v>
      </c>
      <c r="D35" s="80">
        <v>657.42</v>
      </c>
      <c r="E35" s="82">
        <v>1.8008</v>
      </c>
      <c r="F35" s="28"/>
      <c r="G35" s="28"/>
    </row>
    <row r="36" spans="1:7" ht="18.75" customHeight="1" x14ac:dyDescent="0.25">
      <c r="A36" s="87">
        <v>155</v>
      </c>
      <c r="B36" s="79">
        <v>1.07117E-3</v>
      </c>
      <c r="C36" s="80">
        <v>635.57000000000005</v>
      </c>
      <c r="D36" s="80">
        <v>678.42</v>
      </c>
      <c r="E36" s="82">
        <v>1.8501000000000001</v>
      </c>
      <c r="F36" s="28"/>
      <c r="G36" s="28"/>
    </row>
    <row r="37" spans="1:7" ht="18.75" customHeight="1" x14ac:dyDescent="0.25">
      <c r="A37" s="87">
        <v>160</v>
      </c>
      <c r="B37" s="79">
        <v>1.0762199999999999E-3</v>
      </c>
      <c r="C37" s="80">
        <v>656.43</v>
      </c>
      <c r="D37" s="80">
        <v>699.48</v>
      </c>
      <c r="E37" s="82">
        <v>1.899</v>
      </c>
      <c r="F37" s="28"/>
      <c r="G37" s="28"/>
    </row>
    <row r="38" spans="1:7" ht="18.75" customHeight="1" x14ac:dyDescent="0.25">
      <c r="A38" s="87">
        <v>165</v>
      </c>
      <c r="B38" s="79">
        <v>1.08142E-3</v>
      </c>
      <c r="C38" s="80">
        <v>677.32</v>
      </c>
      <c r="D38" s="80">
        <v>720.58</v>
      </c>
      <c r="E38" s="82">
        <v>1.9474</v>
      </c>
      <c r="F38" s="28"/>
      <c r="G38" s="28"/>
    </row>
    <row r="39" spans="1:7" ht="18.75" customHeight="1" x14ac:dyDescent="0.25">
      <c r="A39" s="87">
        <v>170</v>
      </c>
      <c r="B39" s="79">
        <v>1.0867800000000001E-3</v>
      </c>
      <c r="C39" s="80">
        <v>698.27</v>
      </c>
      <c r="D39" s="80">
        <v>741.74</v>
      </c>
      <c r="E39" s="82">
        <v>1.9955000000000001</v>
      </c>
      <c r="F39" s="28"/>
      <c r="G39" s="28"/>
    </row>
    <row r="40" spans="1:7" ht="18.75" customHeight="1" x14ac:dyDescent="0.25">
      <c r="A40" s="87">
        <v>175</v>
      </c>
      <c r="B40" s="79">
        <v>1.0922900000000001E-3</v>
      </c>
      <c r="C40" s="80">
        <v>719.27</v>
      </c>
      <c r="D40" s="80">
        <v>762.96</v>
      </c>
      <c r="E40" s="82">
        <v>2.0430999999999999</v>
      </c>
      <c r="F40" s="28"/>
      <c r="G40" s="28"/>
    </row>
    <row r="41" spans="1:7" ht="18.75" customHeight="1" x14ac:dyDescent="0.25">
      <c r="A41" s="87">
        <v>180</v>
      </c>
      <c r="B41" s="79">
        <v>1.09797E-3</v>
      </c>
      <c r="C41" s="80">
        <v>740.31</v>
      </c>
      <c r="D41" s="80">
        <v>784.23</v>
      </c>
      <c r="E41" s="82">
        <v>2.0903</v>
      </c>
      <c r="F41" s="28"/>
      <c r="G41" s="28"/>
    </row>
    <row r="42" spans="1:7" ht="18.75" customHeight="1" x14ac:dyDescent="0.25">
      <c r="A42" s="87">
        <v>185</v>
      </c>
      <c r="B42" s="79">
        <v>1.10381E-3</v>
      </c>
      <c r="C42" s="80">
        <v>761.42</v>
      </c>
      <c r="D42" s="80">
        <v>805.57</v>
      </c>
      <c r="E42" s="82">
        <v>2.1371000000000002</v>
      </c>
      <c r="F42" s="28"/>
      <c r="G42" s="28"/>
    </row>
    <row r="43" spans="1:7" ht="18.75" customHeight="1" x14ac:dyDescent="0.25">
      <c r="A43" s="87">
        <v>190</v>
      </c>
      <c r="B43" s="79">
        <v>1.10983E-3</v>
      </c>
      <c r="C43" s="80">
        <v>782.58</v>
      </c>
      <c r="D43" s="80">
        <v>826.97</v>
      </c>
      <c r="E43" s="82">
        <v>2.1836000000000002</v>
      </c>
      <c r="F43" s="28"/>
      <c r="G43" s="28"/>
    </row>
    <row r="44" spans="1:7" ht="18.75" customHeight="1" x14ac:dyDescent="0.25">
      <c r="A44" s="87">
        <v>195</v>
      </c>
      <c r="B44" s="79">
        <v>1.1160300000000001E-3</v>
      </c>
      <c r="C44" s="80">
        <v>803.81</v>
      </c>
      <c r="D44" s="80">
        <v>848.45</v>
      </c>
      <c r="E44" s="82">
        <v>2.2296999999999998</v>
      </c>
      <c r="F44" s="28"/>
      <c r="G44" s="28"/>
    </row>
    <row r="45" spans="1:7" ht="18.75" customHeight="1" x14ac:dyDescent="0.25">
      <c r="A45" s="87">
        <v>200</v>
      </c>
      <c r="B45" s="79">
        <v>1.1224099999999999E-3</v>
      </c>
      <c r="C45" s="80">
        <v>825.1</v>
      </c>
      <c r="D45" s="80">
        <v>870</v>
      </c>
      <c r="E45" s="82">
        <v>2.2755000000000001</v>
      </c>
      <c r="F45" s="28"/>
      <c r="G45" s="28"/>
    </row>
    <row r="46" spans="1:7" ht="18.75" customHeight="1" x14ac:dyDescent="0.25">
      <c r="A46" s="87">
        <v>210</v>
      </c>
      <c r="B46" s="79">
        <v>1.1357800000000001E-3</v>
      </c>
      <c r="C46" s="80">
        <v>867.91</v>
      </c>
      <c r="D46" s="80">
        <v>913.34</v>
      </c>
      <c r="E46" s="82">
        <v>2.3660999999999999</v>
      </c>
      <c r="F46" s="28"/>
      <c r="G46" s="28"/>
    </row>
    <row r="47" spans="1:7" ht="18.75" customHeight="1" x14ac:dyDescent="0.25">
      <c r="A47" s="87">
        <v>220</v>
      </c>
      <c r="B47" s="79">
        <v>1.14999E-3</v>
      </c>
      <c r="C47" s="80">
        <v>911.04</v>
      </c>
      <c r="D47" s="80">
        <v>957.04</v>
      </c>
      <c r="E47" s="82">
        <v>2.4556</v>
      </c>
      <c r="F47" s="28"/>
      <c r="G47" s="28"/>
    </row>
    <row r="48" spans="1:7" ht="18.75" customHeight="1" x14ac:dyDescent="0.25">
      <c r="A48" s="87">
        <v>230</v>
      </c>
      <c r="B48" s="79">
        <v>1.1651400000000001E-3</v>
      </c>
      <c r="C48" s="80">
        <v>954.49</v>
      </c>
      <c r="D48" s="83">
        <v>1001.1</v>
      </c>
      <c r="E48" s="82">
        <v>2.5442</v>
      </c>
      <c r="F48" s="28"/>
      <c r="G48" s="28"/>
    </row>
    <row r="49" spans="1:7" ht="18.75" customHeight="1" x14ac:dyDescent="0.25">
      <c r="A49" s="87">
        <v>240</v>
      </c>
      <c r="B49" s="79">
        <v>1.1813100000000001E-3</v>
      </c>
      <c r="C49" s="80">
        <v>998.45</v>
      </c>
      <c r="D49" s="83">
        <v>1045.7</v>
      </c>
      <c r="E49" s="82">
        <v>2.6318000000000001</v>
      </c>
      <c r="F49" s="28"/>
      <c r="G49" s="28"/>
    </row>
    <row r="50" spans="1:7" ht="18.75" customHeight="1" x14ac:dyDescent="0.25">
      <c r="A50" s="87">
        <v>250</v>
      </c>
      <c r="B50" s="79">
        <v>1.19863E-3</v>
      </c>
      <c r="C50" s="83">
        <v>1042.8</v>
      </c>
      <c r="D50" s="83">
        <v>1090.7</v>
      </c>
      <c r="E50" s="82">
        <v>2.7187000000000001</v>
      </c>
      <c r="F50" s="28"/>
      <c r="G50" s="28"/>
    </row>
    <row r="51" spans="1:7" ht="18.75" customHeight="1" x14ac:dyDescent="0.25">
      <c r="A51" s="87">
        <v>260</v>
      </c>
      <c r="B51" s="79">
        <v>1.2172299999999999E-3</v>
      </c>
      <c r="C51" s="83">
        <v>1087.5999999999999</v>
      </c>
      <c r="D51" s="83">
        <v>1136.3</v>
      </c>
      <c r="E51" s="82">
        <v>2.8050000000000002</v>
      </c>
      <c r="F51" s="28"/>
      <c r="G51" s="28"/>
    </row>
    <row r="52" spans="1:7" ht="18.75" customHeight="1" x14ac:dyDescent="0.25">
      <c r="A52" s="87">
        <v>270</v>
      </c>
      <c r="B52" s="79">
        <v>1.2372699999999999E-3</v>
      </c>
      <c r="C52" s="83">
        <v>1132.9000000000001</v>
      </c>
      <c r="D52" s="83">
        <v>1182.4000000000001</v>
      </c>
      <c r="E52" s="82">
        <v>2.8908</v>
      </c>
      <c r="F52" s="28"/>
      <c r="G52" s="28"/>
    </row>
    <row r="53" spans="1:7" ht="18.75" customHeight="1" x14ac:dyDescent="0.25">
      <c r="A53" s="86">
        <v>280</v>
      </c>
      <c r="B53" s="219">
        <v>1.25895E-3</v>
      </c>
      <c r="C53" s="220">
        <v>1178.9000000000001</v>
      </c>
      <c r="D53" s="220">
        <v>1229.3</v>
      </c>
      <c r="E53" s="222">
        <v>2.9763999999999999</v>
      </c>
      <c r="F53" s="222"/>
      <c r="G53" s="28"/>
    </row>
    <row r="54" spans="1:7" ht="18.75" customHeight="1" x14ac:dyDescent="0.25">
      <c r="A54" s="86">
        <v>290</v>
      </c>
      <c r="B54" s="219">
        <v>1.2825200000000001E-3</v>
      </c>
      <c r="C54" s="220">
        <v>1225.7</v>
      </c>
      <c r="D54" s="220">
        <v>1277</v>
      </c>
      <c r="E54" s="222">
        <v>3.0617999999999999</v>
      </c>
      <c r="F54" s="222"/>
      <c r="G54" s="28"/>
    </row>
    <row r="55" spans="1:7" ht="18.75" customHeight="1" x14ac:dyDescent="0.25">
      <c r="A55" s="86">
        <v>300</v>
      </c>
      <c r="B55" s="219">
        <v>1.3083000000000001E-3</v>
      </c>
      <c r="C55" s="220">
        <v>1273.3</v>
      </c>
      <c r="D55" s="220">
        <v>1325.6</v>
      </c>
      <c r="E55" s="222">
        <v>3.1473</v>
      </c>
      <c r="F55" s="222"/>
      <c r="G55" s="28"/>
    </row>
    <row r="56" spans="1:7" ht="18.75" customHeight="1" x14ac:dyDescent="0.25">
      <c r="A56" s="86">
        <v>310</v>
      </c>
      <c r="B56" s="219">
        <v>1.3366000000000001E-3</v>
      </c>
      <c r="C56" s="220">
        <v>1321.8</v>
      </c>
      <c r="D56" s="220">
        <v>1375.3</v>
      </c>
      <c r="E56" s="222">
        <v>3.2332000000000001</v>
      </c>
      <c r="F56" s="222"/>
      <c r="G56" s="28"/>
    </row>
    <row r="57" spans="1:7" ht="18.75" customHeight="1" x14ac:dyDescent="0.25">
      <c r="A57" s="86">
        <v>320</v>
      </c>
      <c r="B57" s="219">
        <v>1.3680000000000001E-3</v>
      </c>
      <c r="C57" s="220">
        <v>1371.5</v>
      </c>
      <c r="D57" s="220">
        <v>1426.2</v>
      </c>
      <c r="E57" s="222">
        <v>3.3197999999999999</v>
      </c>
      <c r="F57" s="222"/>
      <c r="G57" s="28"/>
    </row>
    <row r="58" spans="1:7" ht="18.75" customHeight="1" x14ac:dyDescent="0.25">
      <c r="A58" s="86">
        <v>330</v>
      </c>
      <c r="B58" s="219">
        <v>1.4032000000000001E-3</v>
      </c>
      <c r="C58" s="220">
        <v>1422.4</v>
      </c>
      <c r="D58" s="220">
        <v>1478.5</v>
      </c>
      <c r="E58" s="222">
        <v>3.4073000000000002</v>
      </c>
      <c r="F58" s="222"/>
      <c r="G58" s="28"/>
    </row>
    <row r="59" spans="1:7" ht="18.75" customHeight="1" x14ac:dyDescent="0.25">
      <c r="A59" s="86">
        <v>340</v>
      </c>
      <c r="B59" s="219">
        <v>1.4429E-3</v>
      </c>
      <c r="C59" s="220">
        <v>1474.9</v>
      </c>
      <c r="D59" s="220">
        <v>1532.6</v>
      </c>
      <c r="E59" s="222">
        <v>3.4962</v>
      </c>
      <c r="F59" s="222"/>
      <c r="G59" s="28"/>
    </row>
    <row r="60" spans="1:7" ht="18.75" customHeight="1" x14ac:dyDescent="0.25">
      <c r="A60" s="86">
        <v>350</v>
      </c>
      <c r="B60" s="219">
        <v>1.4884E-3</v>
      </c>
      <c r="C60" s="220">
        <v>1529.3</v>
      </c>
      <c r="D60" s="220">
        <v>1588.8</v>
      </c>
      <c r="E60" s="222">
        <v>3.5871</v>
      </c>
      <c r="F60" s="222"/>
      <c r="G60" s="28"/>
    </row>
    <row r="61" spans="1:7" ht="18.75" customHeight="1" x14ac:dyDescent="0.25">
      <c r="A61" s="86">
        <v>360</v>
      </c>
      <c r="B61" s="219">
        <v>1.5414999999999999E-3</v>
      </c>
      <c r="C61" s="220">
        <v>1586</v>
      </c>
      <c r="D61" s="220">
        <v>1647.7</v>
      </c>
      <c r="E61" s="222">
        <v>3.6808000000000001</v>
      </c>
      <c r="F61" s="222"/>
      <c r="G61" s="28"/>
    </row>
    <row r="62" spans="1:7" ht="18.75" customHeight="1" x14ac:dyDescent="0.25">
      <c r="A62" s="86">
        <v>370</v>
      </c>
      <c r="B62" s="219">
        <v>1.6046000000000001E-3</v>
      </c>
      <c r="C62" s="220">
        <v>1645.7</v>
      </c>
      <c r="D62" s="220">
        <v>1709.9</v>
      </c>
      <c r="E62" s="222">
        <v>3.7783000000000002</v>
      </c>
      <c r="F62" s="222"/>
      <c r="G62" s="28"/>
    </row>
    <row r="63" spans="1:7" ht="18.75" customHeight="1" x14ac:dyDescent="0.25">
      <c r="A63" s="86">
        <v>380</v>
      </c>
      <c r="B63" s="219">
        <v>1.6819000000000001E-3</v>
      </c>
      <c r="C63" s="220">
        <v>1709.3</v>
      </c>
      <c r="D63" s="220">
        <v>1776.6</v>
      </c>
      <c r="E63" s="222">
        <v>3.8813</v>
      </c>
      <c r="F63" s="222"/>
      <c r="G63" s="28"/>
    </row>
    <row r="64" spans="1:7" ht="18.75" customHeight="1" x14ac:dyDescent="0.25">
      <c r="A64" s="86">
        <v>390</v>
      </c>
      <c r="B64" s="219">
        <v>1.7801E-3</v>
      </c>
      <c r="C64" s="220">
        <v>1778.4</v>
      </c>
      <c r="D64" s="220">
        <v>1849.6</v>
      </c>
      <c r="E64" s="222">
        <v>3.9921000000000002</v>
      </c>
      <c r="F64" s="222"/>
      <c r="G64" s="28"/>
    </row>
    <row r="65" spans="1:7" ht="18.75" customHeight="1" x14ac:dyDescent="0.25">
      <c r="A65" s="86">
        <v>400</v>
      </c>
      <c r="B65" s="219">
        <v>1.9108E-3</v>
      </c>
      <c r="C65" s="220">
        <v>1855</v>
      </c>
      <c r="D65" s="220">
        <v>1931.4</v>
      </c>
      <c r="E65" s="222">
        <v>4.1144999999999996</v>
      </c>
      <c r="F65" s="222"/>
      <c r="G65" s="28"/>
    </row>
    <row r="66" spans="1:7" ht="18.75" customHeight="1" x14ac:dyDescent="0.25">
      <c r="A66" s="86">
        <v>410</v>
      </c>
      <c r="B66" s="219">
        <v>2.0934E-3</v>
      </c>
      <c r="C66" s="220">
        <v>1941.8</v>
      </c>
      <c r="D66" s="220">
        <v>2025.5</v>
      </c>
      <c r="E66" s="222">
        <v>4.2533000000000003</v>
      </c>
      <c r="F66" s="222"/>
      <c r="G66" s="28"/>
    </row>
    <row r="67" spans="1:7" ht="18.75" customHeight="1" x14ac:dyDescent="0.25">
      <c r="A67" s="86">
        <v>420</v>
      </c>
      <c r="B67" s="219">
        <v>2.3601E-3</v>
      </c>
      <c r="C67" s="220">
        <v>2042</v>
      </c>
      <c r="D67" s="220">
        <v>2136.4</v>
      </c>
      <c r="E67" s="222">
        <v>4.4143999999999997</v>
      </c>
      <c r="F67" s="222"/>
      <c r="G67" s="28"/>
    </row>
    <row r="68" spans="1:7" ht="18.75" customHeight="1" x14ac:dyDescent="0.25">
      <c r="A68" s="86">
        <v>430</v>
      </c>
      <c r="B68" s="219">
        <v>2.7437E-3</v>
      </c>
      <c r="C68" s="220">
        <v>2154.8000000000002</v>
      </c>
      <c r="D68" s="220">
        <v>2264.5</v>
      </c>
      <c r="E68" s="222">
        <v>4.5979000000000001</v>
      </c>
      <c r="F68" s="222"/>
      <c r="G68" s="28"/>
    </row>
    <row r="69" spans="1:7" ht="18.75" customHeight="1" x14ac:dyDescent="0.25">
      <c r="A69" s="86">
        <v>440</v>
      </c>
      <c r="B69" s="219">
        <v>3.2092000000000002E-3</v>
      </c>
      <c r="C69" s="220">
        <v>2265.8000000000002</v>
      </c>
      <c r="D69" s="220">
        <v>2394.1999999999998</v>
      </c>
      <c r="E69" s="222">
        <v>4.7809999999999997</v>
      </c>
      <c r="F69" s="222"/>
      <c r="G69" s="28"/>
    </row>
    <row r="70" spans="1:7" ht="18.75" customHeight="1" x14ac:dyDescent="0.25">
      <c r="A70" s="86">
        <v>450</v>
      </c>
      <c r="B70" s="219">
        <v>3.6914999999999999E-3</v>
      </c>
      <c r="C70" s="220">
        <v>2364.1</v>
      </c>
      <c r="D70" s="220">
        <v>2511.8000000000002</v>
      </c>
      <c r="E70" s="222">
        <v>4.9447999999999999</v>
      </c>
      <c r="F70" s="222"/>
      <c r="G70" s="28"/>
    </row>
    <row r="71" spans="1:7" ht="18.75" customHeight="1" x14ac:dyDescent="0.25">
      <c r="A71" s="86">
        <v>460</v>
      </c>
      <c r="B71" s="219">
        <v>4.1479999999999998E-3</v>
      </c>
      <c r="C71" s="220">
        <v>2447.5</v>
      </c>
      <c r="D71" s="220">
        <v>2613.4</v>
      </c>
      <c r="E71" s="222">
        <v>5.0843999999999996</v>
      </c>
      <c r="F71" s="222"/>
      <c r="G71" s="28"/>
    </row>
    <row r="72" spans="1:7" ht="18.75" customHeight="1" x14ac:dyDescent="0.25">
      <c r="A72" s="86">
        <v>470</v>
      </c>
      <c r="B72" s="219">
        <v>4.5662000000000003E-3</v>
      </c>
      <c r="C72" s="220">
        <v>2518.1999999999998</v>
      </c>
      <c r="D72" s="220">
        <v>2700.8</v>
      </c>
      <c r="E72" s="222">
        <v>5.2027999999999999</v>
      </c>
      <c r="F72" s="222"/>
      <c r="G72" s="28"/>
    </row>
    <row r="73" spans="1:7" ht="18.75" customHeight="1" x14ac:dyDescent="0.25">
      <c r="A73" s="86">
        <v>480</v>
      </c>
      <c r="B73" s="219">
        <v>4.9478999999999999E-3</v>
      </c>
      <c r="C73" s="220">
        <v>2579.1999999999998</v>
      </c>
      <c r="D73" s="220">
        <v>2777.1</v>
      </c>
      <c r="E73" s="222">
        <v>5.3048000000000002</v>
      </c>
      <c r="F73" s="222"/>
      <c r="G73" s="28"/>
    </row>
    <row r="74" spans="1:7" ht="18.75" customHeight="1" x14ac:dyDescent="0.25">
      <c r="A74" s="86">
        <v>490</v>
      </c>
      <c r="B74" s="219">
        <v>5.2985000000000003E-3</v>
      </c>
      <c r="C74" s="220">
        <v>2633.1</v>
      </c>
      <c r="D74" s="220">
        <v>2845</v>
      </c>
      <c r="E74" s="222">
        <v>5.3944000000000001</v>
      </c>
      <c r="F74" s="222"/>
      <c r="G74" s="28"/>
    </row>
    <row r="75" spans="1:7" ht="18.75" customHeight="1" x14ac:dyDescent="0.25">
      <c r="A75" s="86">
        <v>500</v>
      </c>
      <c r="B75" s="219">
        <v>5.6230999999999998E-3</v>
      </c>
      <c r="C75" s="220">
        <v>2681.6</v>
      </c>
      <c r="D75" s="220">
        <v>2906.5</v>
      </c>
      <c r="E75" s="222">
        <v>5.4744000000000002</v>
      </c>
      <c r="F75" s="222"/>
      <c r="G75" s="28"/>
    </row>
    <row r="76" spans="1:7" ht="18.75" customHeight="1" x14ac:dyDescent="0.25">
      <c r="A76" s="86">
        <v>520</v>
      </c>
      <c r="B76" s="219">
        <v>6.2116000000000003E-3</v>
      </c>
      <c r="C76" s="220">
        <v>2766.6</v>
      </c>
      <c r="D76" s="220">
        <v>3015.1</v>
      </c>
      <c r="E76" s="222">
        <v>5.6132</v>
      </c>
      <c r="F76" s="222"/>
      <c r="G76" s="28"/>
    </row>
    <row r="77" spans="1:7" ht="18.75" customHeight="1" x14ac:dyDescent="0.25">
      <c r="A77" s="86">
        <v>540</v>
      </c>
      <c r="B77" s="219">
        <v>6.7387999999999997E-3</v>
      </c>
      <c r="C77" s="220">
        <v>2840.8</v>
      </c>
      <c r="D77" s="220">
        <v>3110.4</v>
      </c>
      <c r="E77" s="222">
        <v>5.7319000000000004</v>
      </c>
      <c r="F77" s="222"/>
      <c r="G77" s="28"/>
    </row>
    <row r="78" spans="1:7" ht="18.75" customHeight="1" x14ac:dyDescent="0.25">
      <c r="A78" s="86">
        <v>560</v>
      </c>
      <c r="B78" s="219">
        <v>7.2208999999999997E-3</v>
      </c>
      <c r="C78" s="220">
        <v>2907.7</v>
      </c>
      <c r="D78" s="220">
        <v>3196.5</v>
      </c>
      <c r="E78" s="222">
        <v>5.8365</v>
      </c>
      <c r="F78" s="222"/>
      <c r="G78" s="28"/>
    </row>
    <row r="79" spans="1:7" ht="18.75" customHeight="1" x14ac:dyDescent="0.25">
      <c r="A79" s="86">
        <v>580</v>
      </c>
      <c r="B79" s="219">
        <v>7.6685E-3</v>
      </c>
      <c r="C79" s="220">
        <v>2969.2</v>
      </c>
      <c r="D79" s="220">
        <v>3275.9</v>
      </c>
      <c r="E79" s="222">
        <v>5.9306999999999999</v>
      </c>
      <c r="F79" s="222"/>
      <c r="G79" s="28"/>
    </row>
    <row r="80" spans="1:7" ht="18.75" customHeight="1" x14ac:dyDescent="0.25">
      <c r="A80" s="86">
        <v>600</v>
      </c>
      <c r="B80" s="219">
        <v>8.0891000000000001E-3</v>
      </c>
      <c r="C80" s="220">
        <v>3026.8</v>
      </c>
      <c r="D80" s="220">
        <v>3350.4</v>
      </c>
      <c r="E80" s="222">
        <v>6.0170000000000003</v>
      </c>
      <c r="F80" s="222"/>
      <c r="G80" s="28"/>
    </row>
    <row r="81" spans="1:7" ht="18.75" customHeight="1" x14ac:dyDescent="0.25">
      <c r="A81" s="86">
        <v>620</v>
      </c>
      <c r="B81" s="219">
        <v>8.4878000000000002E-3</v>
      </c>
      <c r="C81" s="220">
        <v>3081.5</v>
      </c>
      <c r="D81" s="220">
        <v>3421</v>
      </c>
      <c r="E81" s="222">
        <v>6.0970000000000004</v>
      </c>
      <c r="F81" s="222"/>
      <c r="G81" s="28"/>
    </row>
    <row r="82" spans="1:7" ht="18.75" customHeight="1" x14ac:dyDescent="0.25">
      <c r="A82" s="86">
        <v>640</v>
      </c>
      <c r="B82" s="219">
        <v>8.8686000000000008E-3</v>
      </c>
      <c r="C82" s="220">
        <v>3134</v>
      </c>
      <c r="D82" s="220">
        <v>3488.7</v>
      </c>
      <c r="E82" s="222">
        <v>6.1718999999999999</v>
      </c>
      <c r="F82" s="222"/>
      <c r="G82" s="28"/>
    </row>
    <row r="83" spans="1:7" ht="18.75" customHeight="1" x14ac:dyDescent="0.25">
      <c r="A83" s="86">
        <v>660</v>
      </c>
      <c r="B83" s="219">
        <v>9.2344000000000002E-3</v>
      </c>
      <c r="C83" s="220">
        <v>3184.6</v>
      </c>
      <c r="D83" s="220">
        <v>3554</v>
      </c>
      <c r="E83" s="222">
        <v>6.2427000000000001</v>
      </c>
      <c r="F83" s="222"/>
      <c r="G83" s="28"/>
    </row>
    <row r="84" spans="1:7" ht="18.75" customHeight="1" x14ac:dyDescent="0.25">
      <c r="A84" s="86">
        <v>680</v>
      </c>
      <c r="B84" s="219">
        <v>9.5875000000000005E-3</v>
      </c>
      <c r="C84" s="220">
        <v>3233.9</v>
      </c>
      <c r="D84" s="220">
        <v>3617.4</v>
      </c>
      <c r="E84" s="222">
        <v>6.3098000000000001</v>
      </c>
      <c r="F84" s="222"/>
      <c r="G84" s="28"/>
    </row>
    <row r="85" spans="1:7" ht="18.75" customHeight="1" x14ac:dyDescent="0.25">
      <c r="A85" s="86">
        <v>700</v>
      </c>
      <c r="B85" s="219">
        <v>9.9296999999999996E-3</v>
      </c>
      <c r="C85" s="220">
        <v>3281.9</v>
      </c>
      <c r="D85" s="220">
        <v>3679.1</v>
      </c>
      <c r="E85" s="222">
        <v>6.3739999999999997</v>
      </c>
      <c r="F85" s="222"/>
      <c r="G85" s="28"/>
    </row>
    <row r="86" spans="1:7" ht="18.75" customHeight="1" x14ac:dyDescent="0.25">
      <c r="A86" s="86">
        <v>720</v>
      </c>
      <c r="B86" s="221">
        <v>1.0263E-2</v>
      </c>
      <c r="C86" s="220">
        <v>3329.1</v>
      </c>
      <c r="D86" s="220">
        <v>3739.6</v>
      </c>
      <c r="E86" s="222">
        <v>6.4355000000000002</v>
      </c>
      <c r="F86" s="222"/>
      <c r="G86" s="28"/>
    </row>
    <row r="87" spans="1:7" ht="18.75" customHeight="1" x14ac:dyDescent="0.25">
      <c r="A87" s="86">
        <v>740</v>
      </c>
      <c r="B87" s="221">
        <v>1.0586999999999999E-2</v>
      </c>
      <c r="C87" s="220">
        <v>3375.6</v>
      </c>
      <c r="D87" s="220">
        <v>3799.1</v>
      </c>
      <c r="E87" s="222">
        <v>6.4947999999999997</v>
      </c>
      <c r="F87" s="222"/>
      <c r="G87" s="28"/>
    </row>
    <row r="88" spans="1:7" ht="18.75" customHeight="1" x14ac:dyDescent="0.25">
      <c r="A88" s="86">
        <v>760</v>
      </c>
      <c r="B88" s="221">
        <v>1.0905E-2</v>
      </c>
      <c r="C88" s="220">
        <v>3421.4</v>
      </c>
      <c r="D88" s="220">
        <v>3857.6</v>
      </c>
      <c r="E88" s="222">
        <v>6.5519999999999996</v>
      </c>
      <c r="F88" s="222"/>
      <c r="G88" s="28"/>
    </row>
    <row r="89" spans="1:7" ht="18.75" customHeight="1" x14ac:dyDescent="0.25">
      <c r="A89" s="86">
        <v>780</v>
      </c>
      <c r="B89" s="221">
        <v>1.1216E-2</v>
      </c>
      <c r="C89" s="220">
        <v>3466.8</v>
      </c>
      <c r="D89" s="220">
        <v>3915.4</v>
      </c>
      <c r="E89" s="222">
        <v>6.6074000000000002</v>
      </c>
      <c r="F89" s="222"/>
      <c r="G89" s="28"/>
    </row>
    <row r="90" spans="1:7" ht="18.75" customHeight="1" x14ac:dyDescent="0.25">
      <c r="A90" s="86">
        <v>800</v>
      </c>
      <c r="B90" s="221">
        <v>1.1521E-2</v>
      </c>
      <c r="C90" s="220">
        <v>3511.8</v>
      </c>
      <c r="D90" s="220">
        <v>3972.6</v>
      </c>
      <c r="E90" s="222">
        <v>6.6612</v>
      </c>
      <c r="F90" s="222"/>
      <c r="G90" s="28"/>
    </row>
    <row r="91" spans="1:7" ht="18.75" customHeight="1" x14ac:dyDescent="0.25">
      <c r="A91" s="86">
        <v>820</v>
      </c>
      <c r="B91" s="221">
        <v>1.1821E-2</v>
      </c>
      <c r="C91" s="220">
        <v>3556.5</v>
      </c>
      <c r="D91" s="220">
        <v>4029.3</v>
      </c>
      <c r="E91" s="222">
        <v>6.7135999999999996</v>
      </c>
      <c r="F91" s="222"/>
      <c r="G91" s="28"/>
    </row>
    <row r="92" spans="1:7" ht="18.75" customHeight="1" x14ac:dyDescent="0.25">
      <c r="A92" s="86">
        <v>840</v>
      </c>
      <c r="B92" s="221">
        <v>1.2116999999999999E-2</v>
      </c>
      <c r="C92" s="220">
        <v>3600.9</v>
      </c>
      <c r="D92" s="220">
        <v>4085.6</v>
      </c>
      <c r="E92" s="222">
        <v>6.7645999999999997</v>
      </c>
      <c r="F92" s="222"/>
      <c r="G92" s="28"/>
    </row>
    <row r="93" spans="1:7" ht="18.75" customHeight="1" x14ac:dyDescent="0.25">
      <c r="A93" s="86">
        <v>860</v>
      </c>
      <c r="B93" s="221">
        <v>1.2408000000000001E-2</v>
      </c>
      <c r="C93" s="220">
        <v>3645.2</v>
      </c>
      <c r="D93" s="220">
        <v>4141.5</v>
      </c>
      <c r="E93" s="222">
        <v>6.8144</v>
      </c>
      <c r="F93" s="222"/>
      <c r="G93" s="28"/>
    </row>
    <row r="94" spans="1:7" ht="18.75" customHeight="1" x14ac:dyDescent="0.25">
      <c r="A94" s="86">
        <v>880</v>
      </c>
      <c r="B94" s="221">
        <v>1.2696000000000001E-2</v>
      </c>
      <c r="C94" s="220">
        <v>3689.3</v>
      </c>
      <c r="D94" s="220">
        <v>4197.1000000000004</v>
      </c>
      <c r="E94" s="222">
        <v>6.8630000000000004</v>
      </c>
      <c r="F94" s="222"/>
      <c r="G94" s="28"/>
    </row>
    <row r="95" spans="1:7" ht="18.75" customHeight="1" x14ac:dyDescent="0.25">
      <c r="A95" s="86">
        <v>900</v>
      </c>
      <c r="B95" s="221">
        <v>1.298E-2</v>
      </c>
      <c r="C95" s="220">
        <v>3733.3</v>
      </c>
      <c r="D95" s="220">
        <v>4252.5</v>
      </c>
      <c r="E95" s="222">
        <v>6.9105999999999996</v>
      </c>
      <c r="F95" s="222"/>
      <c r="G95" s="28"/>
    </row>
    <row r="96" spans="1:7" ht="18.75" customHeight="1" x14ac:dyDescent="0.25">
      <c r="A96" s="86">
        <v>920</v>
      </c>
      <c r="B96" s="221">
        <v>1.3261E-2</v>
      </c>
      <c r="C96" s="220">
        <v>3777.3</v>
      </c>
      <c r="D96" s="220">
        <v>4307.7</v>
      </c>
      <c r="E96" s="222">
        <v>6.9573</v>
      </c>
      <c r="F96" s="222"/>
      <c r="G96" s="28"/>
    </row>
    <row r="97" spans="1:7" ht="18.75" customHeight="1" x14ac:dyDescent="0.25">
      <c r="A97" s="86">
        <v>940</v>
      </c>
      <c r="B97" s="221">
        <v>1.354E-2</v>
      </c>
      <c r="C97" s="220">
        <v>3821.1</v>
      </c>
      <c r="D97" s="220">
        <v>4362.7</v>
      </c>
      <c r="E97" s="222">
        <v>7.0030000000000001</v>
      </c>
      <c r="F97" s="222"/>
      <c r="G97" s="28"/>
    </row>
    <row r="98" spans="1:7" ht="18.75" customHeight="1" x14ac:dyDescent="0.25">
      <c r="A98" s="86">
        <v>960</v>
      </c>
      <c r="B98" s="221">
        <v>1.3814999999999999E-2</v>
      </c>
      <c r="C98" s="220">
        <v>3865.1</v>
      </c>
      <c r="D98" s="220">
        <v>4417.7</v>
      </c>
      <c r="E98" s="222">
        <v>7.048</v>
      </c>
      <c r="F98" s="222"/>
      <c r="G98" s="28"/>
    </row>
    <row r="99" spans="1:7" ht="18.75" customHeight="1" x14ac:dyDescent="0.25">
      <c r="A99" s="86">
        <v>980</v>
      </c>
      <c r="B99" s="221">
        <v>1.4089000000000001E-2</v>
      </c>
      <c r="C99" s="220">
        <v>3908.9</v>
      </c>
      <c r="D99" s="220">
        <v>4472.5</v>
      </c>
      <c r="E99" s="222">
        <v>7.0921000000000003</v>
      </c>
      <c r="F99" s="222"/>
      <c r="G99" s="28"/>
    </row>
    <row r="100" spans="1:7" ht="18.75" customHeight="1" x14ac:dyDescent="0.25">
      <c r="A100" s="86">
        <v>1000</v>
      </c>
      <c r="B100" s="221">
        <v>1.436E-2</v>
      </c>
      <c r="C100" s="220">
        <v>3952.9</v>
      </c>
      <c r="D100" s="220">
        <v>4527.3</v>
      </c>
      <c r="E100" s="222">
        <v>7.1355000000000004</v>
      </c>
      <c r="F100" s="222"/>
      <c r="G100" s="28"/>
    </row>
  </sheetData>
  <mergeCells count="49">
    <mergeCell ref="E97:F97"/>
    <mergeCell ref="E98:F98"/>
    <mergeCell ref="E99:F99"/>
    <mergeCell ref="E100:F100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82:F82"/>
    <mergeCell ref="E83:F83"/>
    <mergeCell ref="E84:F84"/>
    <mergeCell ref="E85:F85"/>
    <mergeCell ref="E86:F86"/>
    <mergeCell ref="E77:F77"/>
    <mergeCell ref="E78:F78"/>
    <mergeCell ref="E79:F79"/>
    <mergeCell ref="E80:F80"/>
    <mergeCell ref="E81:F81"/>
    <mergeCell ref="E72:F72"/>
    <mergeCell ref="E73:F73"/>
    <mergeCell ref="E74:F74"/>
    <mergeCell ref="E75:F75"/>
    <mergeCell ref="E76:F76"/>
    <mergeCell ref="E67:F67"/>
    <mergeCell ref="E68:F68"/>
    <mergeCell ref="E69:F69"/>
    <mergeCell ref="E70:F70"/>
    <mergeCell ref="E71:F71"/>
    <mergeCell ref="E62:F62"/>
    <mergeCell ref="E63:F63"/>
    <mergeCell ref="E64:F64"/>
    <mergeCell ref="E65:F65"/>
    <mergeCell ref="E66:F66"/>
    <mergeCell ref="E57:F57"/>
    <mergeCell ref="E58:F58"/>
    <mergeCell ref="E59:F59"/>
    <mergeCell ref="E60:F60"/>
    <mergeCell ref="E61:F61"/>
    <mergeCell ref="A1:G1"/>
    <mergeCell ref="E53:F53"/>
    <mergeCell ref="E54:F54"/>
    <mergeCell ref="E55:F55"/>
    <mergeCell ref="E56:F56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H100"/>
  <sheetViews>
    <sheetView topLeftCell="A42" workbookViewId="0">
      <selection activeCell="H54" sqref="H54"/>
    </sheetView>
  </sheetViews>
  <sheetFormatPr defaultRowHeight="13.2" x14ac:dyDescent="0.25"/>
  <cols>
    <col min="1" max="1" width="8.33203125" customWidth="1"/>
    <col min="2" max="2" width="17" customWidth="1"/>
    <col min="3" max="3" width="9" customWidth="1"/>
    <col min="4" max="4" width="9.77734375" customWidth="1"/>
    <col min="5" max="5" width="11.5546875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193" t="s">
        <v>105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45000</v>
      </c>
      <c r="C2" s="71"/>
      <c r="D2" s="71"/>
      <c r="E2" s="71"/>
      <c r="F2" s="71"/>
      <c r="G2" s="71"/>
      <c r="H2" s="71"/>
    </row>
    <row r="3" spans="1:8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9.7892000000000009E-4</v>
      </c>
      <c r="C5" s="80">
        <v>0.3</v>
      </c>
      <c r="D5" s="80">
        <v>44.35</v>
      </c>
      <c r="E5" s="81">
        <v>-5.9999999999999995E-4</v>
      </c>
      <c r="F5" s="81"/>
      <c r="G5" s="28"/>
      <c r="H5" s="28"/>
    </row>
    <row r="6" spans="1:8" ht="18.75" customHeight="1" x14ac:dyDescent="0.25">
      <c r="A6" s="87">
        <v>5</v>
      </c>
      <c r="B6" s="79">
        <v>9.7944999999999998E-4</v>
      </c>
      <c r="C6" s="80">
        <v>20.5</v>
      </c>
      <c r="D6" s="80">
        <v>64.58</v>
      </c>
      <c r="E6" s="81">
        <v>7.2760000000000005E-2</v>
      </c>
      <c r="F6" s="81"/>
      <c r="G6" s="28"/>
      <c r="H6" s="28"/>
    </row>
    <row r="7" spans="1:8" ht="18.75" customHeight="1" x14ac:dyDescent="0.25">
      <c r="A7" s="87">
        <v>10</v>
      </c>
      <c r="B7" s="79">
        <v>9.8024000000000006E-4</v>
      </c>
      <c r="C7" s="80">
        <v>40.72</v>
      </c>
      <c r="D7" s="80">
        <v>84.83</v>
      </c>
      <c r="E7" s="81">
        <v>0.14494000000000001</v>
      </c>
      <c r="F7" s="81"/>
      <c r="G7" s="28"/>
      <c r="H7" s="28"/>
    </row>
    <row r="8" spans="1:8" ht="18.75" customHeight="1" x14ac:dyDescent="0.25">
      <c r="A8" s="87">
        <v>15</v>
      </c>
      <c r="B8" s="79">
        <v>9.8124999999999992E-4</v>
      </c>
      <c r="C8" s="80">
        <v>60.96</v>
      </c>
      <c r="D8" s="80">
        <v>105.12</v>
      </c>
      <c r="E8" s="81">
        <v>0.21597</v>
      </c>
      <c r="F8" s="81"/>
      <c r="G8" s="28"/>
      <c r="H8" s="28"/>
    </row>
    <row r="9" spans="1:8" ht="18.75" customHeight="1" x14ac:dyDescent="0.25">
      <c r="A9" s="87">
        <v>20</v>
      </c>
      <c r="B9" s="79">
        <v>9.8247000000000004E-4</v>
      </c>
      <c r="C9" s="80">
        <v>81.23</v>
      </c>
      <c r="D9" s="80">
        <v>125.44</v>
      </c>
      <c r="E9" s="81">
        <v>0.28586</v>
      </c>
      <c r="F9" s="81"/>
      <c r="G9" s="28"/>
      <c r="H9" s="28"/>
    </row>
    <row r="10" spans="1:8" ht="18.75" customHeight="1" x14ac:dyDescent="0.25">
      <c r="A10" s="87">
        <v>25</v>
      </c>
      <c r="B10" s="79">
        <v>9.8386999999999997E-4</v>
      </c>
      <c r="C10" s="80">
        <v>101.51</v>
      </c>
      <c r="D10" s="80">
        <v>145.78</v>
      </c>
      <c r="E10" s="81">
        <v>0.35465999999999998</v>
      </c>
      <c r="F10" s="81"/>
      <c r="G10" s="28"/>
      <c r="H10" s="28"/>
    </row>
    <row r="11" spans="1:8" ht="18.75" customHeight="1" x14ac:dyDescent="0.25">
      <c r="A11" s="87">
        <v>30</v>
      </c>
      <c r="B11" s="79">
        <v>9.8544999999999991E-4</v>
      </c>
      <c r="C11" s="80">
        <v>121.79</v>
      </c>
      <c r="D11" s="80">
        <v>166.14</v>
      </c>
      <c r="E11" s="81">
        <v>0.4224</v>
      </c>
      <c r="F11" s="81"/>
      <c r="G11" s="28"/>
      <c r="H11" s="28"/>
    </row>
    <row r="12" spans="1:8" ht="18.75" customHeight="1" x14ac:dyDescent="0.25">
      <c r="A12" s="87">
        <v>35</v>
      </c>
      <c r="B12" s="79">
        <v>9.8719999999999993E-4</v>
      </c>
      <c r="C12" s="80">
        <v>142.11000000000001</v>
      </c>
      <c r="D12" s="80">
        <v>186.53</v>
      </c>
      <c r="E12" s="81">
        <v>0.48909999999999998</v>
      </c>
      <c r="F12" s="81"/>
      <c r="G12" s="28"/>
      <c r="H12" s="28"/>
    </row>
    <row r="13" spans="1:8" ht="18.75" customHeight="1" x14ac:dyDescent="0.25">
      <c r="A13" s="87">
        <v>40</v>
      </c>
      <c r="B13" s="79">
        <v>9.8909999999999992E-4</v>
      </c>
      <c r="C13" s="80">
        <v>162.41999999999999</v>
      </c>
      <c r="D13" s="80">
        <v>206.93</v>
      </c>
      <c r="E13" s="81">
        <v>0.55479000000000001</v>
      </c>
      <c r="F13" s="81"/>
      <c r="G13" s="28"/>
      <c r="H13" s="28"/>
    </row>
    <row r="14" spans="1:8" ht="18.75" customHeight="1" x14ac:dyDescent="0.25">
      <c r="A14" s="87">
        <v>45</v>
      </c>
      <c r="B14" s="79">
        <v>9.9113999999999995E-4</v>
      </c>
      <c r="C14" s="80">
        <v>182.76</v>
      </c>
      <c r="D14" s="80">
        <v>227.36</v>
      </c>
      <c r="E14" s="81">
        <v>0.61950000000000005</v>
      </c>
      <c r="F14" s="81"/>
      <c r="G14" s="28"/>
      <c r="H14" s="28"/>
    </row>
    <row r="15" spans="1:8" ht="18.75" customHeight="1" x14ac:dyDescent="0.25">
      <c r="A15" s="87">
        <v>50</v>
      </c>
      <c r="B15" s="79">
        <v>9.9332999999999995E-4</v>
      </c>
      <c r="C15" s="80">
        <v>203.1</v>
      </c>
      <c r="D15" s="80">
        <v>247.8</v>
      </c>
      <c r="E15" s="81">
        <v>0.68325000000000002</v>
      </c>
      <c r="F15" s="81"/>
      <c r="G15" s="28"/>
      <c r="H15" s="28"/>
    </row>
    <row r="16" spans="1:8" ht="18.75" customHeight="1" x14ac:dyDescent="0.25">
      <c r="A16" s="87">
        <v>55</v>
      </c>
      <c r="B16" s="79">
        <v>9.9565999999999999E-4</v>
      </c>
      <c r="C16" s="80">
        <v>223.46</v>
      </c>
      <c r="D16" s="80">
        <v>268.26</v>
      </c>
      <c r="E16" s="81">
        <v>0.74607999999999997</v>
      </c>
      <c r="F16" s="81"/>
      <c r="G16" s="28"/>
      <c r="H16" s="28"/>
    </row>
    <row r="17" spans="1:8" ht="18.75" customHeight="1" x14ac:dyDescent="0.25">
      <c r="A17" s="87">
        <v>60</v>
      </c>
      <c r="B17" s="79">
        <v>9.9811999999999991E-4</v>
      </c>
      <c r="C17" s="80">
        <v>243.82</v>
      </c>
      <c r="D17" s="80">
        <v>288.74</v>
      </c>
      <c r="E17" s="81">
        <v>0.80801000000000001</v>
      </c>
      <c r="F17" s="81"/>
      <c r="G17" s="28"/>
      <c r="H17" s="28"/>
    </row>
    <row r="18" spans="1:8" ht="18.75" customHeight="1" x14ac:dyDescent="0.25">
      <c r="A18" s="87">
        <v>65</v>
      </c>
      <c r="B18" s="79">
        <v>1.0007099999999999E-3</v>
      </c>
      <c r="C18" s="80">
        <v>264.2</v>
      </c>
      <c r="D18" s="80">
        <v>309.23</v>
      </c>
      <c r="E18" s="81">
        <v>0.86906000000000005</v>
      </c>
      <c r="F18" s="81"/>
      <c r="G18" s="28"/>
      <c r="H18" s="28"/>
    </row>
    <row r="19" spans="1:8" ht="18.75" customHeight="1" x14ac:dyDescent="0.25">
      <c r="A19" s="87">
        <v>70</v>
      </c>
      <c r="B19" s="79">
        <v>1.0034200000000001E-3</v>
      </c>
      <c r="C19" s="80">
        <v>284.58999999999997</v>
      </c>
      <c r="D19" s="80">
        <v>329.74</v>
      </c>
      <c r="E19" s="81">
        <v>0.92927000000000004</v>
      </c>
      <c r="F19" s="81"/>
      <c r="G19" s="28"/>
      <c r="H19" s="28"/>
    </row>
    <row r="20" spans="1:8" ht="18.75" customHeight="1" x14ac:dyDescent="0.25">
      <c r="A20" s="87">
        <v>75</v>
      </c>
      <c r="B20" s="79">
        <v>1.0062599999999999E-3</v>
      </c>
      <c r="C20" s="80">
        <v>304.98</v>
      </c>
      <c r="D20" s="80">
        <v>350.26</v>
      </c>
      <c r="E20" s="81">
        <v>0.98865000000000003</v>
      </c>
      <c r="F20" s="81"/>
      <c r="G20" s="28"/>
      <c r="H20" s="28"/>
    </row>
    <row r="21" spans="1:8" ht="18.75" customHeight="1" x14ac:dyDescent="0.25">
      <c r="A21" s="87">
        <v>80</v>
      </c>
      <c r="B21" s="79">
        <v>1.0092300000000001E-3</v>
      </c>
      <c r="C21" s="80">
        <v>325.38</v>
      </c>
      <c r="D21" s="80">
        <v>370.8</v>
      </c>
      <c r="E21" s="82">
        <v>1.0471999999999999</v>
      </c>
      <c r="F21" s="82"/>
      <c r="G21" s="28"/>
      <c r="H21" s="28"/>
    </row>
    <row r="22" spans="1:8" ht="18.75" customHeight="1" x14ac:dyDescent="0.25">
      <c r="A22" s="87">
        <v>85</v>
      </c>
      <c r="B22" s="79">
        <v>1.01231E-3</v>
      </c>
      <c r="C22" s="80">
        <v>345.81</v>
      </c>
      <c r="D22" s="80">
        <v>391.36</v>
      </c>
      <c r="E22" s="82">
        <v>1.105</v>
      </c>
      <c r="F22" s="82"/>
      <c r="G22" s="28"/>
      <c r="H22" s="28"/>
    </row>
    <row r="23" spans="1:8" ht="18.75" customHeight="1" x14ac:dyDescent="0.25">
      <c r="A23" s="87">
        <v>90</v>
      </c>
      <c r="B23" s="79">
        <v>1.01552E-3</v>
      </c>
      <c r="C23" s="80">
        <v>366.23</v>
      </c>
      <c r="D23" s="80">
        <v>411.93</v>
      </c>
      <c r="E23" s="82">
        <v>1.1620999999999999</v>
      </c>
      <c r="F23" s="82"/>
      <c r="G23" s="28"/>
      <c r="H23" s="28"/>
    </row>
    <row r="24" spans="1:8" ht="18.75" customHeight="1" x14ac:dyDescent="0.25">
      <c r="A24" s="87">
        <v>95</v>
      </c>
      <c r="B24" s="79">
        <v>1.01884E-3</v>
      </c>
      <c r="C24" s="80">
        <v>386.67</v>
      </c>
      <c r="D24" s="80">
        <v>432.52</v>
      </c>
      <c r="E24" s="82">
        <v>1.2183999999999999</v>
      </c>
      <c r="F24" s="82"/>
      <c r="G24" s="28"/>
      <c r="H24" s="28"/>
    </row>
    <row r="25" spans="1:8" ht="18.75" customHeight="1" x14ac:dyDescent="0.25">
      <c r="A25" s="87">
        <v>100</v>
      </c>
      <c r="B25" s="79">
        <v>1.0222899999999999E-3</v>
      </c>
      <c r="C25" s="80">
        <v>407.14</v>
      </c>
      <c r="D25" s="80">
        <v>453.14</v>
      </c>
      <c r="E25" s="82">
        <v>1.274</v>
      </c>
      <c r="F25" s="82"/>
      <c r="G25" s="28"/>
      <c r="H25" s="28"/>
    </row>
    <row r="26" spans="1:8" ht="18.75" customHeight="1" x14ac:dyDescent="0.25">
      <c r="A26" s="87">
        <v>105</v>
      </c>
      <c r="B26" s="79">
        <v>1.02585E-3</v>
      </c>
      <c r="C26" s="80">
        <v>427.61</v>
      </c>
      <c r="D26" s="80">
        <v>473.77</v>
      </c>
      <c r="E26" s="82">
        <v>1.3289</v>
      </c>
      <c r="F26" s="82"/>
      <c r="G26" s="28"/>
      <c r="H26" s="28"/>
    </row>
    <row r="27" spans="1:8" ht="18.75" customHeight="1" x14ac:dyDescent="0.25">
      <c r="A27" s="87">
        <v>110</v>
      </c>
      <c r="B27" s="79">
        <v>1.02954E-3</v>
      </c>
      <c r="C27" s="80">
        <v>448.09</v>
      </c>
      <c r="D27" s="80">
        <v>494.42</v>
      </c>
      <c r="E27" s="82">
        <v>1.3832</v>
      </c>
      <c r="F27" s="82"/>
      <c r="G27" s="28"/>
      <c r="H27" s="28"/>
    </row>
    <row r="28" spans="1:8" ht="18.75" customHeight="1" x14ac:dyDescent="0.25">
      <c r="A28" s="87">
        <v>115</v>
      </c>
      <c r="B28" s="79">
        <v>1.0333499999999999E-3</v>
      </c>
      <c r="C28" s="80">
        <v>468.6</v>
      </c>
      <c r="D28" s="80">
        <v>515.1</v>
      </c>
      <c r="E28" s="82">
        <v>1.4368000000000001</v>
      </c>
      <c r="F28" s="82"/>
      <c r="G28" s="28"/>
      <c r="H28" s="28"/>
    </row>
    <row r="29" spans="1:8" ht="18.75" customHeight="1" x14ac:dyDescent="0.25">
      <c r="A29" s="87">
        <v>120</v>
      </c>
      <c r="B29" s="79">
        <v>1.03728E-3</v>
      </c>
      <c r="C29" s="80">
        <v>489.13</v>
      </c>
      <c r="D29" s="80">
        <v>535.80999999999995</v>
      </c>
      <c r="E29" s="82">
        <v>1.4898</v>
      </c>
      <c r="F29" s="82"/>
      <c r="G29" s="28"/>
      <c r="H29" s="28"/>
    </row>
    <row r="30" spans="1:8" ht="18.75" customHeight="1" x14ac:dyDescent="0.25">
      <c r="A30" s="87">
        <v>125</v>
      </c>
      <c r="B30" s="79">
        <v>1.04133E-3</v>
      </c>
      <c r="C30" s="80">
        <v>509.68</v>
      </c>
      <c r="D30" s="80">
        <v>556.54</v>
      </c>
      <c r="E30" s="82">
        <v>1.5422</v>
      </c>
      <c r="F30" s="82"/>
      <c r="G30" s="28"/>
      <c r="H30" s="28"/>
    </row>
    <row r="31" spans="1:8" ht="18.75" customHeight="1" x14ac:dyDescent="0.25">
      <c r="A31" s="87">
        <v>130</v>
      </c>
      <c r="B31" s="79">
        <v>1.0455E-3</v>
      </c>
      <c r="C31" s="80">
        <v>530.26</v>
      </c>
      <c r="D31" s="80">
        <v>577.30999999999995</v>
      </c>
      <c r="E31" s="82">
        <v>1.5941000000000001</v>
      </c>
      <c r="F31" s="82"/>
      <c r="G31" s="28"/>
      <c r="H31" s="28"/>
    </row>
    <row r="32" spans="1:8" ht="18.75" customHeight="1" x14ac:dyDescent="0.25">
      <c r="A32" s="87">
        <v>135</v>
      </c>
      <c r="B32" s="79">
        <v>1.04981E-3</v>
      </c>
      <c r="C32" s="80">
        <v>550.86</v>
      </c>
      <c r="D32" s="80">
        <v>598.1</v>
      </c>
      <c r="E32" s="82">
        <v>1.6453</v>
      </c>
      <c r="F32" s="82"/>
      <c r="G32" s="28"/>
      <c r="H32" s="28"/>
    </row>
    <row r="33" spans="1:8" ht="18.75" customHeight="1" x14ac:dyDescent="0.25">
      <c r="A33" s="87">
        <v>140</v>
      </c>
      <c r="B33" s="79">
        <v>1.0542399999999999E-3</v>
      </c>
      <c r="C33" s="80">
        <v>571.49</v>
      </c>
      <c r="D33" s="80">
        <v>618.92999999999995</v>
      </c>
      <c r="E33" s="82">
        <v>1.696</v>
      </c>
      <c r="F33" s="82"/>
      <c r="G33" s="28"/>
      <c r="H33" s="28"/>
    </row>
    <row r="34" spans="1:8" ht="18.75" customHeight="1" x14ac:dyDescent="0.25">
      <c r="A34" s="87">
        <v>145</v>
      </c>
      <c r="B34" s="79">
        <v>1.0587999999999999E-3</v>
      </c>
      <c r="C34" s="80">
        <v>592.15</v>
      </c>
      <c r="D34" s="80">
        <v>639.79999999999995</v>
      </c>
      <c r="E34" s="82">
        <v>1.7462</v>
      </c>
      <c r="F34" s="82"/>
      <c r="G34" s="28"/>
      <c r="H34" s="28"/>
    </row>
    <row r="35" spans="1:8" ht="18.75" customHeight="1" x14ac:dyDescent="0.25">
      <c r="A35" s="87">
        <v>150</v>
      </c>
      <c r="B35" s="79">
        <v>1.0634900000000001E-3</v>
      </c>
      <c r="C35" s="80">
        <v>612.85</v>
      </c>
      <c r="D35" s="80">
        <v>660.71</v>
      </c>
      <c r="E35" s="82">
        <v>1.796</v>
      </c>
      <c r="F35" s="82"/>
      <c r="G35" s="28"/>
      <c r="H35" s="28"/>
    </row>
    <row r="36" spans="1:8" ht="18.75" customHeight="1" x14ac:dyDescent="0.25">
      <c r="A36" s="87">
        <v>155</v>
      </c>
      <c r="B36" s="79">
        <v>1.06832E-3</v>
      </c>
      <c r="C36" s="80">
        <v>633.59</v>
      </c>
      <c r="D36" s="80">
        <v>681.66</v>
      </c>
      <c r="E36" s="82">
        <v>1.8452</v>
      </c>
      <c r="F36" s="82"/>
      <c r="G36" s="28"/>
      <c r="H36" s="28"/>
    </row>
    <row r="37" spans="1:8" ht="18.75" customHeight="1" x14ac:dyDescent="0.25">
      <c r="A37" s="87">
        <v>160</v>
      </c>
      <c r="B37" s="79">
        <v>1.07329E-3</v>
      </c>
      <c r="C37" s="80">
        <v>654.35</v>
      </c>
      <c r="D37" s="80">
        <v>702.65</v>
      </c>
      <c r="E37" s="82">
        <v>1.8938999999999999</v>
      </c>
      <c r="F37" s="82"/>
      <c r="G37" s="28"/>
      <c r="H37" s="28"/>
    </row>
    <row r="38" spans="1:8" ht="18.75" customHeight="1" x14ac:dyDescent="0.25">
      <c r="A38" s="87">
        <v>165</v>
      </c>
      <c r="B38" s="79">
        <v>1.0784099999999999E-3</v>
      </c>
      <c r="C38" s="80">
        <v>675.16</v>
      </c>
      <c r="D38" s="80">
        <v>723.69</v>
      </c>
      <c r="E38" s="82">
        <v>1.9421999999999999</v>
      </c>
      <c r="F38" s="82"/>
      <c r="G38" s="28"/>
      <c r="H38" s="28"/>
    </row>
    <row r="39" spans="1:8" ht="18.75" customHeight="1" x14ac:dyDescent="0.25">
      <c r="A39" s="87">
        <v>170</v>
      </c>
      <c r="B39" s="79">
        <v>1.0836699999999999E-3</v>
      </c>
      <c r="C39" s="80">
        <v>696.01</v>
      </c>
      <c r="D39" s="80">
        <v>744.78</v>
      </c>
      <c r="E39" s="82">
        <v>1.9901</v>
      </c>
      <c r="F39" s="82"/>
      <c r="G39" s="28"/>
      <c r="H39" s="28"/>
    </row>
    <row r="40" spans="1:8" ht="18.75" customHeight="1" x14ac:dyDescent="0.25">
      <c r="A40" s="87">
        <v>175</v>
      </c>
      <c r="B40" s="79">
        <v>1.0890800000000001E-3</v>
      </c>
      <c r="C40" s="80">
        <v>716.92</v>
      </c>
      <c r="D40" s="80">
        <v>765.93</v>
      </c>
      <c r="E40" s="82">
        <v>2.0375000000000001</v>
      </c>
      <c r="F40" s="82"/>
      <c r="G40" s="28"/>
      <c r="H40" s="28"/>
    </row>
    <row r="41" spans="1:8" ht="18.75" customHeight="1" x14ac:dyDescent="0.25">
      <c r="A41" s="87">
        <v>180</v>
      </c>
      <c r="B41" s="79">
        <v>1.09465E-3</v>
      </c>
      <c r="C41" s="80">
        <v>737.87</v>
      </c>
      <c r="D41" s="80">
        <v>787.13</v>
      </c>
      <c r="E41" s="82">
        <v>2.0846</v>
      </c>
      <c r="F41" s="82"/>
      <c r="G41" s="28"/>
      <c r="H41" s="28"/>
    </row>
    <row r="42" spans="1:8" ht="18.75" customHeight="1" x14ac:dyDescent="0.25">
      <c r="A42" s="87">
        <v>185</v>
      </c>
      <c r="B42" s="79">
        <v>1.10037E-3</v>
      </c>
      <c r="C42" s="80">
        <v>758.87</v>
      </c>
      <c r="D42" s="80">
        <v>808.39</v>
      </c>
      <c r="E42" s="82">
        <v>2.1312000000000002</v>
      </c>
      <c r="F42" s="82"/>
      <c r="G42" s="28"/>
      <c r="H42" s="28"/>
    </row>
    <row r="43" spans="1:8" ht="18.75" customHeight="1" x14ac:dyDescent="0.25">
      <c r="A43" s="87">
        <v>190</v>
      </c>
      <c r="B43" s="79">
        <v>1.1062699999999999E-3</v>
      </c>
      <c r="C43" s="80">
        <v>779.94</v>
      </c>
      <c r="D43" s="80">
        <v>829.72</v>
      </c>
      <c r="E43" s="82">
        <v>2.1775000000000002</v>
      </c>
      <c r="F43" s="82"/>
      <c r="G43" s="28"/>
      <c r="H43" s="28"/>
    </row>
    <row r="44" spans="1:8" ht="18.75" customHeight="1" x14ac:dyDescent="0.25">
      <c r="A44" s="87">
        <v>195</v>
      </c>
      <c r="B44" s="79">
        <v>1.1123400000000001E-3</v>
      </c>
      <c r="C44" s="80">
        <v>801.05</v>
      </c>
      <c r="D44" s="80">
        <v>851.11</v>
      </c>
      <c r="E44" s="82">
        <v>2.2235</v>
      </c>
      <c r="F44" s="82"/>
      <c r="G44" s="28"/>
      <c r="H44" s="28"/>
    </row>
    <row r="45" spans="1:8" ht="18.75" customHeight="1" x14ac:dyDescent="0.25">
      <c r="A45" s="87">
        <v>200</v>
      </c>
      <c r="B45" s="79">
        <v>1.1185800000000001E-3</v>
      </c>
      <c r="C45" s="80">
        <v>822.23</v>
      </c>
      <c r="D45" s="80">
        <v>872.57</v>
      </c>
      <c r="E45" s="82">
        <v>2.2690999999999999</v>
      </c>
      <c r="F45" s="82"/>
      <c r="G45" s="28"/>
      <c r="H45" s="28"/>
    </row>
    <row r="46" spans="1:8" ht="18.75" customHeight="1" x14ac:dyDescent="0.25">
      <c r="A46" s="87">
        <v>210</v>
      </c>
      <c r="B46" s="79">
        <v>1.1316399999999999E-3</v>
      </c>
      <c r="C46" s="80">
        <v>864.8</v>
      </c>
      <c r="D46" s="80">
        <v>915.72</v>
      </c>
      <c r="E46" s="82">
        <v>2.3593000000000002</v>
      </c>
      <c r="F46" s="82"/>
      <c r="G46" s="28"/>
      <c r="H46" s="28"/>
    </row>
    <row r="47" spans="1:8" ht="18.75" customHeight="1" x14ac:dyDescent="0.25">
      <c r="A47" s="87">
        <v>220</v>
      </c>
      <c r="B47" s="79">
        <v>1.1455E-3</v>
      </c>
      <c r="C47" s="80">
        <v>907.66</v>
      </c>
      <c r="D47" s="80">
        <v>959.21</v>
      </c>
      <c r="E47" s="82">
        <v>2.4483999999999999</v>
      </c>
      <c r="F47" s="82"/>
      <c r="G47" s="28"/>
      <c r="H47" s="28"/>
    </row>
    <row r="48" spans="1:8" ht="18.75" customHeight="1" x14ac:dyDescent="0.25">
      <c r="A48" s="87">
        <v>230</v>
      </c>
      <c r="B48" s="79">
        <v>1.1602400000000001E-3</v>
      </c>
      <c r="C48" s="80">
        <v>950.89</v>
      </c>
      <c r="D48" s="83">
        <v>1003.1</v>
      </c>
      <c r="E48" s="82">
        <v>2.5364</v>
      </c>
      <c r="F48" s="82"/>
      <c r="G48" s="28"/>
      <c r="H48" s="28"/>
    </row>
    <row r="49" spans="1:8" ht="18.75" customHeight="1" x14ac:dyDescent="0.25">
      <c r="A49" s="87">
        <v>240</v>
      </c>
      <c r="B49" s="79">
        <v>1.17595E-3</v>
      </c>
      <c r="C49" s="80">
        <v>994.38</v>
      </c>
      <c r="D49" s="83">
        <v>1047.3</v>
      </c>
      <c r="E49" s="82">
        <v>2.6236000000000002</v>
      </c>
      <c r="F49" s="82"/>
      <c r="G49" s="28"/>
      <c r="H49" s="28"/>
    </row>
    <row r="50" spans="1:8" ht="18.75" customHeight="1" x14ac:dyDescent="0.25">
      <c r="A50" s="87">
        <v>250</v>
      </c>
      <c r="B50" s="79">
        <v>1.19272E-3</v>
      </c>
      <c r="C50" s="83">
        <v>1038.3</v>
      </c>
      <c r="D50" s="83">
        <v>1092</v>
      </c>
      <c r="E50" s="82">
        <v>2.7099000000000002</v>
      </c>
      <c r="F50" s="82"/>
      <c r="G50" s="28"/>
      <c r="H50" s="28"/>
    </row>
    <row r="51" spans="1:8" ht="18.75" customHeight="1" x14ac:dyDescent="0.25">
      <c r="A51" s="87">
        <v>260</v>
      </c>
      <c r="B51" s="79">
        <v>1.21068E-3</v>
      </c>
      <c r="C51" s="83">
        <v>1082.8</v>
      </c>
      <c r="D51" s="83">
        <v>1137.3</v>
      </c>
      <c r="E51" s="82">
        <v>2.7955000000000001</v>
      </c>
      <c r="F51" s="82"/>
      <c r="G51" s="28"/>
      <c r="H51" s="28"/>
    </row>
    <row r="52" spans="1:8" ht="18.75" customHeight="1" x14ac:dyDescent="0.25">
      <c r="A52" s="87">
        <v>270</v>
      </c>
      <c r="B52" s="79">
        <v>1.2299699999999999E-3</v>
      </c>
      <c r="C52" s="83">
        <v>1127.8</v>
      </c>
      <c r="D52" s="83">
        <v>1183.0999999999999</v>
      </c>
      <c r="E52" s="82">
        <v>2.8805999999999998</v>
      </c>
      <c r="F52" s="82"/>
      <c r="G52" s="28"/>
      <c r="H52" s="28"/>
    </row>
    <row r="53" spans="1:8" ht="18.75" customHeight="1" x14ac:dyDescent="0.25">
      <c r="A53" s="86">
        <v>280</v>
      </c>
      <c r="B53" s="223">
        <v>1.2507600000000001E-3</v>
      </c>
      <c r="C53" s="220">
        <v>1173.2</v>
      </c>
      <c r="D53" s="220">
        <v>1229.5</v>
      </c>
      <c r="E53" s="210">
        <v>2.9653</v>
      </c>
      <c r="F53" s="82"/>
      <c r="G53" s="82"/>
      <c r="H53" s="28"/>
    </row>
    <row r="54" spans="1:8" ht="18.75" customHeight="1" x14ac:dyDescent="0.25">
      <c r="A54" s="86">
        <v>290</v>
      </c>
      <c r="B54" s="223">
        <v>1.2732500000000001E-3</v>
      </c>
      <c r="C54" s="220">
        <v>1219.4000000000001</v>
      </c>
      <c r="D54" s="220">
        <v>1276.7</v>
      </c>
      <c r="E54" s="210">
        <v>3.0497999999999998</v>
      </c>
      <c r="F54" s="82"/>
      <c r="G54" s="82"/>
      <c r="H54" s="28"/>
    </row>
    <row r="55" spans="1:8" ht="18.75" customHeight="1" x14ac:dyDescent="0.25">
      <c r="A55" s="86">
        <v>300</v>
      </c>
      <c r="B55" s="223">
        <v>1.2976999999999999E-3</v>
      </c>
      <c r="C55" s="220">
        <v>1266.2</v>
      </c>
      <c r="D55" s="220">
        <v>1324.6</v>
      </c>
      <c r="E55" s="210">
        <v>3.1341999999999999</v>
      </c>
      <c r="F55" s="82"/>
      <c r="G55" s="82"/>
      <c r="H55" s="28"/>
    </row>
    <row r="56" spans="1:8" ht="18.75" customHeight="1" x14ac:dyDescent="0.25">
      <c r="A56" s="86">
        <v>310</v>
      </c>
      <c r="B56" s="223">
        <v>1.3244000000000001E-3</v>
      </c>
      <c r="C56" s="220">
        <v>1313.9</v>
      </c>
      <c r="D56" s="220">
        <v>1373.5</v>
      </c>
      <c r="E56" s="210">
        <v>3.2187999999999999</v>
      </c>
      <c r="F56" s="82"/>
      <c r="G56" s="82"/>
      <c r="H56" s="28"/>
    </row>
    <row r="57" spans="1:8" ht="18.75" customHeight="1" x14ac:dyDescent="0.25">
      <c r="A57" s="86">
        <v>320</v>
      </c>
      <c r="B57" s="223">
        <v>1.3538000000000001E-3</v>
      </c>
      <c r="C57" s="220">
        <v>1362.6</v>
      </c>
      <c r="D57" s="220">
        <v>1423.5</v>
      </c>
      <c r="E57" s="210">
        <v>3.3037999999999998</v>
      </c>
      <c r="F57" s="82"/>
      <c r="G57" s="82"/>
      <c r="H57" s="28"/>
    </row>
    <row r="58" spans="1:8" ht="18.75" customHeight="1" x14ac:dyDescent="0.25">
      <c r="A58" s="86">
        <v>330</v>
      </c>
      <c r="B58" s="223">
        <v>1.3864000000000001E-3</v>
      </c>
      <c r="C58" s="220">
        <v>1412.3</v>
      </c>
      <c r="D58" s="220">
        <v>1474.7</v>
      </c>
      <c r="E58" s="210">
        <v>3.3894000000000002</v>
      </c>
      <c r="F58" s="82"/>
      <c r="G58" s="82"/>
      <c r="H58" s="28"/>
    </row>
    <row r="59" spans="1:8" ht="18.75" customHeight="1" x14ac:dyDescent="0.25">
      <c r="A59" s="86">
        <v>340</v>
      </c>
      <c r="B59" s="223">
        <v>1.4228000000000001E-3</v>
      </c>
      <c r="C59" s="220">
        <v>1463.4</v>
      </c>
      <c r="D59" s="220">
        <v>1527.4</v>
      </c>
      <c r="E59" s="210">
        <v>3.476</v>
      </c>
      <c r="F59" s="82"/>
      <c r="G59" s="82"/>
      <c r="H59" s="28"/>
    </row>
    <row r="60" spans="1:8" ht="18.75" customHeight="1" x14ac:dyDescent="0.25">
      <c r="A60" s="86">
        <v>350</v>
      </c>
      <c r="B60" s="223">
        <v>1.4637999999999999E-3</v>
      </c>
      <c r="C60" s="220">
        <v>1515.9</v>
      </c>
      <c r="D60" s="220">
        <v>1581.8</v>
      </c>
      <c r="E60" s="210">
        <v>3.5640000000000001</v>
      </c>
      <c r="F60" s="82"/>
      <c r="G60" s="82"/>
      <c r="H60" s="28"/>
    </row>
    <row r="61" spans="1:8" ht="18.75" customHeight="1" x14ac:dyDescent="0.25">
      <c r="A61" s="86">
        <v>360</v>
      </c>
      <c r="B61" s="223">
        <v>1.5108000000000001E-3</v>
      </c>
      <c r="C61" s="220">
        <v>1570.3</v>
      </c>
      <c r="D61" s="220">
        <v>1638.3</v>
      </c>
      <c r="E61" s="210">
        <v>3.6539000000000001</v>
      </c>
      <c r="F61" s="82"/>
      <c r="G61" s="82"/>
      <c r="H61" s="28"/>
    </row>
    <row r="62" spans="1:8" ht="18.75" customHeight="1" x14ac:dyDescent="0.25">
      <c r="A62" s="86">
        <v>370</v>
      </c>
      <c r="B62" s="223">
        <v>1.5652000000000001E-3</v>
      </c>
      <c r="C62" s="220">
        <v>1626.9</v>
      </c>
      <c r="D62" s="220">
        <v>1697.3</v>
      </c>
      <c r="E62" s="210">
        <v>3.7464</v>
      </c>
      <c r="F62" s="82"/>
      <c r="G62" s="82"/>
      <c r="H62" s="28"/>
    </row>
    <row r="63" spans="1:8" ht="18.75" customHeight="1" x14ac:dyDescent="0.25">
      <c r="A63" s="86">
        <v>380</v>
      </c>
      <c r="B63" s="223">
        <v>1.6294E-3</v>
      </c>
      <c r="C63" s="220">
        <v>1686.3</v>
      </c>
      <c r="D63" s="220">
        <v>1759.6</v>
      </c>
      <c r="E63" s="210">
        <v>3.8424999999999998</v>
      </c>
      <c r="F63" s="82"/>
      <c r="G63" s="82"/>
      <c r="H63" s="28"/>
    </row>
    <row r="64" spans="1:8" ht="18.75" customHeight="1" x14ac:dyDescent="0.25">
      <c r="A64" s="86">
        <v>390</v>
      </c>
      <c r="B64" s="223">
        <v>1.7071E-3</v>
      </c>
      <c r="C64" s="220">
        <v>1749.1</v>
      </c>
      <c r="D64" s="220">
        <v>1825.9</v>
      </c>
      <c r="E64" s="210">
        <v>3.9432999999999998</v>
      </c>
      <c r="F64" s="82"/>
      <c r="G64" s="82"/>
      <c r="H64" s="28"/>
    </row>
    <row r="65" spans="1:8" ht="18.75" customHeight="1" x14ac:dyDescent="0.25">
      <c r="A65" s="86">
        <v>400</v>
      </c>
      <c r="B65" s="223">
        <v>1.8033999999999999E-3</v>
      </c>
      <c r="C65" s="220">
        <v>1816.5</v>
      </c>
      <c r="D65" s="220">
        <v>1897.7</v>
      </c>
      <c r="E65" s="210">
        <v>4.0507</v>
      </c>
      <c r="F65" s="82"/>
      <c r="G65" s="82"/>
      <c r="H65" s="28"/>
    </row>
    <row r="66" spans="1:8" ht="18.75" customHeight="1" x14ac:dyDescent="0.25">
      <c r="A66" s="86">
        <v>410</v>
      </c>
      <c r="B66" s="223">
        <v>1.9266999999999999E-3</v>
      </c>
      <c r="C66" s="220">
        <v>1889.7</v>
      </c>
      <c r="D66" s="220">
        <v>1976.4</v>
      </c>
      <c r="E66" s="210">
        <v>4.1666999999999996</v>
      </c>
      <c r="F66" s="82"/>
      <c r="G66" s="82"/>
      <c r="H66" s="28"/>
    </row>
    <row r="67" spans="1:8" ht="18.75" customHeight="1" x14ac:dyDescent="0.25">
      <c r="A67" s="86">
        <v>420</v>
      </c>
      <c r="B67" s="223">
        <v>2.0879000000000002E-3</v>
      </c>
      <c r="C67" s="220">
        <v>1969.7</v>
      </c>
      <c r="D67" s="220">
        <v>2063.6999999999998</v>
      </c>
      <c r="E67" s="210">
        <v>4.2937000000000003</v>
      </c>
      <c r="F67" s="82"/>
      <c r="G67" s="82"/>
      <c r="H67" s="28"/>
    </row>
    <row r="68" spans="1:8" ht="18.75" customHeight="1" x14ac:dyDescent="0.25">
      <c r="A68" s="86">
        <v>430</v>
      </c>
      <c r="B68" s="223">
        <v>2.3016E-3</v>
      </c>
      <c r="C68" s="220">
        <v>2057.5</v>
      </c>
      <c r="D68" s="220">
        <v>2161.1</v>
      </c>
      <c r="E68" s="210">
        <v>4.4330999999999996</v>
      </c>
      <c r="F68" s="82"/>
      <c r="G68" s="82"/>
      <c r="H68" s="28"/>
    </row>
    <row r="69" spans="1:8" ht="18.75" customHeight="1" x14ac:dyDescent="0.25">
      <c r="A69" s="86">
        <v>440</v>
      </c>
      <c r="B69" s="223">
        <v>2.5807999999999998E-3</v>
      </c>
      <c r="C69" s="220">
        <v>2151.8000000000002</v>
      </c>
      <c r="D69" s="220">
        <v>2267.9</v>
      </c>
      <c r="E69" s="210">
        <v>4.5838999999999999</v>
      </c>
      <c r="F69" s="82"/>
      <c r="G69" s="82"/>
      <c r="H69" s="28"/>
    </row>
    <row r="70" spans="1:8" ht="18.75" customHeight="1" x14ac:dyDescent="0.25">
      <c r="A70" s="86">
        <v>450</v>
      </c>
      <c r="B70" s="223">
        <v>2.9153999999999998E-3</v>
      </c>
      <c r="C70" s="220">
        <v>2246.4</v>
      </c>
      <c r="D70" s="220">
        <v>2377.6</v>
      </c>
      <c r="E70" s="210">
        <v>4.7366999999999999</v>
      </c>
      <c r="F70" s="82"/>
      <c r="G70" s="82"/>
      <c r="H70" s="28"/>
    </row>
    <row r="71" spans="1:8" ht="18.75" customHeight="1" x14ac:dyDescent="0.25">
      <c r="A71" s="86">
        <v>460</v>
      </c>
      <c r="B71" s="223">
        <v>3.2774000000000002E-3</v>
      </c>
      <c r="C71" s="220">
        <v>2335.1999999999998</v>
      </c>
      <c r="D71" s="220">
        <v>2482.6999999999998</v>
      </c>
      <c r="E71" s="210">
        <v>4.8810000000000002</v>
      </c>
      <c r="F71" s="82"/>
      <c r="G71" s="82"/>
      <c r="H71" s="28"/>
    </row>
    <row r="72" spans="1:8" ht="18.75" customHeight="1" x14ac:dyDescent="0.25">
      <c r="A72" s="86">
        <v>470</v>
      </c>
      <c r="B72" s="223">
        <v>3.6415000000000002E-3</v>
      </c>
      <c r="C72" s="220">
        <v>2415.1</v>
      </c>
      <c r="D72" s="220">
        <v>2579</v>
      </c>
      <c r="E72" s="210">
        <v>5.0114999999999998</v>
      </c>
      <c r="F72" s="82"/>
      <c r="G72" s="82"/>
      <c r="H72" s="28"/>
    </row>
    <row r="73" spans="1:8" ht="18.75" customHeight="1" x14ac:dyDescent="0.25">
      <c r="A73" s="86">
        <v>480</v>
      </c>
      <c r="B73" s="223">
        <v>3.9921999999999996E-3</v>
      </c>
      <c r="C73" s="220">
        <v>2485.9</v>
      </c>
      <c r="D73" s="220">
        <v>2665.5</v>
      </c>
      <c r="E73" s="210">
        <v>5.1272000000000002</v>
      </c>
      <c r="F73" s="82"/>
      <c r="G73" s="82"/>
      <c r="H73" s="28"/>
    </row>
    <row r="74" spans="1:8" ht="18.75" customHeight="1" x14ac:dyDescent="0.25">
      <c r="A74" s="86">
        <v>490</v>
      </c>
      <c r="B74" s="223">
        <v>4.3229000000000002E-3</v>
      </c>
      <c r="C74" s="220">
        <v>2548.6</v>
      </c>
      <c r="D74" s="220">
        <v>2743.1</v>
      </c>
      <c r="E74" s="210">
        <v>5.2294999999999998</v>
      </c>
      <c r="F74" s="82"/>
      <c r="G74" s="82"/>
      <c r="H74" s="28"/>
    </row>
    <row r="75" spans="1:8" ht="18.75" customHeight="1" x14ac:dyDescent="0.25">
      <c r="A75" s="86">
        <v>500</v>
      </c>
      <c r="B75" s="223">
        <v>4.633E-3</v>
      </c>
      <c r="C75" s="220">
        <v>2604.6999999999998</v>
      </c>
      <c r="D75" s="220">
        <v>2813.2</v>
      </c>
      <c r="E75" s="210">
        <v>5.3207000000000004</v>
      </c>
      <c r="F75" s="82"/>
      <c r="G75" s="82"/>
      <c r="H75" s="28"/>
    </row>
    <row r="76" spans="1:8" ht="18.75" customHeight="1" x14ac:dyDescent="0.25">
      <c r="A76" s="86">
        <v>520</v>
      </c>
      <c r="B76" s="223">
        <v>5.1977999999999998E-3</v>
      </c>
      <c r="C76" s="220">
        <v>2701.8</v>
      </c>
      <c r="D76" s="220">
        <v>2935.7</v>
      </c>
      <c r="E76" s="210">
        <v>5.4772999999999996</v>
      </c>
      <c r="F76" s="82"/>
      <c r="G76" s="82"/>
      <c r="H76" s="28"/>
    </row>
    <row r="77" spans="1:8" ht="18.75" customHeight="1" x14ac:dyDescent="0.25">
      <c r="A77" s="86">
        <v>540</v>
      </c>
      <c r="B77" s="223">
        <v>5.7026999999999998E-3</v>
      </c>
      <c r="C77" s="220">
        <v>2784.9</v>
      </c>
      <c r="D77" s="220">
        <v>3041.5</v>
      </c>
      <c r="E77" s="210">
        <v>5.6090999999999998</v>
      </c>
      <c r="F77" s="82"/>
      <c r="G77" s="82"/>
      <c r="H77" s="28"/>
    </row>
    <row r="78" spans="1:8" ht="18.75" customHeight="1" x14ac:dyDescent="0.25">
      <c r="A78" s="86">
        <v>560</v>
      </c>
      <c r="B78" s="223">
        <v>6.1619999999999999E-3</v>
      </c>
      <c r="C78" s="220">
        <v>2858.5</v>
      </c>
      <c r="D78" s="220">
        <v>3135.8</v>
      </c>
      <c r="E78" s="210">
        <v>5.7236000000000002</v>
      </c>
      <c r="F78" s="82"/>
      <c r="G78" s="82"/>
      <c r="H78" s="28"/>
    </row>
    <row r="79" spans="1:8" ht="18.75" customHeight="1" x14ac:dyDescent="0.25">
      <c r="A79" s="86">
        <v>580</v>
      </c>
      <c r="B79" s="223">
        <v>6.5861000000000001E-3</v>
      </c>
      <c r="C79" s="220">
        <v>2925.3</v>
      </c>
      <c r="D79" s="220">
        <v>3221.7</v>
      </c>
      <c r="E79" s="210">
        <v>5.8254999999999999</v>
      </c>
      <c r="F79" s="82"/>
      <c r="G79" s="82"/>
      <c r="H79" s="28"/>
    </row>
    <row r="80" spans="1:8" ht="18.75" customHeight="1" x14ac:dyDescent="0.25">
      <c r="A80" s="86">
        <v>600</v>
      </c>
      <c r="B80" s="223">
        <v>6.9825E-3</v>
      </c>
      <c r="C80" s="220">
        <v>2987.3</v>
      </c>
      <c r="D80" s="220">
        <v>3301.5</v>
      </c>
      <c r="E80" s="210">
        <v>5.9179000000000004</v>
      </c>
      <c r="F80" s="82"/>
      <c r="G80" s="82"/>
      <c r="H80" s="28"/>
    </row>
    <row r="81" spans="1:8" ht="18.75" customHeight="1" x14ac:dyDescent="0.25">
      <c r="A81" s="86">
        <v>620</v>
      </c>
      <c r="B81" s="223">
        <v>7.3565000000000002E-3</v>
      </c>
      <c r="C81" s="220">
        <v>3045.5</v>
      </c>
      <c r="D81" s="220">
        <v>3376.5</v>
      </c>
      <c r="E81" s="210">
        <v>6.0029000000000003</v>
      </c>
      <c r="F81" s="82"/>
      <c r="G81" s="82"/>
      <c r="H81" s="28"/>
    </row>
    <row r="82" spans="1:8" ht="18.75" customHeight="1" x14ac:dyDescent="0.25">
      <c r="A82" s="86">
        <v>640</v>
      </c>
      <c r="B82" s="223">
        <v>7.7121999999999998E-3</v>
      </c>
      <c r="C82" s="220">
        <v>3100.9</v>
      </c>
      <c r="D82" s="220">
        <v>3447.9</v>
      </c>
      <c r="E82" s="210">
        <v>6.0819999999999999</v>
      </c>
      <c r="F82" s="82"/>
      <c r="G82" s="82"/>
      <c r="H82" s="28"/>
    </row>
    <row r="83" spans="1:8" ht="18.75" customHeight="1" x14ac:dyDescent="0.25">
      <c r="A83" s="86">
        <v>660</v>
      </c>
      <c r="B83" s="223">
        <v>8.0526999999999994E-3</v>
      </c>
      <c r="C83" s="220">
        <v>3154</v>
      </c>
      <c r="D83" s="220">
        <v>3516.4</v>
      </c>
      <c r="E83" s="210">
        <v>6.1562000000000001</v>
      </c>
      <c r="F83" s="82"/>
      <c r="G83" s="82"/>
      <c r="H83" s="28"/>
    </row>
    <row r="84" spans="1:8" ht="18.75" customHeight="1" x14ac:dyDescent="0.25">
      <c r="A84" s="86">
        <v>680</v>
      </c>
      <c r="B84" s="223">
        <v>8.3802000000000008E-3</v>
      </c>
      <c r="C84" s="220">
        <v>3205.4</v>
      </c>
      <c r="D84" s="220">
        <v>3582.5</v>
      </c>
      <c r="E84" s="210">
        <v>6.2263000000000002</v>
      </c>
      <c r="F84" s="82"/>
      <c r="G84" s="82"/>
      <c r="H84" s="28"/>
    </row>
    <row r="85" spans="1:8" ht="18.75" customHeight="1" x14ac:dyDescent="0.25">
      <c r="A85" s="86">
        <v>700</v>
      </c>
      <c r="B85" s="223">
        <v>8.6966999999999999E-3</v>
      </c>
      <c r="C85" s="220">
        <v>3255.4</v>
      </c>
      <c r="D85" s="220">
        <v>3646.8</v>
      </c>
      <c r="E85" s="210">
        <v>6.2930000000000001</v>
      </c>
      <c r="F85" s="82"/>
      <c r="G85" s="82"/>
      <c r="H85" s="28"/>
    </row>
    <row r="86" spans="1:8" ht="18.75" customHeight="1" x14ac:dyDescent="0.25">
      <c r="A86" s="86">
        <v>720</v>
      </c>
      <c r="B86" s="223">
        <v>9.0036999999999999E-3</v>
      </c>
      <c r="C86" s="220">
        <v>3304.2</v>
      </c>
      <c r="D86" s="220">
        <v>3709.4</v>
      </c>
      <c r="E86" s="210">
        <v>6.3567999999999998</v>
      </c>
      <c r="F86" s="82"/>
      <c r="G86" s="82"/>
      <c r="H86" s="28"/>
    </row>
    <row r="87" spans="1:8" ht="18.75" customHeight="1" x14ac:dyDescent="0.25">
      <c r="A87" s="86">
        <v>740</v>
      </c>
      <c r="B87" s="223">
        <v>9.3025E-3</v>
      </c>
      <c r="C87" s="220">
        <v>3352.2</v>
      </c>
      <c r="D87" s="220">
        <v>3770.8</v>
      </c>
      <c r="E87" s="210">
        <v>6.4179000000000004</v>
      </c>
      <c r="F87" s="82"/>
      <c r="G87" s="82"/>
      <c r="H87" s="28"/>
    </row>
    <row r="88" spans="1:8" ht="18.75" customHeight="1" x14ac:dyDescent="0.25">
      <c r="A88" s="86">
        <v>760</v>
      </c>
      <c r="B88" s="223">
        <v>9.5939000000000007E-3</v>
      </c>
      <c r="C88" s="220">
        <v>3399.4</v>
      </c>
      <c r="D88" s="220">
        <v>3831.1</v>
      </c>
      <c r="E88" s="210">
        <v>6.4768999999999997</v>
      </c>
      <c r="F88" s="82"/>
      <c r="G88" s="82"/>
      <c r="H88" s="28"/>
    </row>
    <row r="89" spans="1:8" ht="18.75" customHeight="1" x14ac:dyDescent="0.25">
      <c r="A89" s="86">
        <v>780</v>
      </c>
      <c r="B89" s="223">
        <v>9.8788999999999995E-3</v>
      </c>
      <c r="C89" s="220">
        <v>3445.9</v>
      </c>
      <c r="D89" s="220">
        <v>3890.5</v>
      </c>
      <c r="E89" s="210">
        <v>6.5338000000000003</v>
      </c>
      <c r="F89" s="82"/>
      <c r="G89" s="82"/>
      <c r="H89" s="28"/>
    </row>
    <row r="90" spans="1:8" ht="18.75" customHeight="1" x14ac:dyDescent="0.25">
      <c r="A90" s="86">
        <v>800</v>
      </c>
      <c r="B90" s="224">
        <v>1.0158E-2</v>
      </c>
      <c r="C90" s="220">
        <v>3492</v>
      </c>
      <c r="D90" s="220">
        <v>3949.1</v>
      </c>
      <c r="E90" s="210">
        <v>6.5888999999999998</v>
      </c>
      <c r="F90" s="82"/>
      <c r="G90" s="82"/>
      <c r="H90" s="28"/>
    </row>
    <row r="91" spans="1:8" ht="18.75" customHeight="1" x14ac:dyDescent="0.25">
      <c r="A91" s="86">
        <v>820</v>
      </c>
      <c r="B91" s="224">
        <v>1.0432E-2</v>
      </c>
      <c r="C91" s="220">
        <v>3537.7</v>
      </c>
      <c r="D91" s="220">
        <v>4007.1</v>
      </c>
      <c r="E91" s="210">
        <v>6.6425000000000001</v>
      </c>
      <c r="F91" s="82"/>
      <c r="G91" s="82"/>
      <c r="H91" s="28"/>
    </row>
    <row r="92" spans="1:8" ht="18.75" customHeight="1" x14ac:dyDescent="0.25">
      <c r="A92" s="86">
        <v>840</v>
      </c>
      <c r="B92" s="224">
        <v>1.0702E-2</v>
      </c>
      <c r="C92" s="220">
        <v>3583</v>
      </c>
      <c r="D92" s="220">
        <v>4064.6</v>
      </c>
      <c r="E92" s="210">
        <v>6.6946000000000003</v>
      </c>
      <c r="F92" s="82"/>
      <c r="G92" s="82"/>
      <c r="H92" s="28"/>
    </row>
    <row r="93" spans="1:8" ht="18.75" customHeight="1" x14ac:dyDescent="0.25">
      <c r="A93" s="86">
        <v>860</v>
      </c>
      <c r="B93" s="224">
        <v>1.0966999999999999E-2</v>
      </c>
      <c r="C93" s="220">
        <v>3628.1</v>
      </c>
      <c r="D93" s="220">
        <v>4121.6000000000004</v>
      </c>
      <c r="E93" s="210">
        <v>6.7454000000000001</v>
      </c>
      <c r="F93" s="82"/>
      <c r="G93" s="82"/>
      <c r="H93" s="28"/>
    </row>
    <row r="94" spans="1:8" ht="18.75" customHeight="1" x14ac:dyDescent="0.25">
      <c r="A94" s="86">
        <v>880</v>
      </c>
      <c r="B94" s="224">
        <v>1.1228999999999999E-2</v>
      </c>
      <c r="C94" s="220">
        <v>3672.9</v>
      </c>
      <c r="D94" s="220">
        <v>4178.2</v>
      </c>
      <c r="E94" s="210">
        <v>6.7949000000000002</v>
      </c>
      <c r="F94" s="82"/>
      <c r="G94" s="82"/>
      <c r="H94" s="28"/>
    </row>
    <row r="95" spans="1:8" ht="18.75" customHeight="1" x14ac:dyDescent="0.25">
      <c r="A95" s="86">
        <v>900</v>
      </c>
      <c r="B95" s="224">
        <v>1.1487000000000001E-2</v>
      </c>
      <c r="C95" s="220">
        <v>3717.7</v>
      </c>
      <c r="D95" s="220">
        <v>4234.6000000000004</v>
      </c>
      <c r="E95" s="210">
        <v>6.8433000000000002</v>
      </c>
      <c r="F95" s="82"/>
      <c r="G95" s="82"/>
      <c r="H95" s="28"/>
    </row>
    <row r="96" spans="1:8" ht="18.75" customHeight="1" x14ac:dyDescent="0.25">
      <c r="A96" s="86">
        <v>920</v>
      </c>
      <c r="B96" s="224">
        <v>1.1743E-2</v>
      </c>
      <c r="C96" s="220">
        <v>3762.3</v>
      </c>
      <c r="D96" s="220">
        <v>4290.7</v>
      </c>
      <c r="E96" s="210">
        <v>6.8906999999999998</v>
      </c>
      <c r="F96" s="82"/>
      <c r="G96" s="82"/>
      <c r="H96" s="28"/>
    </row>
    <row r="97" spans="1:8" ht="18.75" customHeight="1" x14ac:dyDescent="0.25">
      <c r="A97" s="86">
        <v>940</v>
      </c>
      <c r="B97" s="224">
        <v>1.1995E-2</v>
      </c>
      <c r="C97" s="220">
        <v>3806.7</v>
      </c>
      <c r="D97" s="220">
        <v>4346.5</v>
      </c>
      <c r="E97" s="210">
        <v>6.9371999999999998</v>
      </c>
      <c r="F97" s="82"/>
      <c r="G97" s="82"/>
      <c r="H97" s="28"/>
    </row>
    <row r="98" spans="1:8" ht="18.75" customHeight="1" x14ac:dyDescent="0.25">
      <c r="A98" s="86">
        <v>960</v>
      </c>
      <c r="B98" s="224">
        <v>1.2244E-2</v>
      </c>
      <c r="C98" s="220">
        <v>3851.2</v>
      </c>
      <c r="D98" s="220">
        <v>4402.2</v>
      </c>
      <c r="E98" s="210">
        <v>6.9827000000000004</v>
      </c>
      <c r="F98" s="82"/>
      <c r="G98" s="82"/>
      <c r="H98" s="28"/>
    </row>
    <row r="99" spans="1:8" ht="18.75" customHeight="1" x14ac:dyDescent="0.25">
      <c r="A99" s="86">
        <v>980</v>
      </c>
      <c r="B99" s="224">
        <v>1.2492E-2</v>
      </c>
      <c r="C99" s="220">
        <v>3895.7</v>
      </c>
      <c r="D99" s="220">
        <v>4457.8</v>
      </c>
      <c r="E99" s="210">
        <v>7.0274000000000001</v>
      </c>
      <c r="F99" s="82"/>
      <c r="G99" s="82"/>
      <c r="H99" s="28"/>
    </row>
    <row r="100" spans="1:8" ht="18.75" customHeight="1" x14ac:dyDescent="0.25">
      <c r="A100" s="86">
        <v>1000</v>
      </c>
      <c r="B100" s="224">
        <v>1.2737E-2</v>
      </c>
      <c r="C100" s="220">
        <v>3940.1</v>
      </c>
      <c r="D100" s="220">
        <v>4513.3</v>
      </c>
      <c r="E100" s="210">
        <v>7.0712999999999999</v>
      </c>
      <c r="F100" s="82"/>
      <c r="G100" s="82"/>
      <c r="H100" s="28"/>
    </row>
  </sheetData>
  <mergeCells count="1">
    <mergeCell ref="A1:H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H100"/>
  <sheetViews>
    <sheetView topLeftCell="A42" workbookViewId="0">
      <selection activeCell="F53" sqref="F53:F100"/>
    </sheetView>
  </sheetViews>
  <sheetFormatPr defaultRowHeight="13.2" x14ac:dyDescent="0.25"/>
  <cols>
    <col min="1" max="1" width="7.5546875" customWidth="1"/>
    <col min="2" max="2" width="12.44140625" customWidth="1"/>
    <col min="3" max="4" width="9" customWidth="1"/>
    <col min="5" max="5" width="8.5546875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208" t="s">
        <v>106</v>
      </c>
      <c r="B1" s="208"/>
      <c r="C1" s="208"/>
      <c r="D1" s="208"/>
      <c r="E1" s="208"/>
      <c r="F1" s="208"/>
      <c r="G1" s="208"/>
      <c r="H1" s="208"/>
    </row>
    <row r="2" spans="1:8" ht="18.75" customHeight="1" x14ac:dyDescent="0.25">
      <c r="A2" s="89" t="s">
        <v>126</v>
      </c>
      <c r="B2" s="90">
        <v>50000</v>
      </c>
      <c r="C2" s="88"/>
      <c r="D2" s="88"/>
      <c r="E2" s="88"/>
      <c r="F2" s="88"/>
      <c r="G2" s="88"/>
      <c r="H2" s="88"/>
    </row>
    <row r="3" spans="1:8" ht="15.75" customHeight="1" x14ac:dyDescent="0.25">
      <c r="A3" s="2" t="s">
        <v>26</v>
      </c>
      <c r="B3" s="92" t="s">
        <v>27</v>
      </c>
      <c r="C3" s="92" t="s">
        <v>28</v>
      </c>
      <c r="D3" s="92" t="s">
        <v>29</v>
      </c>
      <c r="E3" s="92" t="s">
        <v>30</v>
      </c>
      <c r="F3" s="93"/>
    </row>
    <row r="4" spans="1:8" ht="18.75" customHeight="1" x14ac:dyDescent="0.25">
      <c r="A4" s="1" t="s">
        <v>31</v>
      </c>
      <c r="B4" s="94" t="s">
        <v>18</v>
      </c>
      <c r="C4" s="96" t="s">
        <v>19</v>
      </c>
      <c r="D4" s="96" t="s">
        <v>19</v>
      </c>
      <c r="E4" s="96" t="s">
        <v>32</v>
      </c>
      <c r="F4" s="97"/>
    </row>
    <row r="5" spans="1:8" ht="18.75" customHeight="1" x14ac:dyDescent="0.25">
      <c r="A5" s="3">
        <v>0</v>
      </c>
      <c r="B5" s="99">
        <v>9.7673000000000009E-4</v>
      </c>
      <c r="C5" s="100">
        <v>0.28999999999999998</v>
      </c>
      <c r="D5" s="100">
        <v>49.13</v>
      </c>
      <c r="E5" s="101">
        <v>-1.0300000000000001E-3</v>
      </c>
      <c r="F5" s="102"/>
    </row>
    <row r="6" spans="1:8" ht="18.75" customHeight="1" x14ac:dyDescent="0.25">
      <c r="A6" s="4">
        <v>5</v>
      </c>
      <c r="B6" s="104">
        <v>9.7733E-4</v>
      </c>
      <c r="C6" s="105">
        <v>20.41</v>
      </c>
      <c r="D6" s="105">
        <v>69.28</v>
      </c>
      <c r="E6" s="106">
        <v>7.2069999999999995E-2</v>
      </c>
      <c r="F6" s="107"/>
    </row>
    <row r="7" spans="1:8" ht="18.75" customHeight="1" x14ac:dyDescent="0.25">
      <c r="A7" s="4">
        <v>10</v>
      </c>
      <c r="B7" s="104">
        <v>9.7816000000000005E-4</v>
      </c>
      <c r="C7" s="105">
        <v>40.56</v>
      </c>
      <c r="D7" s="105">
        <v>89.47</v>
      </c>
      <c r="E7" s="106">
        <v>0.14402000000000001</v>
      </c>
      <c r="F7" s="107"/>
    </row>
    <row r="8" spans="1:8" ht="18.75" customHeight="1" x14ac:dyDescent="0.25">
      <c r="A8" s="4">
        <v>15</v>
      </c>
      <c r="B8" s="104">
        <v>9.7922000000000005E-4</v>
      </c>
      <c r="C8" s="105">
        <v>60.73</v>
      </c>
      <c r="D8" s="105">
        <v>109.69</v>
      </c>
      <c r="E8" s="106">
        <v>0.21482999999999999</v>
      </c>
      <c r="F8" s="107"/>
    </row>
    <row r="9" spans="1:8" ht="18.75" customHeight="1" x14ac:dyDescent="0.25">
      <c r="A9" s="4">
        <v>20</v>
      </c>
      <c r="B9" s="104">
        <v>9.8047E-4</v>
      </c>
      <c r="C9" s="105">
        <v>80.930000000000007</v>
      </c>
      <c r="D9" s="105">
        <v>129.94999999999999</v>
      </c>
      <c r="E9" s="106">
        <v>0.28454000000000002</v>
      </c>
      <c r="F9" s="107"/>
    </row>
    <row r="10" spans="1:8" ht="18.75" customHeight="1" x14ac:dyDescent="0.25">
      <c r="A10" s="4">
        <v>25</v>
      </c>
      <c r="B10" s="104">
        <v>9.8189000000000002E-4</v>
      </c>
      <c r="C10" s="105">
        <v>101.15</v>
      </c>
      <c r="D10" s="105">
        <v>150.24</v>
      </c>
      <c r="E10" s="106">
        <v>0.35315999999999997</v>
      </c>
      <c r="F10" s="107"/>
    </row>
    <row r="11" spans="1:8" ht="18.75" customHeight="1" x14ac:dyDescent="0.25">
      <c r="A11" s="4">
        <v>30</v>
      </c>
      <c r="B11" s="104">
        <v>9.8349000000000006E-4</v>
      </c>
      <c r="C11" s="105">
        <v>121.39</v>
      </c>
      <c r="D11" s="105">
        <v>170.56</v>
      </c>
      <c r="E11" s="106">
        <v>0.42072999999999999</v>
      </c>
      <c r="F11" s="107"/>
    </row>
    <row r="12" spans="1:8" ht="18.75" customHeight="1" x14ac:dyDescent="0.25">
      <c r="A12" s="4">
        <v>35</v>
      </c>
      <c r="B12" s="104">
        <v>9.8525000000000001E-4</v>
      </c>
      <c r="C12" s="105">
        <v>141.63</v>
      </c>
      <c r="D12" s="105">
        <v>190.89</v>
      </c>
      <c r="E12" s="106">
        <v>0.48726999999999998</v>
      </c>
      <c r="F12" s="107"/>
    </row>
    <row r="13" spans="1:8" ht="18.75" customHeight="1" x14ac:dyDescent="0.25">
      <c r="A13" s="4">
        <v>40</v>
      </c>
      <c r="B13" s="104">
        <v>9.8715000000000001E-4</v>
      </c>
      <c r="C13" s="105">
        <v>161.88999999999999</v>
      </c>
      <c r="D13" s="105">
        <v>211.25</v>
      </c>
      <c r="E13" s="106">
        <v>0.55281000000000002</v>
      </c>
      <c r="F13" s="107"/>
    </row>
    <row r="14" spans="1:8" ht="18.75" customHeight="1" x14ac:dyDescent="0.25">
      <c r="A14" s="4">
        <v>45</v>
      </c>
      <c r="B14" s="104">
        <v>9.8919999999999998E-4</v>
      </c>
      <c r="C14" s="105">
        <v>182.17</v>
      </c>
      <c r="D14" s="105">
        <v>231.63</v>
      </c>
      <c r="E14" s="106">
        <v>0.61738000000000004</v>
      </c>
      <c r="F14" s="107"/>
    </row>
    <row r="15" spans="1:8" ht="18.75" customHeight="1" x14ac:dyDescent="0.25">
      <c r="A15" s="4">
        <v>50</v>
      </c>
      <c r="B15" s="104">
        <v>9.9138999999999998E-4</v>
      </c>
      <c r="C15" s="105">
        <v>202.46</v>
      </c>
      <c r="D15" s="105">
        <v>252.03</v>
      </c>
      <c r="E15" s="106">
        <v>0.68100000000000005</v>
      </c>
      <c r="F15" s="107"/>
    </row>
    <row r="16" spans="1:8" ht="18.75" customHeight="1" x14ac:dyDescent="0.25">
      <c r="A16" s="4">
        <v>55</v>
      </c>
      <c r="B16" s="104">
        <v>9.9371000000000008E-4</v>
      </c>
      <c r="C16" s="105">
        <v>222.76</v>
      </c>
      <c r="D16" s="105">
        <v>272.45</v>
      </c>
      <c r="E16" s="106">
        <v>0.74368999999999996</v>
      </c>
      <c r="F16" s="107"/>
    </row>
    <row r="17" spans="1:6" ht="18.75" customHeight="1" x14ac:dyDescent="0.25">
      <c r="A17" s="4">
        <v>60</v>
      </c>
      <c r="B17" s="104">
        <v>9.9616000000000006E-4</v>
      </c>
      <c r="C17" s="105">
        <v>243.07</v>
      </c>
      <c r="D17" s="105">
        <v>292.88</v>
      </c>
      <c r="E17" s="106">
        <v>0.80549000000000004</v>
      </c>
      <c r="F17" s="107"/>
    </row>
    <row r="18" spans="1:6" ht="18.75" customHeight="1" x14ac:dyDescent="0.25">
      <c r="A18" s="4">
        <v>65</v>
      </c>
      <c r="B18" s="104">
        <v>9.9872999999999997E-4</v>
      </c>
      <c r="C18" s="105">
        <v>263.39</v>
      </c>
      <c r="D18" s="105">
        <v>313.33</v>
      </c>
      <c r="E18" s="106">
        <v>0.86641999999999997</v>
      </c>
      <c r="F18" s="107"/>
    </row>
    <row r="19" spans="1:6" ht="18.75" customHeight="1" x14ac:dyDescent="0.25">
      <c r="A19" s="4">
        <v>70</v>
      </c>
      <c r="B19" s="104">
        <v>1.00143E-3</v>
      </c>
      <c r="C19" s="105">
        <v>283.73</v>
      </c>
      <c r="D19" s="105">
        <v>333.8</v>
      </c>
      <c r="E19" s="106">
        <v>0.92649999999999999</v>
      </c>
      <c r="F19" s="107"/>
    </row>
    <row r="20" spans="1:6" ht="18.75" customHeight="1" x14ac:dyDescent="0.25">
      <c r="A20" s="4">
        <v>75</v>
      </c>
      <c r="B20" s="104">
        <v>1.0042499999999999E-3</v>
      </c>
      <c r="C20" s="105">
        <v>304.07</v>
      </c>
      <c r="D20" s="105">
        <v>354.28</v>
      </c>
      <c r="E20" s="106">
        <v>0.98575000000000002</v>
      </c>
      <c r="F20" s="107"/>
    </row>
    <row r="21" spans="1:6" ht="18.75" customHeight="1" x14ac:dyDescent="0.25">
      <c r="A21" s="4">
        <v>80</v>
      </c>
      <c r="B21" s="104">
        <v>1.00719E-3</v>
      </c>
      <c r="C21" s="105">
        <v>324.42</v>
      </c>
      <c r="D21" s="105">
        <v>374.78</v>
      </c>
      <c r="E21" s="108">
        <v>1.0442</v>
      </c>
      <c r="F21" s="109"/>
    </row>
    <row r="22" spans="1:6" ht="18.75" customHeight="1" x14ac:dyDescent="0.25">
      <c r="A22" s="4">
        <v>85</v>
      </c>
      <c r="B22" s="104">
        <v>1.0102500000000001E-3</v>
      </c>
      <c r="C22" s="105">
        <v>344.78</v>
      </c>
      <c r="D22" s="105">
        <v>395.29</v>
      </c>
      <c r="E22" s="108">
        <v>1.1019000000000001</v>
      </c>
      <c r="F22" s="109"/>
    </row>
    <row r="23" spans="1:6" ht="18.75" customHeight="1" x14ac:dyDescent="0.25">
      <c r="A23" s="4">
        <v>90</v>
      </c>
      <c r="B23" s="104">
        <v>1.0134300000000001E-3</v>
      </c>
      <c r="C23" s="105">
        <v>365.15</v>
      </c>
      <c r="D23" s="105">
        <v>415.82</v>
      </c>
      <c r="E23" s="108">
        <v>1.1588000000000001</v>
      </c>
      <c r="F23" s="109"/>
    </row>
    <row r="24" spans="1:6" ht="18.75" customHeight="1" x14ac:dyDescent="0.25">
      <c r="A24" s="4">
        <v>95</v>
      </c>
      <c r="B24" s="104">
        <v>1.01672E-3</v>
      </c>
      <c r="C24" s="105">
        <v>385.53</v>
      </c>
      <c r="D24" s="105">
        <v>436.37</v>
      </c>
      <c r="E24" s="108">
        <v>1.2150000000000001</v>
      </c>
      <c r="F24" s="109"/>
    </row>
    <row r="25" spans="1:6" ht="18.75" customHeight="1" x14ac:dyDescent="0.25">
      <c r="A25" s="4">
        <v>100</v>
      </c>
      <c r="B25" s="104">
        <v>1.02013E-3</v>
      </c>
      <c r="C25" s="105">
        <v>405.93</v>
      </c>
      <c r="D25" s="105">
        <v>456.94</v>
      </c>
      <c r="E25" s="108">
        <v>1.2705</v>
      </c>
      <c r="F25" s="109"/>
    </row>
    <row r="26" spans="1:6" ht="18.75" customHeight="1" x14ac:dyDescent="0.25">
      <c r="A26" s="4">
        <v>105</v>
      </c>
      <c r="B26" s="104">
        <v>1.0236500000000001E-3</v>
      </c>
      <c r="C26" s="105">
        <v>426.35</v>
      </c>
      <c r="D26" s="105">
        <v>477.53</v>
      </c>
      <c r="E26" s="108">
        <v>1.3252999999999999</v>
      </c>
      <c r="F26" s="109"/>
    </row>
    <row r="27" spans="1:6" ht="18.75" customHeight="1" x14ac:dyDescent="0.25">
      <c r="A27" s="4">
        <v>110</v>
      </c>
      <c r="B27" s="104">
        <v>1.0273000000000001E-3</v>
      </c>
      <c r="C27" s="105">
        <v>446.78</v>
      </c>
      <c r="D27" s="105">
        <v>498.14</v>
      </c>
      <c r="E27" s="108">
        <v>1.3794999999999999</v>
      </c>
      <c r="F27" s="109"/>
    </row>
    <row r="28" spans="1:6" ht="18.75" customHeight="1" x14ac:dyDescent="0.25">
      <c r="A28" s="4">
        <v>115</v>
      </c>
      <c r="B28" s="104">
        <v>1.0310600000000001E-3</v>
      </c>
      <c r="C28" s="105">
        <v>467.22</v>
      </c>
      <c r="D28" s="105">
        <v>518.77</v>
      </c>
      <c r="E28" s="108">
        <v>1.4330000000000001</v>
      </c>
      <c r="F28" s="109"/>
    </row>
    <row r="29" spans="1:6" ht="18.75" customHeight="1" x14ac:dyDescent="0.25">
      <c r="A29" s="4">
        <v>120</v>
      </c>
      <c r="B29" s="104">
        <v>1.03494E-3</v>
      </c>
      <c r="C29" s="105">
        <v>487.68</v>
      </c>
      <c r="D29" s="105">
        <v>539.42999999999995</v>
      </c>
      <c r="E29" s="108">
        <v>1.4859</v>
      </c>
      <c r="F29" s="109"/>
    </row>
    <row r="30" spans="1:6" ht="18.75" customHeight="1" x14ac:dyDescent="0.25">
      <c r="A30" s="4">
        <v>125</v>
      </c>
      <c r="B30" s="104">
        <v>1.0389399999999999E-3</v>
      </c>
      <c r="C30" s="105">
        <v>508.17</v>
      </c>
      <c r="D30" s="105">
        <v>560.12</v>
      </c>
      <c r="E30" s="108">
        <v>1.5381</v>
      </c>
      <c r="F30" s="109"/>
    </row>
    <row r="31" spans="1:6" ht="18.75" customHeight="1" x14ac:dyDescent="0.25">
      <c r="A31" s="4">
        <v>130</v>
      </c>
      <c r="B31" s="104">
        <v>1.04306E-3</v>
      </c>
      <c r="C31" s="105">
        <v>528.67999999999995</v>
      </c>
      <c r="D31" s="105">
        <v>580.83000000000004</v>
      </c>
      <c r="E31" s="108">
        <v>1.5898000000000001</v>
      </c>
      <c r="F31" s="109"/>
    </row>
    <row r="32" spans="1:6" ht="18.75" customHeight="1" x14ac:dyDescent="0.25">
      <c r="A32" s="4">
        <v>135</v>
      </c>
      <c r="B32" s="104">
        <v>1.0472999999999999E-3</v>
      </c>
      <c r="C32" s="105">
        <v>549.22</v>
      </c>
      <c r="D32" s="105">
        <v>601.58000000000004</v>
      </c>
      <c r="E32" s="108">
        <v>1.641</v>
      </c>
      <c r="F32" s="109"/>
    </row>
    <row r="33" spans="1:6" ht="18.75" customHeight="1" x14ac:dyDescent="0.25">
      <c r="A33" s="4">
        <v>140</v>
      </c>
      <c r="B33" s="104">
        <v>1.05167E-3</v>
      </c>
      <c r="C33" s="105">
        <v>569.78</v>
      </c>
      <c r="D33" s="105">
        <v>622.36</v>
      </c>
      <c r="E33" s="108">
        <v>1.6916</v>
      </c>
      <c r="F33" s="109"/>
    </row>
    <row r="34" spans="1:6" ht="18.75" customHeight="1" x14ac:dyDescent="0.25">
      <c r="A34" s="4">
        <v>145</v>
      </c>
      <c r="B34" s="104">
        <v>1.05616E-3</v>
      </c>
      <c r="C34" s="105">
        <v>590.36</v>
      </c>
      <c r="D34" s="105">
        <v>643.16999999999996</v>
      </c>
      <c r="E34" s="108">
        <v>1.7417</v>
      </c>
      <c r="F34" s="109"/>
    </row>
    <row r="35" spans="1:6" ht="18.75" customHeight="1" x14ac:dyDescent="0.25">
      <c r="A35" s="4">
        <v>150</v>
      </c>
      <c r="B35" s="104">
        <v>1.06079E-3</v>
      </c>
      <c r="C35" s="105">
        <v>610.98</v>
      </c>
      <c r="D35" s="105">
        <v>664.02</v>
      </c>
      <c r="E35" s="108">
        <v>1.7911999999999999</v>
      </c>
      <c r="F35" s="109"/>
    </row>
    <row r="36" spans="1:6" ht="18.75" customHeight="1" x14ac:dyDescent="0.25">
      <c r="A36" s="4">
        <v>155</v>
      </c>
      <c r="B36" s="104">
        <v>1.06554E-3</v>
      </c>
      <c r="C36" s="105">
        <v>631.63</v>
      </c>
      <c r="D36" s="105">
        <v>684.91</v>
      </c>
      <c r="E36" s="108">
        <v>1.8403</v>
      </c>
      <c r="F36" s="109"/>
    </row>
    <row r="37" spans="1:6" ht="18.75" customHeight="1" x14ac:dyDescent="0.25">
      <c r="A37" s="4">
        <v>160</v>
      </c>
      <c r="B37" s="104">
        <v>1.07043E-3</v>
      </c>
      <c r="C37" s="105">
        <v>652.32000000000005</v>
      </c>
      <c r="D37" s="105">
        <v>705.84</v>
      </c>
      <c r="E37" s="108">
        <v>1.8889</v>
      </c>
      <c r="F37" s="109"/>
    </row>
    <row r="38" spans="1:6" ht="18.75" customHeight="1" x14ac:dyDescent="0.25">
      <c r="A38" s="4">
        <v>165</v>
      </c>
      <c r="B38" s="104">
        <v>1.0754600000000001E-3</v>
      </c>
      <c r="C38" s="105">
        <v>673.05</v>
      </c>
      <c r="D38" s="105">
        <v>726.82</v>
      </c>
      <c r="E38" s="108">
        <v>1.9371</v>
      </c>
      <c r="F38" s="109"/>
    </row>
    <row r="39" spans="1:6" ht="18.75" customHeight="1" x14ac:dyDescent="0.25">
      <c r="A39" s="4">
        <v>170</v>
      </c>
      <c r="B39" s="104">
        <v>1.08063E-3</v>
      </c>
      <c r="C39" s="105">
        <v>693.82</v>
      </c>
      <c r="D39" s="105">
        <v>747.85</v>
      </c>
      <c r="E39" s="108">
        <v>1.9847999999999999</v>
      </c>
      <c r="F39" s="109"/>
    </row>
    <row r="40" spans="1:6" ht="18.75" customHeight="1" x14ac:dyDescent="0.25">
      <c r="A40" s="4">
        <v>175</v>
      </c>
      <c r="B40" s="104">
        <v>1.0859400000000001E-3</v>
      </c>
      <c r="C40" s="105">
        <v>714.63</v>
      </c>
      <c r="D40" s="105">
        <v>768.93</v>
      </c>
      <c r="E40" s="108">
        <v>2.0320999999999998</v>
      </c>
      <c r="F40" s="109"/>
    </row>
    <row r="41" spans="1:6" ht="18.75" customHeight="1" x14ac:dyDescent="0.25">
      <c r="A41" s="4">
        <v>180</v>
      </c>
      <c r="B41" s="104">
        <v>1.0914099999999999E-3</v>
      </c>
      <c r="C41" s="105">
        <v>735.49</v>
      </c>
      <c r="D41" s="105">
        <v>790.06</v>
      </c>
      <c r="E41" s="108">
        <v>2.0790000000000002</v>
      </c>
      <c r="F41" s="109"/>
    </row>
    <row r="42" spans="1:6" ht="18.75" customHeight="1" x14ac:dyDescent="0.25">
      <c r="A42" s="4">
        <v>185</v>
      </c>
      <c r="B42" s="104">
        <v>1.0970299999999999E-3</v>
      </c>
      <c r="C42" s="105">
        <v>756.4</v>
      </c>
      <c r="D42" s="105">
        <v>811.25</v>
      </c>
      <c r="E42" s="108">
        <v>2.1255000000000002</v>
      </c>
      <c r="F42" s="109"/>
    </row>
    <row r="43" spans="1:6" ht="18.75" customHeight="1" x14ac:dyDescent="0.25">
      <c r="A43" s="4">
        <v>190</v>
      </c>
      <c r="B43" s="104">
        <v>1.1028100000000001E-3</v>
      </c>
      <c r="C43" s="105">
        <v>777.36</v>
      </c>
      <c r="D43" s="105">
        <v>832.5</v>
      </c>
      <c r="E43" s="108">
        <v>2.1716000000000002</v>
      </c>
      <c r="F43" s="109"/>
    </row>
    <row r="44" spans="1:6" ht="18.75" customHeight="1" x14ac:dyDescent="0.25">
      <c r="A44" s="4">
        <v>195</v>
      </c>
      <c r="B44" s="104">
        <v>1.1087499999999999E-3</v>
      </c>
      <c r="C44" s="105">
        <v>798.37</v>
      </c>
      <c r="D44" s="105">
        <v>853.81</v>
      </c>
      <c r="E44" s="108">
        <v>2.2174</v>
      </c>
      <c r="F44" s="109"/>
    </row>
    <row r="45" spans="1:6" ht="18.75" customHeight="1" x14ac:dyDescent="0.25">
      <c r="A45" s="4">
        <v>200</v>
      </c>
      <c r="B45" s="104">
        <v>1.1148600000000001E-3</v>
      </c>
      <c r="C45" s="105">
        <v>819.45</v>
      </c>
      <c r="D45" s="105">
        <v>875.19</v>
      </c>
      <c r="E45" s="108">
        <v>2.2627999999999999</v>
      </c>
      <c r="F45" s="109"/>
    </row>
    <row r="46" spans="1:6" ht="18.75" customHeight="1" x14ac:dyDescent="0.25">
      <c r="A46" s="4">
        <v>210</v>
      </c>
      <c r="B46" s="104">
        <v>1.1276299999999999E-3</v>
      </c>
      <c r="C46" s="105">
        <v>861.78</v>
      </c>
      <c r="D46" s="105">
        <v>918.16</v>
      </c>
      <c r="E46" s="108">
        <v>2.3527</v>
      </c>
      <c r="F46" s="109"/>
    </row>
    <row r="47" spans="1:6" ht="18.75" customHeight="1" x14ac:dyDescent="0.25">
      <c r="A47" s="4">
        <v>220</v>
      </c>
      <c r="B47" s="104">
        <v>1.14116E-3</v>
      </c>
      <c r="C47" s="105">
        <v>904.39</v>
      </c>
      <c r="D47" s="105">
        <v>961.45</v>
      </c>
      <c r="E47" s="108">
        <v>2.4413999999999998</v>
      </c>
      <c r="F47" s="109"/>
    </row>
    <row r="48" spans="1:6" ht="18.75" customHeight="1" x14ac:dyDescent="0.25">
      <c r="A48" s="4">
        <v>230</v>
      </c>
      <c r="B48" s="104">
        <v>1.1555300000000001E-3</v>
      </c>
      <c r="C48" s="105">
        <v>947.32</v>
      </c>
      <c r="D48" s="119">
        <v>1005.1</v>
      </c>
      <c r="E48" s="108">
        <v>2.5289000000000001</v>
      </c>
      <c r="F48" s="109"/>
    </row>
    <row r="49" spans="1:7" ht="18.75" customHeight="1" x14ac:dyDescent="0.25">
      <c r="A49" s="4">
        <v>240</v>
      </c>
      <c r="B49" s="104">
        <v>1.1708000000000001E-3</v>
      </c>
      <c r="C49" s="105">
        <v>990.56</v>
      </c>
      <c r="D49" s="119">
        <v>1049.0999999999999</v>
      </c>
      <c r="E49" s="108">
        <v>2.6156000000000001</v>
      </c>
      <c r="F49" s="109"/>
    </row>
    <row r="50" spans="1:7" ht="18.75" customHeight="1" x14ac:dyDescent="0.25">
      <c r="A50" s="4">
        <v>250</v>
      </c>
      <c r="B50" s="104">
        <v>1.1870699999999999E-3</v>
      </c>
      <c r="C50" s="119">
        <v>1034.0999999999999</v>
      </c>
      <c r="D50" s="119">
        <v>1093.5</v>
      </c>
      <c r="E50" s="108">
        <v>2.7012999999999998</v>
      </c>
      <c r="F50" s="109"/>
    </row>
    <row r="51" spans="1:7" ht="18.75" customHeight="1" x14ac:dyDescent="0.25">
      <c r="A51" s="4">
        <v>260</v>
      </c>
      <c r="B51" s="104">
        <v>1.20444E-3</v>
      </c>
      <c r="C51" s="119">
        <v>1078.2</v>
      </c>
      <c r="D51" s="119">
        <v>1138.4000000000001</v>
      </c>
      <c r="E51" s="108">
        <v>2.7864</v>
      </c>
      <c r="F51" s="109"/>
    </row>
    <row r="52" spans="1:7" ht="18.75" customHeight="1" x14ac:dyDescent="0.25">
      <c r="A52" s="5">
        <v>270</v>
      </c>
      <c r="B52" s="110">
        <v>1.22305E-3</v>
      </c>
      <c r="C52" s="124">
        <v>1122.7</v>
      </c>
      <c r="D52" s="124">
        <v>1183.9000000000001</v>
      </c>
      <c r="E52" s="111">
        <v>2.8708</v>
      </c>
      <c r="F52" s="112"/>
    </row>
    <row r="53" spans="1:7" ht="18.75" customHeight="1" x14ac:dyDescent="0.25">
      <c r="A53" s="103">
        <v>280</v>
      </c>
      <c r="B53" s="225">
        <v>1.24303E-3</v>
      </c>
      <c r="C53" s="226">
        <v>1167.7</v>
      </c>
      <c r="D53" s="226">
        <v>1229.9000000000001</v>
      </c>
      <c r="E53" s="227">
        <v>2.9546999999999999</v>
      </c>
      <c r="F53" s="108"/>
      <c r="G53" s="109"/>
    </row>
    <row r="54" spans="1:7" ht="18.75" customHeight="1" x14ac:dyDescent="0.25">
      <c r="A54" s="103">
        <v>290</v>
      </c>
      <c r="B54" s="225">
        <v>1.26457E-3</v>
      </c>
      <c r="C54" s="226">
        <v>1213.4000000000001</v>
      </c>
      <c r="D54" s="226">
        <v>1276.5999999999999</v>
      </c>
      <c r="E54" s="227">
        <v>3.0383</v>
      </c>
      <c r="F54" s="108"/>
      <c r="G54" s="109"/>
    </row>
    <row r="55" spans="1:7" ht="18.75" customHeight="1" x14ac:dyDescent="0.25">
      <c r="A55" s="103">
        <v>300</v>
      </c>
      <c r="B55" s="225">
        <v>1.2879E-3</v>
      </c>
      <c r="C55" s="226">
        <v>1259.5999999999999</v>
      </c>
      <c r="D55" s="226">
        <v>1324</v>
      </c>
      <c r="E55" s="227">
        <v>3.1217999999999999</v>
      </c>
      <c r="F55" s="108"/>
      <c r="G55" s="109"/>
    </row>
    <row r="56" spans="1:7" ht="18.75" customHeight="1" x14ac:dyDescent="0.25">
      <c r="A56" s="103">
        <v>310</v>
      </c>
      <c r="B56" s="225">
        <v>1.3132E-3</v>
      </c>
      <c r="C56" s="226">
        <v>1306.5</v>
      </c>
      <c r="D56" s="226">
        <v>1372.2</v>
      </c>
      <c r="E56" s="227">
        <v>3.2052</v>
      </c>
      <c r="F56" s="108"/>
      <c r="G56" s="109"/>
    </row>
    <row r="57" spans="1:7" ht="18.75" customHeight="1" x14ac:dyDescent="0.25">
      <c r="A57" s="103">
        <v>320</v>
      </c>
      <c r="B57" s="225">
        <v>1.3408999999999999E-3</v>
      </c>
      <c r="C57" s="226">
        <v>1354.4</v>
      </c>
      <c r="D57" s="226">
        <v>1421.4</v>
      </c>
      <c r="E57" s="227">
        <v>3.2888000000000002</v>
      </c>
      <c r="F57" s="108"/>
      <c r="G57" s="109"/>
    </row>
    <row r="58" spans="1:7" ht="18.75" customHeight="1" x14ac:dyDescent="0.25">
      <c r="A58" s="103">
        <v>330</v>
      </c>
      <c r="B58" s="225">
        <v>1.3713E-3</v>
      </c>
      <c r="C58" s="226">
        <v>1403</v>
      </c>
      <c r="D58" s="226">
        <v>1471.6</v>
      </c>
      <c r="E58" s="227">
        <v>3.3727999999999998</v>
      </c>
      <c r="F58" s="108"/>
      <c r="G58" s="109"/>
    </row>
    <row r="59" spans="1:7" ht="18.75" customHeight="1" x14ac:dyDescent="0.25">
      <c r="A59" s="103">
        <v>340</v>
      </c>
      <c r="B59" s="225">
        <v>1.4048999999999999E-3</v>
      </c>
      <c r="C59" s="226">
        <v>1452.9</v>
      </c>
      <c r="D59" s="226">
        <v>1523.1</v>
      </c>
      <c r="E59" s="227">
        <v>3.4575</v>
      </c>
      <c r="F59" s="108"/>
      <c r="G59" s="109"/>
    </row>
    <row r="60" spans="1:7" ht="18.75" customHeight="1" x14ac:dyDescent="0.25">
      <c r="A60" s="103">
        <v>350</v>
      </c>
      <c r="B60" s="225">
        <v>1.4425E-3</v>
      </c>
      <c r="C60" s="226">
        <v>1504</v>
      </c>
      <c r="D60" s="226">
        <v>1576.1</v>
      </c>
      <c r="E60" s="227">
        <v>3.5430999999999999</v>
      </c>
      <c r="F60" s="108"/>
      <c r="G60" s="109"/>
    </row>
    <row r="61" spans="1:7" ht="18.75" customHeight="1" x14ac:dyDescent="0.25">
      <c r="A61" s="103">
        <v>360</v>
      </c>
      <c r="B61" s="225">
        <v>1.4848000000000001E-3</v>
      </c>
      <c r="C61" s="226">
        <v>1556.5</v>
      </c>
      <c r="D61" s="226">
        <v>1630.7</v>
      </c>
      <c r="E61" s="227">
        <v>3.6301000000000001</v>
      </c>
      <c r="F61" s="108"/>
      <c r="G61" s="109"/>
    </row>
    <row r="62" spans="1:7" ht="18.75" customHeight="1" x14ac:dyDescent="0.25">
      <c r="A62" s="103">
        <v>370</v>
      </c>
      <c r="B62" s="225">
        <v>1.5329E-3</v>
      </c>
      <c r="C62" s="226">
        <v>1610.8</v>
      </c>
      <c r="D62" s="226">
        <v>1687.4</v>
      </c>
      <c r="E62" s="227">
        <v>3.7189000000000001</v>
      </c>
      <c r="F62" s="108"/>
      <c r="G62" s="109"/>
    </row>
    <row r="63" spans="1:7" ht="18.75" customHeight="1" x14ac:dyDescent="0.25">
      <c r="A63" s="103">
        <v>380</v>
      </c>
      <c r="B63" s="225">
        <v>1.5884E-3</v>
      </c>
      <c r="C63" s="226">
        <v>1667.1</v>
      </c>
      <c r="D63" s="226">
        <v>1746.5</v>
      </c>
      <c r="E63" s="227">
        <v>3.8100999999999998</v>
      </c>
      <c r="F63" s="108"/>
      <c r="G63" s="109"/>
    </row>
    <row r="64" spans="1:7" ht="18.75" customHeight="1" x14ac:dyDescent="0.25">
      <c r="A64" s="103">
        <v>390</v>
      </c>
      <c r="B64" s="225">
        <v>1.6534E-3</v>
      </c>
      <c r="C64" s="226">
        <v>1725.9</v>
      </c>
      <c r="D64" s="226">
        <v>1808.6</v>
      </c>
      <c r="E64" s="227">
        <v>3.9045000000000001</v>
      </c>
      <c r="F64" s="108"/>
      <c r="G64" s="109"/>
    </row>
    <row r="65" spans="1:7" ht="18.75" customHeight="1" x14ac:dyDescent="0.25">
      <c r="A65" s="103">
        <v>400</v>
      </c>
      <c r="B65" s="225">
        <v>1.7306999999999999E-3</v>
      </c>
      <c r="C65" s="226">
        <v>1787.9</v>
      </c>
      <c r="D65" s="226">
        <v>1874.4</v>
      </c>
      <c r="E65" s="227">
        <v>4.0029000000000003</v>
      </c>
      <c r="F65" s="108"/>
      <c r="G65" s="109"/>
    </row>
    <row r="66" spans="1:7" ht="18.75" customHeight="1" x14ac:dyDescent="0.25">
      <c r="A66" s="103">
        <v>410</v>
      </c>
      <c r="B66" s="225">
        <v>1.8247000000000001E-3</v>
      </c>
      <c r="C66" s="226">
        <v>1853.5</v>
      </c>
      <c r="D66" s="226">
        <v>1944.7</v>
      </c>
      <c r="E66" s="227">
        <v>4.1066000000000003</v>
      </c>
      <c r="F66" s="108"/>
      <c r="G66" s="109"/>
    </row>
    <row r="67" spans="1:7" ht="18.75" customHeight="1" x14ac:dyDescent="0.25">
      <c r="A67" s="103">
        <v>420</v>
      </c>
      <c r="B67" s="225">
        <v>1.9409E-3</v>
      </c>
      <c r="C67" s="226">
        <v>1923.5</v>
      </c>
      <c r="D67" s="226">
        <v>2020.5</v>
      </c>
      <c r="E67" s="227">
        <v>4.2168000000000001</v>
      </c>
      <c r="F67" s="108"/>
      <c r="G67" s="109"/>
    </row>
    <row r="68" spans="1:7" ht="18.75" customHeight="1" x14ac:dyDescent="0.25">
      <c r="A68" s="103">
        <v>430</v>
      </c>
      <c r="B68" s="225">
        <v>2.0856E-3</v>
      </c>
      <c r="C68" s="226">
        <v>1998.2</v>
      </c>
      <c r="D68" s="226">
        <v>2102.5</v>
      </c>
      <c r="E68" s="227">
        <v>4.3342000000000001</v>
      </c>
      <c r="F68" s="108"/>
      <c r="G68" s="109"/>
    </row>
    <row r="69" spans="1:7" ht="18.75" customHeight="1" x14ac:dyDescent="0.25">
      <c r="A69" s="103">
        <v>440</v>
      </c>
      <c r="B69" s="225">
        <v>2.2659999999999998E-3</v>
      </c>
      <c r="C69" s="226">
        <v>2077.5</v>
      </c>
      <c r="D69" s="226">
        <v>2190.8000000000002</v>
      </c>
      <c r="E69" s="227">
        <v>4.4588999999999999</v>
      </c>
      <c r="F69" s="108"/>
      <c r="G69" s="109"/>
    </row>
    <row r="70" spans="1:7" ht="18.75" customHeight="1" x14ac:dyDescent="0.25">
      <c r="A70" s="103">
        <v>450</v>
      </c>
      <c r="B70" s="225">
        <v>2.4873E-3</v>
      </c>
      <c r="C70" s="226">
        <v>2160.3000000000002</v>
      </c>
      <c r="D70" s="226">
        <v>2284.6999999999998</v>
      </c>
      <c r="E70" s="227">
        <v>4.5895999999999999</v>
      </c>
      <c r="F70" s="108"/>
      <c r="G70" s="109"/>
    </row>
    <row r="71" spans="1:7" ht="18.75" customHeight="1" x14ac:dyDescent="0.25">
      <c r="A71" s="103">
        <v>460</v>
      </c>
      <c r="B71" s="225">
        <v>2.7453999999999998E-3</v>
      </c>
      <c r="C71" s="226">
        <v>2243.4</v>
      </c>
      <c r="D71" s="226">
        <v>2380.6999999999998</v>
      </c>
      <c r="E71" s="227">
        <v>4.7214999999999998</v>
      </c>
      <c r="F71" s="108"/>
      <c r="G71" s="109"/>
    </row>
    <row r="72" spans="1:7" ht="18.75" customHeight="1" x14ac:dyDescent="0.25">
      <c r="A72" s="103">
        <v>470</v>
      </c>
      <c r="B72" s="225">
        <v>3.0271999999999999E-3</v>
      </c>
      <c r="C72" s="226">
        <v>2323.4</v>
      </c>
      <c r="D72" s="226">
        <v>2474.8000000000002</v>
      </c>
      <c r="E72" s="227">
        <v>4.8489000000000004</v>
      </c>
      <c r="F72" s="108"/>
      <c r="G72" s="109"/>
    </row>
    <row r="73" spans="1:7" ht="18.75" customHeight="1" x14ac:dyDescent="0.25">
      <c r="A73" s="103">
        <v>480</v>
      </c>
      <c r="B73" s="225">
        <v>3.3186000000000001E-3</v>
      </c>
      <c r="C73" s="226">
        <v>2397.9</v>
      </c>
      <c r="D73" s="226">
        <v>2563.8000000000002</v>
      </c>
      <c r="E73" s="227">
        <v>4.968</v>
      </c>
      <c r="F73" s="108"/>
      <c r="G73" s="109"/>
    </row>
    <row r="74" spans="1:7" ht="18.75" customHeight="1" x14ac:dyDescent="0.25">
      <c r="A74" s="103">
        <v>490</v>
      </c>
      <c r="B74" s="225">
        <v>3.6085000000000002E-3</v>
      </c>
      <c r="C74" s="226">
        <v>2466.1</v>
      </c>
      <c r="D74" s="226">
        <v>2646.5</v>
      </c>
      <c r="E74" s="227">
        <v>5.0770999999999997</v>
      </c>
      <c r="F74" s="108"/>
      <c r="G74" s="109"/>
    </row>
    <row r="75" spans="1:7" ht="18.75" customHeight="1" x14ac:dyDescent="0.25">
      <c r="A75" s="103">
        <v>500</v>
      </c>
      <c r="B75" s="225">
        <v>3.8899999999999998E-3</v>
      </c>
      <c r="C75" s="226">
        <v>2528.1</v>
      </c>
      <c r="D75" s="226">
        <v>2722.6</v>
      </c>
      <c r="E75" s="227">
        <v>5.1761999999999997</v>
      </c>
      <c r="F75" s="108"/>
      <c r="G75" s="109"/>
    </row>
    <row r="76" spans="1:7" ht="18.75" customHeight="1" x14ac:dyDescent="0.25">
      <c r="A76" s="103">
        <v>520</v>
      </c>
      <c r="B76" s="225">
        <v>4.4168000000000002E-3</v>
      </c>
      <c r="C76" s="226">
        <v>2636.2</v>
      </c>
      <c r="D76" s="226">
        <v>2857</v>
      </c>
      <c r="E76" s="227">
        <v>5.3479000000000001</v>
      </c>
      <c r="F76" s="108"/>
      <c r="G76" s="109"/>
    </row>
    <row r="77" spans="1:7" ht="18.75" customHeight="1" x14ac:dyDescent="0.25">
      <c r="A77" s="103">
        <v>540</v>
      </c>
      <c r="B77" s="225">
        <v>4.8947000000000001E-3</v>
      </c>
      <c r="C77" s="226">
        <v>2728.1</v>
      </c>
      <c r="D77" s="226">
        <v>2972.8</v>
      </c>
      <c r="E77" s="227">
        <v>5.492</v>
      </c>
      <c r="F77" s="108"/>
      <c r="G77" s="109"/>
    </row>
    <row r="78" spans="1:7" ht="18.75" customHeight="1" x14ac:dyDescent="0.25">
      <c r="A78" s="103">
        <v>560</v>
      </c>
      <c r="B78" s="225">
        <v>5.3308000000000001E-3</v>
      </c>
      <c r="C78" s="226">
        <v>2808.5</v>
      </c>
      <c r="D78" s="226">
        <v>3075</v>
      </c>
      <c r="E78" s="227">
        <v>5.6162999999999998</v>
      </c>
      <c r="F78" s="108"/>
      <c r="G78" s="109"/>
    </row>
    <row r="79" spans="1:7" ht="18.75" customHeight="1" x14ac:dyDescent="0.25">
      <c r="A79" s="103">
        <v>580</v>
      </c>
      <c r="B79" s="225">
        <v>5.7330999999999997E-3</v>
      </c>
      <c r="C79" s="226">
        <v>2880.7</v>
      </c>
      <c r="D79" s="226">
        <v>3167.4</v>
      </c>
      <c r="E79" s="227">
        <v>5.7259000000000002</v>
      </c>
      <c r="F79" s="108"/>
      <c r="G79" s="109"/>
    </row>
    <row r="80" spans="1:7" ht="18.75" customHeight="1" x14ac:dyDescent="0.25">
      <c r="A80" s="103">
        <v>600</v>
      </c>
      <c r="B80" s="225">
        <v>6.1081E-3</v>
      </c>
      <c r="C80" s="226">
        <v>2947.1</v>
      </c>
      <c r="D80" s="226">
        <v>3252.5</v>
      </c>
      <c r="E80" s="227">
        <v>5.8244999999999996</v>
      </c>
      <c r="F80" s="108"/>
      <c r="G80" s="109"/>
    </row>
    <row r="81" spans="1:7" ht="18.75" customHeight="1" x14ac:dyDescent="0.25">
      <c r="A81" s="103">
        <v>620</v>
      </c>
      <c r="B81" s="225">
        <v>6.4609999999999997E-3</v>
      </c>
      <c r="C81" s="226">
        <v>3008.9</v>
      </c>
      <c r="D81" s="226">
        <v>3332</v>
      </c>
      <c r="E81" s="227">
        <v>5.9145000000000003</v>
      </c>
      <c r="F81" s="108"/>
      <c r="G81" s="109"/>
    </row>
    <row r="82" spans="1:7" ht="18.75" customHeight="1" x14ac:dyDescent="0.25">
      <c r="A82" s="103">
        <v>640</v>
      </c>
      <c r="B82" s="225">
        <v>6.7955999999999997E-3</v>
      </c>
      <c r="C82" s="226">
        <v>3067.4</v>
      </c>
      <c r="D82" s="226">
        <v>3407.2</v>
      </c>
      <c r="E82" s="227">
        <v>5.9977999999999998</v>
      </c>
      <c r="F82" s="108"/>
      <c r="G82" s="109"/>
    </row>
    <row r="83" spans="1:7" ht="18.75" customHeight="1" x14ac:dyDescent="0.25">
      <c r="A83" s="103">
        <v>660</v>
      </c>
      <c r="B83" s="225">
        <v>7.1149000000000004E-3</v>
      </c>
      <c r="C83" s="226">
        <v>3123.2</v>
      </c>
      <c r="D83" s="226">
        <v>3478.9</v>
      </c>
      <c r="E83" s="227">
        <v>6.0754999999999999</v>
      </c>
      <c r="F83" s="108"/>
      <c r="G83" s="109"/>
    </row>
    <row r="84" spans="1:7" ht="18.75" customHeight="1" x14ac:dyDescent="0.25">
      <c r="A84" s="103">
        <v>680</v>
      </c>
      <c r="B84" s="225">
        <v>7.4212999999999996E-3</v>
      </c>
      <c r="C84" s="226">
        <v>3176.8</v>
      </c>
      <c r="D84" s="226">
        <v>3547.9</v>
      </c>
      <c r="E84" s="227">
        <v>6.1486000000000001</v>
      </c>
      <c r="F84" s="108"/>
      <c r="G84" s="109"/>
    </row>
    <row r="85" spans="1:7" ht="18.75" customHeight="1" x14ac:dyDescent="0.25">
      <c r="A85" s="103">
        <v>700</v>
      </c>
      <c r="B85" s="225">
        <v>7.7165999999999997E-3</v>
      </c>
      <c r="C85" s="226">
        <v>3228.8</v>
      </c>
      <c r="D85" s="226">
        <v>3614.6</v>
      </c>
      <c r="E85" s="227">
        <v>6.2178000000000004</v>
      </c>
      <c r="F85" s="108"/>
      <c r="G85" s="109"/>
    </row>
    <row r="86" spans="1:7" ht="18.75" customHeight="1" x14ac:dyDescent="0.25">
      <c r="A86" s="103">
        <v>720</v>
      </c>
      <c r="B86" s="225">
        <v>8.0024999999999992E-3</v>
      </c>
      <c r="C86" s="226">
        <v>3279.3</v>
      </c>
      <c r="D86" s="226">
        <v>3679.4</v>
      </c>
      <c r="E86" s="227">
        <v>6.2838000000000003</v>
      </c>
      <c r="F86" s="108"/>
      <c r="G86" s="109"/>
    </row>
    <row r="87" spans="1:7" ht="18.75" customHeight="1" x14ac:dyDescent="0.25">
      <c r="A87" s="103">
        <v>740</v>
      </c>
      <c r="B87" s="225">
        <v>8.2801000000000003E-3</v>
      </c>
      <c r="C87" s="226">
        <v>3328.7</v>
      </c>
      <c r="D87" s="226">
        <v>3742.7</v>
      </c>
      <c r="E87" s="227">
        <v>6.3468999999999998</v>
      </c>
      <c r="F87" s="108"/>
      <c r="G87" s="109"/>
    </row>
    <row r="88" spans="1:7" ht="18.75" customHeight="1" x14ac:dyDescent="0.25">
      <c r="A88" s="103">
        <v>760</v>
      </c>
      <c r="B88" s="225">
        <v>8.5503999999999997E-3</v>
      </c>
      <c r="C88" s="226">
        <v>3377.3</v>
      </c>
      <c r="D88" s="226">
        <v>3804.8</v>
      </c>
      <c r="E88" s="227">
        <v>6.4076000000000004</v>
      </c>
      <c r="F88" s="108"/>
      <c r="G88" s="109"/>
    </row>
    <row r="89" spans="1:7" ht="18.75" customHeight="1" x14ac:dyDescent="0.25">
      <c r="A89" s="103">
        <v>780</v>
      </c>
      <c r="B89" s="225">
        <v>8.8143000000000006E-3</v>
      </c>
      <c r="C89" s="226">
        <v>3425</v>
      </c>
      <c r="D89" s="226">
        <v>3865.7</v>
      </c>
      <c r="E89" s="227">
        <v>6.4660000000000002</v>
      </c>
      <c r="F89" s="108"/>
      <c r="G89" s="109"/>
    </row>
    <row r="90" spans="1:7" ht="18.75" customHeight="1" x14ac:dyDescent="0.25">
      <c r="A90" s="103">
        <v>800</v>
      </c>
      <c r="B90" s="225">
        <v>9.0723999999999996E-3</v>
      </c>
      <c r="C90" s="226">
        <v>3472.2</v>
      </c>
      <c r="D90" s="226">
        <v>3925.8</v>
      </c>
      <c r="E90" s="227">
        <v>6.5225</v>
      </c>
      <c r="F90" s="108"/>
      <c r="G90" s="109"/>
    </row>
    <row r="91" spans="1:7" ht="18.75" customHeight="1" x14ac:dyDescent="0.25">
      <c r="A91" s="103">
        <v>820</v>
      </c>
      <c r="B91" s="225">
        <v>9.3255000000000005E-3</v>
      </c>
      <c r="C91" s="226">
        <v>3518.8</v>
      </c>
      <c r="D91" s="226">
        <v>3985.1</v>
      </c>
      <c r="E91" s="227">
        <v>6.5773000000000001</v>
      </c>
      <c r="F91" s="108"/>
      <c r="G91" s="109"/>
    </row>
    <row r="92" spans="1:7" ht="18.75" customHeight="1" x14ac:dyDescent="0.25">
      <c r="A92" s="103">
        <v>840</v>
      </c>
      <c r="B92" s="225">
        <v>9.5741000000000003E-3</v>
      </c>
      <c r="C92" s="226">
        <v>3565.1</v>
      </c>
      <c r="D92" s="226">
        <v>4043.8</v>
      </c>
      <c r="E92" s="227">
        <v>6.6303999999999998</v>
      </c>
      <c r="F92" s="108"/>
      <c r="G92" s="109"/>
    </row>
    <row r="93" spans="1:7" ht="18.75" customHeight="1" x14ac:dyDescent="0.25">
      <c r="A93" s="103">
        <v>860</v>
      </c>
      <c r="B93" s="225">
        <v>9.8185000000000008E-3</v>
      </c>
      <c r="C93" s="226">
        <v>3611</v>
      </c>
      <c r="D93" s="226">
        <v>4101.8999999999996</v>
      </c>
      <c r="E93" s="227">
        <v>6.6821999999999999</v>
      </c>
      <c r="F93" s="108"/>
      <c r="G93" s="109"/>
    </row>
    <row r="94" spans="1:7" ht="18.75" customHeight="1" x14ac:dyDescent="0.25">
      <c r="A94" s="103">
        <v>880</v>
      </c>
      <c r="B94" s="228">
        <v>1.0059E-2</v>
      </c>
      <c r="C94" s="226">
        <v>3656.6</v>
      </c>
      <c r="D94" s="226">
        <v>4159.5</v>
      </c>
      <c r="E94" s="227">
        <v>6.7325999999999997</v>
      </c>
      <c r="F94" s="108"/>
      <c r="G94" s="109"/>
    </row>
    <row r="95" spans="1:7" ht="18.75" customHeight="1" x14ac:dyDescent="0.25">
      <c r="A95" s="103">
        <v>900</v>
      </c>
      <c r="B95" s="228">
        <v>1.0296E-2</v>
      </c>
      <c r="C95" s="226">
        <v>3702</v>
      </c>
      <c r="D95" s="226">
        <v>4216.8</v>
      </c>
      <c r="E95" s="227">
        <v>6.7819000000000003</v>
      </c>
      <c r="F95" s="108"/>
      <c r="G95" s="109"/>
    </row>
    <row r="96" spans="1:7" ht="18.75" customHeight="1" x14ac:dyDescent="0.25">
      <c r="A96" s="103">
        <v>920</v>
      </c>
      <c r="B96" s="228">
        <v>1.0531E-2</v>
      </c>
      <c r="C96" s="226">
        <v>3747.2</v>
      </c>
      <c r="D96" s="226">
        <v>4273.8</v>
      </c>
      <c r="E96" s="227">
        <v>6.83</v>
      </c>
      <c r="F96" s="108"/>
      <c r="G96" s="109"/>
    </row>
    <row r="97" spans="1:7" ht="18.75" customHeight="1" x14ac:dyDescent="0.25">
      <c r="A97" s="103">
        <v>940</v>
      </c>
      <c r="B97" s="228">
        <v>1.0762000000000001E-2</v>
      </c>
      <c r="C97" s="226">
        <v>3792.4</v>
      </c>
      <c r="D97" s="226">
        <v>4330.5</v>
      </c>
      <c r="E97" s="227">
        <v>6.8772000000000002</v>
      </c>
      <c r="F97" s="108"/>
      <c r="G97" s="109"/>
    </row>
    <row r="98" spans="1:7" ht="18.75" customHeight="1" x14ac:dyDescent="0.25">
      <c r="A98" s="103">
        <v>960</v>
      </c>
      <c r="B98" s="228">
        <v>1.0991000000000001E-2</v>
      </c>
      <c r="C98" s="226">
        <v>3837.4</v>
      </c>
      <c r="D98" s="226">
        <v>4387</v>
      </c>
      <c r="E98" s="227">
        <v>6.9233000000000002</v>
      </c>
      <c r="F98" s="108"/>
      <c r="G98" s="109"/>
    </row>
    <row r="99" spans="1:7" ht="18.75" customHeight="1" x14ac:dyDescent="0.25">
      <c r="A99" s="103">
        <v>980</v>
      </c>
      <c r="B99" s="228">
        <v>1.1217E-2</v>
      </c>
      <c r="C99" s="226">
        <v>3882.4</v>
      </c>
      <c r="D99" s="226">
        <v>4443.2</v>
      </c>
      <c r="E99" s="227">
        <v>6.9686000000000003</v>
      </c>
      <c r="F99" s="108"/>
      <c r="G99" s="109"/>
    </row>
    <row r="100" spans="1:7" ht="18.75" customHeight="1" x14ac:dyDescent="0.25">
      <c r="A100" s="121">
        <v>1000</v>
      </c>
      <c r="B100" s="229">
        <v>1.1441E-2</v>
      </c>
      <c r="C100" s="230">
        <v>3927.3</v>
      </c>
      <c r="D100" s="230">
        <v>4499.3999999999996</v>
      </c>
      <c r="E100" s="231">
        <v>7.0130999999999997</v>
      </c>
      <c r="F100" s="111"/>
      <c r="G100" s="112"/>
    </row>
  </sheetData>
  <mergeCells count="1">
    <mergeCell ref="A1:H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H100"/>
  <sheetViews>
    <sheetView topLeftCell="A43" workbookViewId="0">
      <selection activeCell="H55" sqref="H55"/>
    </sheetView>
  </sheetViews>
  <sheetFormatPr defaultRowHeight="13.2" x14ac:dyDescent="0.25"/>
  <cols>
    <col min="1" max="1" width="5.109375" customWidth="1"/>
    <col min="2" max="2" width="14" customWidth="1"/>
    <col min="3" max="4" width="8.77734375" customWidth="1"/>
    <col min="5" max="5" width="10" customWidth="1"/>
    <col min="6" max="6" width="9.5546875" customWidth="1"/>
    <col min="7" max="7" width="0.21875" customWidth="1"/>
    <col min="8" max="8" width="78.88671875" customWidth="1"/>
  </cols>
  <sheetData>
    <row r="1" spans="1:8" ht="18.75" customHeight="1" x14ac:dyDescent="0.25">
      <c r="A1" s="193" t="s">
        <v>107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60000</v>
      </c>
      <c r="C2" s="71"/>
      <c r="D2" s="71"/>
      <c r="E2" s="71"/>
      <c r="F2" s="71"/>
      <c r="G2" s="71"/>
      <c r="H2" s="71"/>
    </row>
    <row r="3" spans="1:8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9.7247000000000002E-4</v>
      </c>
      <c r="C5" s="80">
        <v>0.23</v>
      </c>
      <c r="D5" s="80">
        <v>58.58</v>
      </c>
      <c r="E5" s="81">
        <v>-2.0799999999999998E-3</v>
      </c>
      <c r="F5" s="81"/>
      <c r="G5" s="28"/>
      <c r="H5" s="28"/>
    </row>
    <row r="6" spans="1:8" ht="18.75" customHeight="1" x14ac:dyDescent="0.25">
      <c r="A6" s="87">
        <v>5</v>
      </c>
      <c r="B6" s="79">
        <v>9.7318000000000003E-4</v>
      </c>
      <c r="C6" s="80">
        <v>20.21</v>
      </c>
      <c r="D6" s="80">
        <v>78.599999999999994</v>
      </c>
      <c r="E6" s="81">
        <v>7.0529999999999995E-2</v>
      </c>
      <c r="F6" s="81"/>
      <c r="G6" s="28"/>
      <c r="H6" s="28"/>
    </row>
    <row r="7" spans="1:8" ht="18.75" customHeight="1" x14ac:dyDescent="0.25">
      <c r="A7" s="87">
        <v>10</v>
      </c>
      <c r="B7" s="79">
        <v>9.7411000000000004E-4</v>
      </c>
      <c r="C7" s="80">
        <v>40.22</v>
      </c>
      <c r="D7" s="80">
        <v>98.67</v>
      </c>
      <c r="E7" s="81">
        <v>0.14204</v>
      </c>
      <c r="F7" s="81"/>
      <c r="G7" s="28"/>
      <c r="H7" s="28"/>
    </row>
    <row r="8" spans="1:8" ht="18.75" customHeight="1" x14ac:dyDescent="0.25">
      <c r="A8" s="87">
        <v>15</v>
      </c>
      <c r="B8" s="79">
        <v>9.7524000000000005E-4</v>
      </c>
      <c r="C8" s="80">
        <v>60.27</v>
      </c>
      <c r="D8" s="80">
        <v>118.78</v>
      </c>
      <c r="E8" s="81">
        <v>0.21246000000000001</v>
      </c>
      <c r="F8" s="81"/>
      <c r="G8" s="28"/>
      <c r="H8" s="28"/>
    </row>
    <row r="9" spans="1:8" ht="18.75" customHeight="1" x14ac:dyDescent="0.25">
      <c r="A9" s="87">
        <v>20</v>
      </c>
      <c r="B9" s="79">
        <v>9.7654000000000003E-4</v>
      </c>
      <c r="C9" s="80">
        <v>80.349999999999994</v>
      </c>
      <c r="D9" s="80">
        <v>138.94</v>
      </c>
      <c r="E9" s="81">
        <v>0.28179999999999999</v>
      </c>
      <c r="F9" s="81"/>
      <c r="G9" s="28"/>
      <c r="H9" s="28"/>
    </row>
    <row r="10" spans="1:8" ht="18.75" customHeight="1" x14ac:dyDescent="0.25">
      <c r="A10" s="87">
        <v>25</v>
      </c>
      <c r="B10" s="79">
        <v>9.7802000000000002E-4</v>
      </c>
      <c r="C10" s="80">
        <v>100.45</v>
      </c>
      <c r="D10" s="80">
        <v>159.13</v>
      </c>
      <c r="E10" s="81">
        <v>0.35009000000000001</v>
      </c>
      <c r="F10" s="81"/>
      <c r="G10" s="28"/>
      <c r="H10" s="28"/>
    </row>
    <row r="11" spans="1:8" ht="18.75" customHeight="1" x14ac:dyDescent="0.25">
      <c r="A11" s="87">
        <v>30</v>
      </c>
      <c r="B11" s="79">
        <v>9.796500000000001E-4</v>
      </c>
      <c r="C11" s="80">
        <v>120.57</v>
      </c>
      <c r="D11" s="80">
        <v>179.35</v>
      </c>
      <c r="E11" s="81">
        <v>0.41733999999999999</v>
      </c>
      <c r="F11" s="81"/>
      <c r="G11" s="28"/>
      <c r="H11" s="28"/>
    </row>
    <row r="12" spans="1:8" ht="18.75" customHeight="1" x14ac:dyDescent="0.25">
      <c r="A12" s="87">
        <v>35</v>
      </c>
      <c r="B12" s="79">
        <v>9.8142999999999993E-4</v>
      </c>
      <c r="C12" s="80">
        <v>140.69999999999999</v>
      </c>
      <c r="D12" s="80">
        <v>199.59</v>
      </c>
      <c r="E12" s="81">
        <v>0.48359000000000002</v>
      </c>
      <c r="F12" s="81"/>
      <c r="G12" s="28"/>
      <c r="H12" s="28"/>
    </row>
    <row r="13" spans="1:8" ht="18.75" customHeight="1" x14ac:dyDescent="0.25">
      <c r="A13" s="87">
        <v>40</v>
      </c>
      <c r="B13" s="79">
        <v>9.8334000000000008E-4</v>
      </c>
      <c r="C13" s="80">
        <v>160.86000000000001</v>
      </c>
      <c r="D13" s="80">
        <v>219.86</v>
      </c>
      <c r="E13" s="81">
        <v>0.54884999999999995</v>
      </c>
      <c r="F13" s="81"/>
      <c r="G13" s="28"/>
      <c r="H13" s="28"/>
    </row>
    <row r="14" spans="1:8" ht="18.75" customHeight="1" x14ac:dyDescent="0.25">
      <c r="A14" s="87">
        <v>45</v>
      </c>
      <c r="B14" s="79">
        <v>9.8539999999999999E-4</v>
      </c>
      <c r="C14" s="80">
        <v>181.04</v>
      </c>
      <c r="D14" s="80">
        <v>240.16</v>
      </c>
      <c r="E14" s="81">
        <v>0.61314000000000002</v>
      </c>
      <c r="F14" s="81"/>
      <c r="G14" s="28"/>
      <c r="H14" s="28"/>
    </row>
    <row r="15" spans="1:8" ht="18.75" customHeight="1" x14ac:dyDescent="0.25">
      <c r="A15" s="87">
        <v>50</v>
      </c>
      <c r="B15" s="79">
        <v>9.8758000000000006E-4</v>
      </c>
      <c r="C15" s="80">
        <v>201.22</v>
      </c>
      <c r="D15" s="80">
        <v>260.47000000000003</v>
      </c>
      <c r="E15" s="81">
        <v>0.67649999999999999</v>
      </c>
      <c r="F15" s="81"/>
      <c r="G15" s="28"/>
      <c r="H15" s="28"/>
    </row>
    <row r="16" spans="1:8" ht="18.75" customHeight="1" x14ac:dyDescent="0.25">
      <c r="A16" s="87">
        <v>55</v>
      </c>
      <c r="B16" s="79">
        <v>9.8989E-4</v>
      </c>
      <c r="C16" s="80">
        <v>221.42</v>
      </c>
      <c r="D16" s="80">
        <v>280.81</v>
      </c>
      <c r="E16" s="81">
        <v>0.73894000000000004</v>
      </c>
      <c r="F16" s="81"/>
      <c r="G16" s="28"/>
      <c r="H16" s="28"/>
    </row>
    <row r="17" spans="1:8" ht="18.75" customHeight="1" x14ac:dyDescent="0.25">
      <c r="A17" s="87">
        <v>60</v>
      </c>
      <c r="B17" s="79">
        <v>9.9232000000000009E-4</v>
      </c>
      <c r="C17" s="80">
        <v>241.62</v>
      </c>
      <c r="D17" s="80">
        <v>301.16000000000003</v>
      </c>
      <c r="E17" s="81">
        <v>0.80049000000000003</v>
      </c>
      <c r="F17" s="81"/>
      <c r="G17" s="28"/>
      <c r="H17" s="28"/>
    </row>
    <row r="18" spans="1:8" ht="18.75" customHeight="1" x14ac:dyDescent="0.25">
      <c r="A18" s="87">
        <v>65</v>
      </c>
      <c r="B18" s="79">
        <v>9.9485999999999997E-4</v>
      </c>
      <c r="C18" s="80">
        <v>261.83999999999997</v>
      </c>
      <c r="D18" s="80">
        <v>321.52999999999997</v>
      </c>
      <c r="E18" s="81">
        <v>0.86116999999999999</v>
      </c>
      <c r="F18" s="81"/>
      <c r="G18" s="28"/>
      <c r="H18" s="28"/>
    </row>
    <row r="19" spans="1:8" ht="18.75" customHeight="1" x14ac:dyDescent="0.25">
      <c r="A19" s="87">
        <v>70</v>
      </c>
      <c r="B19" s="79">
        <v>9.9752999999999994E-4</v>
      </c>
      <c r="C19" s="80">
        <v>282.06</v>
      </c>
      <c r="D19" s="80">
        <v>341.91</v>
      </c>
      <c r="E19" s="81">
        <v>0.92101</v>
      </c>
      <c r="F19" s="81"/>
      <c r="G19" s="28"/>
      <c r="H19" s="28"/>
    </row>
    <row r="20" spans="1:8" ht="18.75" customHeight="1" x14ac:dyDescent="0.25">
      <c r="A20" s="87">
        <v>75</v>
      </c>
      <c r="B20" s="79">
        <v>1.0003099999999999E-3</v>
      </c>
      <c r="C20" s="80">
        <v>302.29000000000002</v>
      </c>
      <c r="D20" s="80">
        <v>362.31</v>
      </c>
      <c r="E20" s="81">
        <v>0.98004000000000002</v>
      </c>
      <c r="F20" s="81"/>
      <c r="G20" s="28"/>
      <c r="H20" s="28"/>
    </row>
    <row r="21" spans="1:8" ht="18.75" customHeight="1" x14ac:dyDescent="0.25">
      <c r="A21" s="87">
        <v>80</v>
      </c>
      <c r="B21" s="79">
        <v>1.00321E-3</v>
      </c>
      <c r="C21" s="80">
        <v>322.54000000000002</v>
      </c>
      <c r="D21" s="80">
        <v>382.73</v>
      </c>
      <c r="E21" s="82">
        <v>1.0383</v>
      </c>
      <c r="F21" s="82"/>
      <c r="G21" s="28"/>
      <c r="H21" s="28"/>
    </row>
    <row r="22" spans="1:8" ht="18.75" customHeight="1" x14ac:dyDescent="0.25">
      <c r="A22" s="87">
        <v>85</v>
      </c>
      <c r="B22" s="79">
        <v>1.00621E-3</v>
      </c>
      <c r="C22" s="80">
        <v>342.79</v>
      </c>
      <c r="D22" s="80">
        <v>403.16</v>
      </c>
      <c r="E22" s="82">
        <v>1.0956999999999999</v>
      </c>
      <c r="F22" s="82"/>
      <c r="G22" s="28"/>
      <c r="H22" s="28"/>
    </row>
    <row r="23" spans="1:8" ht="18.75" customHeight="1" x14ac:dyDescent="0.25">
      <c r="A23" s="87">
        <v>90</v>
      </c>
      <c r="B23" s="79">
        <v>1.0093299999999999E-3</v>
      </c>
      <c r="C23" s="80">
        <v>363.05</v>
      </c>
      <c r="D23" s="80">
        <v>423.61</v>
      </c>
      <c r="E23" s="82">
        <v>1.1524000000000001</v>
      </c>
      <c r="F23" s="82"/>
      <c r="G23" s="28"/>
      <c r="H23" s="28"/>
    </row>
    <row r="24" spans="1:8" ht="18.75" customHeight="1" x14ac:dyDescent="0.25">
      <c r="A24" s="87">
        <v>95</v>
      </c>
      <c r="B24" s="79">
        <v>1.01257E-3</v>
      </c>
      <c r="C24" s="80">
        <v>383.33</v>
      </c>
      <c r="D24" s="80">
        <v>444.08</v>
      </c>
      <c r="E24" s="82">
        <v>1.2083999999999999</v>
      </c>
      <c r="F24" s="82"/>
      <c r="G24" s="28"/>
      <c r="H24" s="28"/>
    </row>
    <row r="25" spans="1:8" ht="18.75" customHeight="1" x14ac:dyDescent="0.25">
      <c r="A25" s="87">
        <v>100</v>
      </c>
      <c r="B25" s="79">
        <v>1.0159100000000001E-3</v>
      </c>
      <c r="C25" s="80">
        <v>403.61</v>
      </c>
      <c r="D25" s="80">
        <v>464.56</v>
      </c>
      <c r="E25" s="82">
        <v>1.2637</v>
      </c>
      <c r="F25" s="82"/>
      <c r="G25" s="28"/>
      <c r="H25" s="28"/>
    </row>
    <row r="26" spans="1:8" ht="18.75" customHeight="1" x14ac:dyDescent="0.25">
      <c r="A26" s="87">
        <v>105</v>
      </c>
      <c r="B26" s="79">
        <v>1.01936E-3</v>
      </c>
      <c r="C26" s="80">
        <v>423.9</v>
      </c>
      <c r="D26" s="80">
        <v>485.06</v>
      </c>
      <c r="E26" s="82">
        <v>1.3182</v>
      </c>
      <c r="F26" s="82"/>
      <c r="G26" s="28"/>
      <c r="H26" s="28"/>
    </row>
    <row r="27" spans="1:8" ht="18.75" customHeight="1" x14ac:dyDescent="0.25">
      <c r="A27" s="87">
        <v>110</v>
      </c>
      <c r="B27" s="79">
        <v>1.0229200000000001E-3</v>
      </c>
      <c r="C27" s="80">
        <v>444.21</v>
      </c>
      <c r="D27" s="80">
        <v>505.59</v>
      </c>
      <c r="E27" s="82">
        <v>1.3721000000000001</v>
      </c>
      <c r="F27" s="82"/>
      <c r="G27" s="28"/>
      <c r="H27" s="28"/>
    </row>
    <row r="28" spans="1:8" ht="18.75" customHeight="1" x14ac:dyDescent="0.25">
      <c r="A28" s="87">
        <v>115</v>
      </c>
      <c r="B28" s="79">
        <v>1.0265999999999999E-3</v>
      </c>
      <c r="C28" s="80">
        <v>464.53</v>
      </c>
      <c r="D28" s="80">
        <v>526.13</v>
      </c>
      <c r="E28" s="82">
        <v>1.4254</v>
      </c>
      <c r="F28" s="82"/>
      <c r="G28" s="28"/>
      <c r="H28" s="28"/>
    </row>
    <row r="29" spans="1:8" ht="18.75" customHeight="1" x14ac:dyDescent="0.25">
      <c r="A29" s="87">
        <v>120</v>
      </c>
      <c r="B29" s="79">
        <v>1.03039E-3</v>
      </c>
      <c r="C29" s="80">
        <v>484.88</v>
      </c>
      <c r="D29" s="80">
        <v>546.70000000000005</v>
      </c>
      <c r="E29" s="82">
        <v>1.4781</v>
      </c>
      <c r="F29" s="82"/>
      <c r="G29" s="28"/>
      <c r="H29" s="28"/>
    </row>
    <row r="30" spans="1:8" ht="18.75" customHeight="1" x14ac:dyDescent="0.25">
      <c r="A30" s="87">
        <v>125</v>
      </c>
      <c r="B30" s="79">
        <v>1.03429E-3</v>
      </c>
      <c r="C30" s="80">
        <v>505.23</v>
      </c>
      <c r="D30" s="80">
        <v>567.29</v>
      </c>
      <c r="E30" s="82">
        <v>1.5301</v>
      </c>
      <c r="F30" s="82"/>
      <c r="G30" s="28"/>
      <c r="H30" s="28"/>
    </row>
    <row r="31" spans="1:8" ht="18.75" customHeight="1" x14ac:dyDescent="0.25">
      <c r="A31" s="87">
        <v>130</v>
      </c>
      <c r="B31" s="79">
        <v>1.0383E-3</v>
      </c>
      <c r="C31" s="80">
        <v>525.61</v>
      </c>
      <c r="D31" s="80">
        <v>587.91</v>
      </c>
      <c r="E31" s="82">
        <v>1.5815999999999999</v>
      </c>
      <c r="F31" s="82"/>
      <c r="G31" s="28"/>
      <c r="H31" s="28"/>
    </row>
    <row r="32" spans="1:8" ht="18.75" customHeight="1" x14ac:dyDescent="0.25">
      <c r="A32" s="87">
        <v>135</v>
      </c>
      <c r="B32" s="79">
        <v>1.04243E-3</v>
      </c>
      <c r="C32" s="80">
        <v>546.01</v>
      </c>
      <c r="D32" s="80">
        <v>608.55999999999995</v>
      </c>
      <c r="E32" s="82">
        <v>1.6325000000000001</v>
      </c>
      <c r="F32" s="82"/>
      <c r="G32" s="28"/>
      <c r="H32" s="28"/>
    </row>
    <row r="33" spans="1:8" ht="18.75" customHeight="1" x14ac:dyDescent="0.25">
      <c r="A33" s="87">
        <v>140</v>
      </c>
      <c r="B33" s="79">
        <v>1.0466799999999999E-3</v>
      </c>
      <c r="C33" s="80">
        <v>566.44000000000005</v>
      </c>
      <c r="D33" s="80">
        <v>629.24</v>
      </c>
      <c r="E33" s="82">
        <v>1.6828000000000001</v>
      </c>
      <c r="F33" s="82"/>
      <c r="G33" s="28"/>
      <c r="H33" s="28"/>
    </row>
    <row r="34" spans="1:8" ht="18.75" customHeight="1" x14ac:dyDescent="0.25">
      <c r="A34" s="87">
        <v>145</v>
      </c>
      <c r="B34" s="79">
        <v>1.05105E-3</v>
      </c>
      <c r="C34" s="80">
        <v>586.89</v>
      </c>
      <c r="D34" s="80">
        <v>649.95000000000005</v>
      </c>
      <c r="E34" s="82">
        <v>1.7326999999999999</v>
      </c>
      <c r="F34" s="82"/>
      <c r="G34" s="28"/>
      <c r="H34" s="28"/>
    </row>
    <row r="35" spans="1:8" ht="18.75" customHeight="1" x14ac:dyDescent="0.25">
      <c r="A35" s="87">
        <v>150</v>
      </c>
      <c r="B35" s="79">
        <v>1.05554E-3</v>
      </c>
      <c r="C35" s="80">
        <v>607.36</v>
      </c>
      <c r="D35" s="80">
        <v>670.69</v>
      </c>
      <c r="E35" s="82">
        <v>1.782</v>
      </c>
      <c r="F35" s="82"/>
      <c r="G35" s="28"/>
      <c r="H35" s="28"/>
    </row>
    <row r="36" spans="1:8" ht="18.75" customHeight="1" x14ac:dyDescent="0.25">
      <c r="A36" s="87">
        <v>155</v>
      </c>
      <c r="B36" s="79">
        <v>1.0601499999999999E-3</v>
      </c>
      <c r="C36" s="80">
        <v>627.86</v>
      </c>
      <c r="D36" s="80">
        <v>691.47</v>
      </c>
      <c r="E36" s="82">
        <v>1.8308</v>
      </c>
      <c r="F36" s="82"/>
      <c r="G36" s="28"/>
      <c r="H36" s="28"/>
    </row>
    <row r="37" spans="1:8" ht="18.75" customHeight="1" x14ac:dyDescent="0.25">
      <c r="A37" s="87">
        <v>160</v>
      </c>
      <c r="B37" s="79">
        <v>1.06489E-3</v>
      </c>
      <c r="C37" s="80">
        <v>648.4</v>
      </c>
      <c r="D37" s="80">
        <v>712.29</v>
      </c>
      <c r="E37" s="82">
        <v>1.8792</v>
      </c>
      <c r="F37" s="82"/>
      <c r="G37" s="28"/>
      <c r="H37" s="28"/>
    </row>
    <row r="38" spans="1:8" ht="18.75" customHeight="1" x14ac:dyDescent="0.25">
      <c r="A38" s="87">
        <v>165</v>
      </c>
      <c r="B38" s="79">
        <v>1.0697599999999999E-3</v>
      </c>
      <c r="C38" s="80">
        <v>668.97</v>
      </c>
      <c r="D38" s="80">
        <v>733.16</v>
      </c>
      <c r="E38" s="82">
        <v>1.927</v>
      </c>
      <c r="F38" s="82"/>
      <c r="G38" s="28"/>
      <c r="H38" s="28"/>
    </row>
    <row r="39" spans="1:8" ht="18.75" customHeight="1" x14ac:dyDescent="0.25">
      <c r="A39" s="87">
        <v>170</v>
      </c>
      <c r="B39" s="79">
        <v>1.0747599999999999E-3</v>
      </c>
      <c r="C39" s="80">
        <v>689.57</v>
      </c>
      <c r="D39" s="80">
        <v>754.06</v>
      </c>
      <c r="E39" s="82">
        <v>1.9744999999999999</v>
      </c>
      <c r="F39" s="82"/>
      <c r="G39" s="28"/>
      <c r="H39" s="28"/>
    </row>
    <row r="40" spans="1:8" ht="18.75" customHeight="1" x14ac:dyDescent="0.25">
      <c r="A40" s="87">
        <v>175</v>
      </c>
      <c r="B40" s="79">
        <v>1.07989E-3</v>
      </c>
      <c r="C40" s="80">
        <v>710.22</v>
      </c>
      <c r="D40" s="80">
        <v>775.01</v>
      </c>
      <c r="E40" s="82">
        <v>2.0215000000000001</v>
      </c>
      <c r="F40" s="82"/>
      <c r="G40" s="28"/>
      <c r="H40" s="28"/>
    </row>
    <row r="41" spans="1:8" ht="18.75" customHeight="1" x14ac:dyDescent="0.25">
      <c r="A41" s="87">
        <v>180</v>
      </c>
      <c r="B41" s="79">
        <v>1.0851700000000001E-3</v>
      </c>
      <c r="C41" s="80">
        <v>730.9</v>
      </c>
      <c r="D41" s="80">
        <v>796.01</v>
      </c>
      <c r="E41" s="82">
        <v>2.0680999999999998</v>
      </c>
      <c r="F41" s="82"/>
      <c r="G41" s="28"/>
      <c r="H41" s="28"/>
    </row>
    <row r="42" spans="1:8" ht="18.75" customHeight="1" x14ac:dyDescent="0.25">
      <c r="A42" s="87">
        <v>185</v>
      </c>
      <c r="B42" s="79">
        <v>1.0905800000000001E-3</v>
      </c>
      <c r="C42" s="80">
        <v>751.63</v>
      </c>
      <c r="D42" s="80">
        <v>817.06</v>
      </c>
      <c r="E42" s="82">
        <v>2.1143000000000001</v>
      </c>
      <c r="F42" s="82"/>
      <c r="G42" s="28"/>
      <c r="H42" s="28"/>
    </row>
    <row r="43" spans="1:8" ht="18.75" customHeight="1" x14ac:dyDescent="0.25">
      <c r="A43" s="87">
        <v>190</v>
      </c>
      <c r="B43" s="79">
        <v>1.0961499999999999E-3</v>
      </c>
      <c r="C43" s="80">
        <v>772.4</v>
      </c>
      <c r="D43" s="80">
        <v>838.17</v>
      </c>
      <c r="E43" s="82">
        <v>2.1600999999999999</v>
      </c>
      <c r="F43" s="82"/>
      <c r="G43" s="28"/>
      <c r="H43" s="28"/>
    </row>
    <row r="44" spans="1:8" ht="18.75" customHeight="1" x14ac:dyDescent="0.25">
      <c r="A44" s="87">
        <v>195</v>
      </c>
      <c r="B44" s="79">
        <v>1.1018600000000001E-3</v>
      </c>
      <c r="C44" s="80">
        <v>793.22</v>
      </c>
      <c r="D44" s="80">
        <v>859.33</v>
      </c>
      <c r="E44" s="82">
        <v>2.2056</v>
      </c>
      <c r="F44" s="82"/>
      <c r="G44" s="28"/>
      <c r="H44" s="28"/>
    </row>
    <row r="45" spans="1:8" ht="18.75" customHeight="1" x14ac:dyDescent="0.25">
      <c r="A45" s="87">
        <v>200</v>
      </c>
      <c r="B45" s="79">
        <v>1.1077299999999999E-3</v>
      </c>
      <c r="C45" s="80">
        <v>814.09</v>
      </c>
      <c r="D45" s="80">
        <v>880.55</v>
      </c>
      <c r="E45" s="82">
        <v>2.2507000000000001</v>
      </c>
      <c r="F45" s="82"/>
      <c r="G45" s="28"/>
      <c r="H45" s="28"/>
    </row>
    <row r="46" spans="1:8" ht="18.75" customHeight="1" x14ac:dyDescent="0.25">
      <c r="A46" s="87">
        <v>210</v>
      </c>
      <c r="B46" s="79">
        <v>1.1199700000000001E-3</v>
      </c>
      <c r="C46" s="80">
        <v>855.99</v>
      </c>
      <c r="D46" s="80">
        <v>923.19</v>
      </c>
      <c r="E46" s="82">
        <v>2.3397999999999999</v>
      </c>
      <c r="F46" s="82"/>
      <c r="G46" s="28"/>
      <c r="H46" s="28"/>
    </row>
    <row r="47" spans="1:8" ht="18.75" customHeight="1" x14ac:dyDescent="0.25">
      <c r="A47" s="87">
        <v>220</v>
      </c>
      <c r="B47" s="79">
        <v>1.1328899999999999E-3</v>
      </c>
      <c r="C47" s="80">
        <v>898.13</v>
      </c>
      <c r="D47" s="80">
        <v>966.1</v>
      </c>
      <c r="E47" s="82">
        <v>2.4277000000000002</v>
      </c>
      <c r="F47" s="82"/>
      <c r="G47" s="28"/>
      <c r="H47" s="28"/>
    </row>
    <row r="48" spans="1:8" ht="18.75" customHeight="1" x14ac:dyDescent="0.25">
      <c r="A48" s="87">
        <v>230</v>
      </c>
      <c r="B48" s="79">
        <v>1.14657E-3</v>
      </c>
      <c r="C48" s="80">
        <v>940.51</v>
      </c>
      <c r="D48" s="83">
        <v>1009.3</v>
      </c>
      <c r="E48" s="82">
        <v>2.5145</v>
      </c>
      <c r="F48" s="82"/>
      <c r="G48" s="28"/>
      <c r="H48" s="28"/>
    </row>
    <row r="49" spans="1:8" ht="18.75" customHeight="1" x14ac:dyDescent="0.25">
      <c r="A49" s="87">
        <v>240</v>
      </c>
      <c r="B49" s="79">
        <v>1.16106E-3</v>
      </c>
      <c r="C49" s="80">
        <v>983.24</v>
      </c>
      <c r="D49" s="83">
        <v>1052.9000000000001</v>
      </c>
      <c r="E49" s="82">
        <v>2.6002000000000001</v>
      </c>
      <c r="F49" s="82"/>
      <c r="G49" s="28"/>
      <c r="H49" s="28"/>
    </row>
    <row r="50" spans="1:8" ht="18.75" customHeight="1" x14ac:dyDescent="0.25">
      <c r="A50" s="87">
        <v>250</v>
      </c>
      <c r="B50" s="79">
        <v>1.17643E-3</v>
      </c>
      <c r="C50" s="83">
        <v>1026.2</v>
      </c>
      <c r="D50" s="83">
        <v>1096.8</v>
      </c>
      <c r="E50" s="82">
        <v>2.6850000000000001</v>
      </c>
      <c r="F50" s="82"/>
      <c r="G50" s="28"/>
      <c r="H50" s="28"/>
    </row>
    <row r="51" spans="1:8" ht="18.75" customHeight="1" x14ac:dyDescent="0.25">
      <c r="A51" s="87">
        <v>260</v>
      </c>
      <c r="B51" s="79">
        <v>1.1927699999999999E-3</v>
      </c>
      <c r="C51" s="83">
        <v>1069.5</v>
      </c>
      <c r="D51" s="83">
        <v>1141.0999999999999</v>
      </c>
      <c r="E51" s="82">
        <v>2.7690000000000001</v>
      </c>
      <c r="F51" s="82"/>
      <c r="G51" s="28"/>
      <c r="H51" s="28"/>
    </row>
    <row r="52" spans="1:8" ht="18.75" customHeight="1" x14ac:dyDescent="0.25">
      <c r="A52" s="87">
        <v>270</v>
      </c>
      <c r="B52" s="79">
        <v>1.2101799999999999E-3</v>
      </c>
      <c r="C52" s="83">
        <v>1113.3</v>
      </c>
      <c r="D52" s="83">
        <v>1185.9000000000001</v>
      </c>
      <c r="E52" s="82">
        <v>2.8521999999999998</v>
      </c>
      <c r="F52" s="82"/>
      <c r="G52" s="28"/>
      <c r="H52" s="28"/>
    </row>
    <row r="53" spans="1:8" ht="18.75" customHeight="1" x14ac:dyDescent="0.25">
      <c r="A53" s="86">
        <v>280</v>
      </c>
      <c r="B53" s="219">
        <v>1.22876E-3</v>
      </c>
      <c r="C53" s="220">
        <v>1157.5</v>
      </c>
      <c r="D53" s="220">
        <v>1231.2</v>
      </c>
      <c r="E53" s="210">
        <v>2.9348000000000001</v>
      </c>
      <c r="F53" s="82"/>
      <c r="G53" s="82"/>
      <c r="H53" s="28"/>
    </row>
    <row r="54" spans="1:8" ht="18.75" customHeight="1" x14ac:dyDescent="0.25">
      <c r="A54" s="86">
        <v>290</v>
      </c>
      <c r="B54" s="219">
        <v>1.24866E-3</v>
      </c>
      <c r="C54" s="220">
        <v>1202.0999999999999</v>
      </c>
      <c r="D54" s="220">
        <v>1277</v>
      </c>
      <c r="E54" s="210">
        <v>3.0169000000000001</v>
      </c>
      <c r="F54" s="82"/>
      <c r="G54" s="82"/>
      <c r="H54" s="28"/>
    </row>
    <row r="55" spans="1:8" ht="18.75" customHeight="1" x14ac:dyDescent="0.25">
      <c r="A55" s="86">
        <v>300</v>
      </c>
      <c r="B55" s="219">
        <v>1.2700000000000001E-3</v>
      </c>
      <c r="C55" s="220">
        <v>1247.3</v>
      </c>
      <c r="D55" s="220">
        <v>1323.5</v>
      </c>
      <c r="E55" s="210">
        <v>3.0985999999999998</v>
      </c>
      <c r="F55" s="82"/>
      <c r="G55" s="82"/>
      <c r="H55" s="28"/>
    </row>
    <row r="56" spans="1:8" ht="18.75" customHeight="1" x14ac:dyDescent="0.25">
      <c r="A56" s="86">
        <v>310</v>
      </c>
      <c r="B56" s="219">
        <v>1.2930000000000001E-3</v>
      </c>
      <c r="C56" s="220">
        <v>1293</v>
      </c>
      <c r="D56" s="220">
        <v>1370.6</v>
      </c>
      <c r="E56" s="210">
        <v>3.1800999999999999</v>
      </c>
      <c r="F56" s="82"/>
      <c r="G56" s="82"/>
      <c r="H56" s="28"/>
    </row>
    <row r="57" spans="1:8" ht="18.75" customHeight="1" x14ac:dyDescent="0.25">
      <c r="A57" s="86">
        <v>320</v>
      </c>
      <c r="B57" s="219">
        <v>1.3179000000000001E-3</v>
      </c>
      <c r="C57" s="220">
        <v>1339.3</v>
      </c>
      <c r="D57" s="220">
        <v>1418.4</v>
      </c>
      <c r="E57" s="210">
        <v>3.2614999999999998</v>
      </c>
      <c r="F57" s="82"/>
      <c r="G57" s="82"/>
      <c r="H57" s="28"/>
    </row>
    <row r="58" spans="1:8" ht="18.75" customHeight="1" x14ac:dyDescent="0.25">
      <c r="A58" s="86">
        <v>330</v>
      </c>
      <c r="B58" s="219">
        <v>1.3449E-3</v>
      </c>
      <c r="C58" s="220">
        <v>1386.4</v>
      </c>
      <c r="D58" s="220">
        <v>1467.1</v>
      </c>
      <c r="E58" s="210">
        <v>3.3429000000000002</v>
      </c>
      <c r="F58" s="82"/>
      <c r="G58" s="82"/>
      <c r="H58" s="28"/>
    </row>
    <row r="59" spans="1:8" ht="18.75" customHeight="1" x14ac:dyDescent="0.25">
      <c r="A59" s="86">
        <v>340</v>
      </c>
      <c r="B59" s="219">
        <v>1.3744E-3</v>
      </c>
      <c r="C59" s="220">
        <v>1434.3</v>
      </c>
      <c r="D59" s="220">
        <v>1516.8</v>
      </c>
      <c r="E59" s="210">
        <v>3.4245000000000001</v>
      </c>
      <c r="F59" s="82"/>
      <c r="G59" s="82"/>
      <c r="H59" s="28"/>
    </row>
    <row r="60" spans="1:8" ht="18.75" customHeight="1" x14ac:dyDescent="0.25">
      <c r="A60" s="86">
        <v>350</v>
      </c>
      <c r="B60" s="219">
        <v>1.4067000000000001E-3</v>
      </c>
      <c r="C60" s="220">
        <v>1483.1</v>
      </c>
      <c r="D60" s="220">
        <v>1567.5</v>
      </c>
      <c r="E60" s="210">
        <v>3.5065</v>
      </c>
      <c r="F60" s="82"/>
      <c r="G60" s="82"/>
      <c r="H60" s="28"/>
    </row>
    <row r="61" spans="1:8" ht="18.75" customHeight="1" x14ac:dyDescent="0.25">
      <c r="A61" s="86">
        <v>360</v>
      </c>
      <c r="B61" s="219">
        <v>1.4423000000000001E-3</v>
      </c>
      <c r="C61" s="220">
        <v>1532.9</v>
      </c>
      <c r="D61" s="220">
        <v>1619.4</v>
      </c>
      <c r="E61" s="210">
        <v>3.5891999999999999</v>
      </c>
      <c r="F61" s="82"/>
      <c r="G61" s="82"/>
      <c r="H61" s="28"/>
    </row>
    <row r="62" spans="1:8" ht="18.75" customHeight="1" x14ac:dyDescent="0.25">
      <c r="A62" s="86">
        <v>370</v>
      </c>
      <c r="B62" s="219">
        <v>1.4819E-3</v>
      </c>
      <c r="C62" s="220">
        <v>1583.8</v>
      </c>
      <c r="D62" s="220">
        <v>1672.7</v>
      </c>
      <c r="E62" s="210">
        <v>3.6726999999999999</v>
      </c>
      <c r="F62" s="82"/>
      <c r="G62" s="82"/>
      <c r="H62" s="28"/>
    </row>
    <row r="63" spans="1:8" ht="18.75" customHeight="1" x14ac:dyDescent="0.25">
      <c r="A63" s="86">
        <v>380</v>
      </c>
      <c r="B63" s="219">
        <v>1.5261999999999999E-3</v>
      </c>
      <c r="C63" s="220">
        <v>1636</v>
      </c>
      <c r="D63" s="220">
        <v>1727.6</v>
      </c>
      <c r="E63" s="210">
        <v>3.7574000000000001</v>
      </c>
      <c r="F63" s="82"/>
      <c r="G63" s="82"/>
      <c r="H63" s="28"/>
    </row>
    <row r="64" spans="1:8" ht="18.75" customHeight="1" x14ac:dyDescent="0.25">
      <c r="A64" s="86">
        <v>390</v>
      </c>
      <c r="B64" s="219">
        <v>1.5761E-3</v>
      </c>
      <c r="C64" s="220">
        <v>1689.7</v>
      </c>
      <c r="D64" s="220">
        <v>1784.3</v>
      </c>
      <c r="E64" s="210">
        <v>3.8435999999999999</v>
      </c>
      <c r="F64" s="82"/>
      <c r="G64" s="82"/>
      <c r="H64" s="28"/>
    </row>
    <row r="65" spans="1:8" ht="18.75" customHeight="1" x14ac:dyDescent="0.25">
      <c r="A65" s="86">
        <v>400</v>
      </c>
      <c r="B65" s="219">
        <v>1.6329000000000001E-3</v>
      </c>
      <c r="C65" s="220">
        <v>1745.2</v>
      </c>
      <c r="D65" s="220">
        <v>1843.2</v>
      </c>
      <c r="E65" s="210">
        <v>3.9317000000000002</v>
      </c>
      <c r="F65" s="82"/>
      <c r="G65" s="82"/>
      <c r="H65" s="28"/>
    </row>
    <row r="66" spans="1:8" ht="18.75" customHeight="1" x14ac:dyDescent="0.25">
      <c r="A66" s="86">
        <v>410</v>
      </c>
      <c r="B66" s="219">
        <v>1.6980999999999999E-3</v>
      </c>
      <c r="C66" s="220">
        <v>1802.6</v>
      </c>
      <c r="D66" s="220">
        <v>1904.5</v>
      </c>
      <c r="E66" s="210">
        <v>4.0221</v>
      </c>
      <c r="F66" s="82"/>
      <c r="G66" s="82"/>
      <c r="H66" s="28"/>
    </row>
    <row r="67" spans="1:8" ht="18.75" customHeight="1" x14ac:dyDescent="0.25">
      <c r="A67" s="86">
        <v>420</v>
      </c>
      <c r="B67" s="219">
        <v>1.7736E-3</v>
      </c>
      <c r="C67" s="220">
        <v>1862.2</v>
      </c>
      <c r="D67" s="220">
        <v>1968.6</v>
      </c>
      <c r="E67" s="210">
        <v>4.1153000000000004</v>
      </c>
      <c r="F67" s="82"/>
      <c r="G67" s="82"/>
      <c r="H67" s="28"/>
    </row>
    <row r="68" spans="1:8" ht="18.75" customHeight="1" x14ac:dyDescent="0.25">
      <c r="A68" s="86">
        <v>430</v>
      </c>
      <c r="B68" s="219">
        <v>1.8618E-3</v>
      </c>
      <c r="C68" s="220">
        <v>1924.2</v>
      </c>
      <c r="D68" s="220">
        <v>2035.9</v>
      </c>
      <c r="E68" s="210">
        <v>4.2115999999999998</v>
      </c>
      <c r="F68" s="82"/>
      <c r="G68" s="82"/>
      <c r="H68" s="28"/>
    </row>
    <row r="69" spans="1:8" ht="18.75" customHeight="1" x14ac:dyDescent="0.25">
      <c r="A69" s="86">
        <v>440</v>
      </c>
      <c r="B69" s="219">
        <v>1.9650000000000002E-3</v>
      </c>
      <c r="C69" s="220">
        <v>1988.5</v>
      </c>
      <c r="D69" s="220">
        <v>2106.4</v>
      </c>
      <c r="E69" s="210">
        <v>4.3112000000000004</v>
      </c>
      <c r="F69" s="82"/>
      <c r="G69" s="82"/>
      <c r="H69" s="28"/>
    </row>
    <row r="70" spans="1:8" ht="18.75" customHeight="1" x14ac:dyDescent="0.25">
      <c r="A70" s="86">
        <v>450</v>
      </c>
      <c r="B70" s="219">
        <v>2.0855000000000001E-3</v>
      </c>
      <c r="C70" s="220">
        <v>2055.1</v>
      </c>
      <c r="D70" s="220">
        <v>2180.1999999999998</v>
      </c>
      <c r="E70" s="210">
        <v>4.4139999999999997</v>
      </c>
      <c r="F70" s="82"/>
      <c r="G70" s="82"/>
      <c r="H70" s="28"/>
    </row>
    <row r="71" spans="1:8" ht="18.75" customHeight="1" x14ac:dyDescent="0.25">
      <c r="A71" s="86">
        <v>460</v>
      </c>
      <c r="B71" s="219">
        <v>2.2249000000000001E-3</v>
      </c>
      <c r="C71" s="220">
        <v>2123.3000000000002</v>
      </c>
      <c r="D71" s="220">
        <v>2256.8000000000002</v>
      </c>
      <c r="E71" s="210">
        <v>4.5190999999999999</v>
      </c>
      <c r="F71" s="82"/>
      <c r="G71" s="82"/>
      <c r="H71" s="28"/>
    </row>
    <row r="72" spans="1:8" ht="18.75" customHeight="1" x14ac:dyDescent="0.25">
      <c r="A72" s="86">
        <v>470</v>
      </c>
      <c r="B72" s="219">
        <v>2.3839E-3</v>
      </c>
      <c r="C72" s="220">
        <v>2192.5</v>
      </c>
      <c r="D72" s="220">
        <v>2335.5</v>
      </c>
      <c r="E72" s="210">
        <v>4.6257000000000001</v>
      </c>
      <c r="F72" s="82"/>
      <c r="G72" s="82"/>
      <c r="H72" s="28"/>
    </row>
    <row r="73" spans="1:8" ht="18.75" customHeight="1" x14ac:dyDescent="0.25">
      <c r="A73" s="86">
        <v>480</v>
      </c>
      <c r="B73" s="219">
        <v>2.5609999999999999E-3</v>
      </c>
      <c r="C73" s="220">
        <v>2261.3000000000002</v>
      </c>
      <c r="D73" s="220">
        <v>2415</v>
      </c>
      <c r="E73" s="210">
        <v>4.7320000000000002</v>
      </c>
      <c r="F73" s="82"/>
      <c r="G73" s="82"/>
      <c r="H73" s="28"/>
    </row>
    <row r="74" spans="1:8" ht="18.75" customHeight="1" x14ac:dyDescent="0.25">
      <c r="A74" s="86">
        <v>490</v>
      </c>
      <c r="B74" s="219">
        <v>2.7520999999999999E-3</v>
      </c>
      <c r="C74" s="220">
        <v>2328.6</v>
      </c>
      <c r="D74" s="220">
        <v>2493.6999999999998</v>
      </c>
      <c r="E74" s="210">
        <v>4.8357999999999999</v>
      </c>
      <c r="F74" s="82"/>
      <c r="G74" s="82"/>
      <c r="H74" s="28"/>
    </row>
    <row r="75" spans="1:8" ht="18.75" customHeight="1" x14ac:dyDescent="0.25">
      <c r="A75" s="86">
        <v>500</v>
      </c>
      <c r="B75" s="219">
        <v>2.9521999999999999E-3</v>
      </c>
      <c r="C75" s="220">
        <v>2393.1999999999998</v>
      </c>
      <c r="D75" s="220">
        <v>2570.3000000000002</v>
      </c>
      <c r="E75" s="210">
        <v>4.9356</v>
      </c>
      <c r="F75" s="82"/>
      <c r="G75" s="82"/>
      <c r="H75" s="28"/>
    </row>
    <row r="76" spans="1:8" ht="18.75" customHeight="1" x14ac:dyDescent="0.25">
      <c r="A76" s="86">
        <v>520</v>
      </c>
      <c r="B76" s="219">
        <v>3.3617E-3</v>
      </c>
      <c r="C76" s="220">
        <v>2512.1999999999998</v>
      </c>
      <c r="D76" s="220">
        <v>2713.9</v>
      </c>
      <c r="E76" s="210">
        <v>5.1189</v>
      </c>
      <c r="F76" s="82"/>
      <c r="G76" s="82"/>
      <c r="H76" s="28"/>
    </row>
    <row r="77" spans="1:8" ht="18.75" customHeight="1" x14ac:dyDescent="0.25">
      <c r="A77" s="86">
        <v>540</v>
      </c>
      <c r="B77" s="219">
        <v>3.7623999999999999E-3</v>
      </c>
      <c r="C77" s="220">
        <v>2617</v>
      </c>
      <c r="D77" s="220">
        <v>2842.7</v>
      </c>
      <c r="E77" s="210">
        <v>5.2793999999999999</v>
      </c>
      <c r="F77" s="82"/>
      <c r="G77" s="82"/>
      <c r="H77" s="28"/>
    </row>
    <row r="78" spans="1:8" ht="18.75" customHeight="1" x14ac:dyDescent="0.25">
      <c r="A78" s="86">
        <v>560</v>
      </c>
      <c r="B78" s="219">
        <v>4.1422000000000004E-3</v>
      </c>
      <c r="C78" s="220">
        <v>2709.4</v>
      </c>
      <c r="D78" s="220">
        <v>2957.9</v>
      </c>
      <c r="E78" s="210">
        <v>5.4192999999999998</v>
      </c>
      <c r="F78" s="82"/>
      <c r="G78" s="82"/>
      <c r="H78" s="28"/>
    </row>
    <row r="79" spans="1:8" ht="18.75" customHeight="1" x14ac:dyDescent="0.25">
      <c r="A79" s="86">
        <v>580</v>
      </c>
      <c r="B79" s="219">
        <v>4.4986000000000002E-3</v>
      </c>
      <c r="C79" s="220">
        <v>2791.9</v>
      </c>
      <c r="D79" s="220">
        <v>3061.8</v>
      </c>
      <c r="E79" s="210">
        <v>5.5426000000000002</v>
      </c>
      <c r="F79" s="82"/>
      <c r="G79" s="82"/>
      <c r="H79" s="28"/>
    </row>
    <row r="80" spans="1:8" ht="18.75" customHeight="1" x14ac:dyDescent="0.25">
      <c r="A80" s="86">
        <v>600</v>
      </c>
      <c r="B80" s="219">
        <v>4.8329999999999996E-3</v>
      </c>
      <c r="C80" s="220">
        <v>2866.8</v>
      </c>
      <c r="D80" s="220">
        <v>3156.8</v>
      </c>
      <c r="E80" s="210">
        <v>5.6527000000000003</v>
      </c>
      <c r="F80" s="82"/>
      <c r="G80" s="82"/>
      <c r="H80" s="28"/>
    </row>
    <row r="81" spans="1:8" ht="18.75" customHeight="1" x14ac:dyDescent="0.25">
      <c r="A81" s="86">
        <v>620</v>
      </c>
      <c r="B81" s="219">
        <v>5.1482000000000003E-3</v>
      </c>
      <c r="C81" s="220">
        <v>2935.9</v>
      </c>
      <c r="D81" s="220">
        <v>3244.8</v>
      </c>
      <c r="E81" s="210">
        <v>5.7523999999999997</v>
      </c>
      <c r="F81" s="82"/>
      <c r="G81" s="82"/>
      <c r="H81" s="28"/>
    </row>
    <row r="82" spans="1:8" ht="18.75" customHeight="1" x14ac:dyDescent="0.25">
      <c r="A82" s="86">
        <v>640</v>
      </c>
      <c r="B82" s="219">
        <v>5.4467999999999999E-3</v>
      </c>
      <c r="C82" s="220">
        <v>3000.4</v>
      </c>
      <c r="D82" s="220">
        <v>3327.2</v>
      </c>
      <c r="E82" s="210">
        <v>5.8437000000000001</v>
      </c>
      <c r="F82" s="82"/>
      <c r="G82" s="82"/>
      <c r="H82" s="28"/>
    </row>
    <row r="83" spans="1:8" ht="18.75" customHeight="1" x14ac:dyDescent="0.25">
      <c r="A83" s="86">
        <v>660</v>
      </c>
      <c r="B83" s="219">
        <v>5.7311999999999997E-3</v>
      </c>
      <c r="C83" s="220">
        <v>3061.4</v>
      </c>
      <c r="D83" s="220">
        <v>3405.3</v>
      </c>
      <c r="E83" s="210">
        <v>5.9282000000000004</v>
      </c>
      <c r="F83" s="82"/>
      <c r="G83" s="82"/>
      <c r="H83" s="28"/>
    </row>
    <row r="84" spans="1:8" ht="18.75" customHeight="1" x14ac:dyDescent="0.25">
      <c r="A84" s="86">
        <v>680</v>
      </c>
      <c r="B84" s="219">
        <v>6.0032999999999996E-3</v>
      </c>
      <c r="C84" s="220">
        <v>3119.5</v>
      </c>
      <c r="D84" s="220">
        <v>3479.7</v>
      </c>
      <c r="E84" s="210">
        <v>6.0071000000000003</v>
      </c>
      <c r="F84" s="82"/>
      <c r="G84" s="82"/>
      <c r="H84" s="28"/>
    </row>
    <row r="85" spans="1:8" ht="18.75" customHeight="1" x14ac:dyDescent="0.25">
      <c r="A85" s="86">
        <v>700</v>
      </c>
      <c r="B85" s="219">
        <v>6.2649000000000003E-3</v>
      </c>
      <c r="C85" s="220">
        <v>3175.4</v>
      </c>
      <c r="D85" s="220">
        <v>3551.3</v>
      </c>
      <c r="E85" s="210">
        <v>6.0814000000000004</v>
      </c>
      <c r="F85" s="82"/>
      <c r="G85" s="82"/>
      <c r="H85" s="28"/>
    </row>
    <row r="86" spans="1:8" ht="18.75" customHeight="1" x14ac:dyDescent="0.25">
      <c r="A86" s="86">
        <v>720</v>
      </c>
      <c r="B86" s="219">
        <v>6.5173999999999996E-3</v>
      </c>
      <c r="C86" s="220">
        <v>3229.4</v>
      </c>
      <c r="D86" s="220">
        <v>3620.4</v>
      </c>
      <c r="E86" s="210">
        <v>6.1517999999999997</v>
      </c>
      <c r="F86" s="82"/>
      <c r="G86" s="82"/>
      <c r="H86" s="28"/>
    </row>
    <row r="87" spans="1:8" ht="18.75" customHeight="1" x14ac:dyDescent="0.25">
      <c r="A87" s="86">
        <v>740</v>
      </c>
      <c r="B87" s="219">
        <v>6.7618000000000001E-3</v>
      </c>
      <c r="C87" s="220">
        <v>3281.8</v>
      </c>
      <c r="D87" s="220">
        <v>3687.5</v>
      </c>
      <c r="E87" s="210">
        <v>6.2187000000000001</v>
      </c>
      <c r="F87" s="82"/>
      <c r="G87" s="82"/>
      <c r="H87" s="28"/>
    </row>
    <row r="88" spans="1:8" ht="18.75" customHeight="1" x14ac:dyDescent="0.25">
      <c r="A88" s="86">
        <v>760</v>
      </c>
      <c r="B88" s="219">
        <v>6.9991999999999997E-3</v>
      </c>
      <c r="C88" s="220">
        <v>3333</v>
      </c>
      <c r="D88" s="220">
        <v>3753</v>
      </c>
      <c r="E88" s="210">
        <v>6.2827000000000002</v>
      </c>
      <c r="F88" s="82"/>
      <c r="G88" s="82"/>
      <c r="H88" s="28"/>
    </row>
    <row r="89" spans="1:8" ht="18.75" customHeight="1" x14ac:dyDescent="0.25">
      <c r="A89" s="86">
        <v>780</v>
      </c>
      <c r="B89" s="219">
        <v>7.2303999999999997E-3</v>
      </c>
      <c r="C89" s="220">
        <v>3383.3</v>
      </c>
      <c r="D89" s="220">
        <v>3817.1</v>
      </c>
      <c r="E89" s="210">
        <v>6.3441000000000001</v>
      </c>
      <c r="F89" s="82"/>
      <c r="G89" s="82"/>
      <c r="H89" s="28"/>
    </row>
    <row r="90" spans="1:8" ht="18.75" customHeight="1" x14ac:dyDescent="0.25">
      <c r="A90" s="86">
        <v>800</v>
      </c>
      <c r="B90" s="219">
        <v>7.456E-3</v>
      </c>
      <c r="C90" s="220">
        <v>3432.6</v>
      </c>
      <c r="D90" s="220">
        <v>3880</v>
      </c>
      <c r="E90" s="210">
        <v>6.4032999999999998</v>
      </c>
      <c r="F90" s="82"/>
      <c r="G90" s="82"/>
      <c r="H90" s="28"/>
    </row>
    <row r="91" spans="1:8" ht="18.75" customHeight="1" x14ac:dyDescent="0.25">
      <c r="A91" s="86">
        <v>820</v>
      </c>
      <c r="B91" s="219">
        <v>7.6765999999999996E-3</v>
      </c>
      <c r="C91" s="220">
        <v>3481.3</v>
      </c>
      <c r="D91" s="220">
        <v>3941.9</v>
      </c>
      <c r="E91" s="210">
        <v>6.4603999999999999</v>
      </c>
      <c r="F91" s="82"/>
      <c r="G91" s="82"/>
      <c r="H91" s="28"/>
    </row>
    <row r="92" spans="1:8" ht="18.75" customHeight="1" x14ac:dyDescent="0.25">
      <c r="A92" s="86">
        <v>840</v>
      </c>
      <c r="B92" s="219">
        <v>7.8928000000000002E-3</v>
      </c>
      <c r="C92" s="220">
        <v>3529.3</v>
      </c>
      <c r="D92" s="220">
        <v>4002.9</v>
      </c>
      <c r="E92" s="210">
        <v>6.5157999999999996</v>
      </c>
      <c r="F92" s="82"/>
      <c r="G92" s="82"/>
      <c r="H92" s="28"/>
    </row>
    <row r="93" spans="1:8" ht="18.75" customHeight="1" x14ac:dyDescent="0.25">
      <c r="A93" s="86">
        <v>860</v>
      </c>
      <c r="B93" s="219">
        <v>8.1049999999999994E-3</v>
      </c>
      <c r="C93" s="220">
        <v>3576.9</v>
      </c>
      <c r="D93" s="220">
        <v>4063.2</v>
      </c>
      <c r="E93" s="210">
        <v>6.5693999999999999</v>
      </c>
      <c r="F93" s="82"/>
      <c r="G93" s="82"/>
      <c r="H93" s="28"/>
    </row>
    <row r="94" spans="1:8" ht="18.75" customHeight="1" x14ac:dyDescent="0.25">
      <c r="A94" s="86">
        <v>880</v>
      </c>
      <c r="B94" s="219">
        <v>8.3136000000000009E-3</v>
      </c>
      <c r="C94" s="220">
        <v>3624.1</v>
      </c>
      <c r="D94" s="220">
        <v>4122.8999999999996</v>
      </c>
      <c r="E94" s="210">
        <v>6.6216999999999997</v>
      </c>
      <c r="F94" s="82"/>
      <c r="G94" s="82"/>
      <c r="H94" s="28"/>
    </row>
    <row r="95" spans="1:8" ht="18.75" customHeight="1" x14ac:dyDescent="0.25">
      <c r="A95" s="86">
        <v>900</v>
      </c>
      <c r="B95" s="219">
        <v>8.5188E-3</v>
      </c>
      <c r="C95" s="220">
        <v>3670.9</v>
      </c>
      <c r="D95" s="220">
        <v>4182</v>
      </c>
      <c r="E95" s="210">
        <v>6.6725000000000003</v>
      </c>
      <c r="F95" s="82"/>
      <c r="G95" s="82"/>
      <c r="H95" s="28"/>
    </row>
    <row r="96" spans="1:8" ht="18.75" customHeight="1" x14ac:dyDescent="0.25">
      <c r="A96" s="86">
        <v>920</v>
      </c>
      <c r="B96" s="219">
        <v>8.7209999999999996E-3</v>
      </c>
      <c r="C96" s="220">
        <v>3717.4</v>
      </c>
      <c r="D96" s="220">
        <v>4240.7</v>
      </c>
      <c r="E96" s="210">
        <v>6.7221000000000002</v>
      </c>
      <c r="F96" s="82"/>
      <c r="G96" s="82"/>
      <c r="H96" s="28"/>
    </row>
    <row r="97" spans="1:8" ht="18.75" customHeight="1" x14ac:dyDescent="0.25">
      <c r="A97" s="86">
        <v>940</v>
      </c>
      <c r="B97" s="219">
        <v>8.9204000000000002E-3</v>
      </c>
      <c r="C97" s="220">
        <v>3763.8</v>
      </c>
      <c r="D97" s="220">
        <v>4299</v>
      </c>
      <c r="E97" s="210">
        <v>6.7706</v>
      </c>
      <c r="F97" s="82"/>
      <c r="G97" s="82"/>
      <c r="H97" s="28"/>
    </row>
    <row r="98" spans="1:8" ht="18.75" customHeight="1" x14ac:dyDescent="0.25">
      <c r="A98" s="86">
        <v>960</v>
      </c>
      <c r="B98" s="219">
        <v>9.1173000000000001E-3</v>
      </c>
      <c r="C98" s="220">
        <v>3810</v>
      </c>
      <c r="D98" s="220">
        <v>4357</v>
      </c>
      <c r="E98" s="210">
        <v>6.8179999999999996</v>
      </c>
      <c r="F98" s="82"/>
      <c r="G98" s="82"/>
      <c r="H98" s="28"/>
    </row>
    <row r="99" spans="1:8" ht="18.75" customHeight="1" x14ac:dyDescent="0.25">
      <c r="A99" s="86">
        <v>980</v>
      </c>
      <c r="B99" s="219">
        <v>9.3118999999999997E-3</v>
      </c>
      <c r="C99" s="220">
        <v>3856</v>
      </c>
      <c r="D99" s="220">
        <v>4414.7</v>
      </c>
      <c r="E99" s="210">
        <v>6.8643999999999998</v>
      </c>
      <c r="F99" s="82"/>
      <c r="G99" s="82"/>
      <c r="H99" s="28"/>
    </row>
    <row r="100" spans="1:8" ht="18.75" customHeight="1" x14ac:dyDescent="0.25">
      <c r="A100" s="86">
        <v>1000</v>
      </c>
      <c r="B100" s="219">
        <v>9.5043000000000002E-3</v>
      </c>
      <c r="C100" s="220">
        <v>3901.9</v>
      </c>
      <c r="D100" s="220">
        <v>4472.2</v>
      </c>
      <c r="E100" s="210">
        <v>6.9099000000000004</v>
      </c>
      <c r="F100" s="82"/>
      <c r="G100" s="82"/>
      <c r="H100" s="28"/>
    </row>
  </sheetData>
  <mergeCells count="1">
    <mergeCell ref="A1:H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H100"/>
  <sheetViews>
    <sheetView topLeftCell="A35" workbookViewId="0">
      <selection activeCell="B53" sqref="B53:E100"/>
    </sheetView>
  </sheetViews>
  <sheetFormatPr defaultRowHeight="13.2" x14ac:dyDescent="0.25"/>
  <cols>
    <col min="1" max="1" width="7.77734375" customWidth="1"/>
    <col min="2" max="2" width="16" customWidth="1"/>
    <col min="3" max="3" width="8.6640625" customWidth="1"/>
    <col min="4" max="4" width="8.5546875" customWidth="1"/>
    <col min="5" max="5" width="8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193" t="s">
        <v>108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70000</v>
      </c>
      <c r="C2" s="71"/>
      <c r="D2" s="71"/>
      <c r="E2" s="71"/>
      <c r="F2" s="71"/>
      <c r="G2" s="71"/>
      <c r="H2" s="71"/>
    </row>
    <row r="3" spans="1:8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9.6834000000000004E-4</v>
      </c>
      <c r="C5" s="80">
        <v>0.15</v>
      </c>
      <c r="D5" s="80">
        <v>67.930000000000007</v>
      </c>
      <c r="E5" s="81">
        <v>-3.3800000000000002E-3</v>
      </c>
      <c r="F5" s="81"/>
      <c r="G5" s="28"/>
      <c r="H5" s="28"/>
    </row>
    <row r="6" spans="1:8" ht="18.75" customHeight="1" x14ac:dyDescent="0.25">
      <c r="A6" s="87">
        <v>5</v>
      </c>
      <c r="B6" s="79">
        <v>9.6916000000000005E-4</v>
      </c>
      <c r="C6" s="80">
        <v>19.989999999999998</v>
      </c>
      <c r="D6" s="80">
        <v>87.83</v>
      </c>
      <c r="E6" s="81">
        <v>6.8790000000000004E-2</v>
      </c>
      <c r="F6" s="81"/>
      <c r="G6" s="28"/>
      <c r="H6" s="28"/>
    </row>
    <row r="7" spans="1:8" ht="18.75" customHeight="1" x14ac:dyDescent="0.25">
      <c r="A7" s="87">
        <v>10</v>
      </c>
      <c r="B7" s="79">
        <v>9.7017000000000002E-4</v>
      </c>
      <c r="C7" s="80">
        <v>39.869999999999997</v>
      </c>
      <c r="D7" s="80">
        <v>107.78</v>
      </c>
      <c r="E7" s="81">
        <v>0.1399</v>
      </c>
      <c r="F7" s="81"/>
      <c r="G7" s="28"/>
      <c r="H7" s="28"/>
    </row>
    <row r="8" spans="1:8" ht="18.75" customHeight="1" x14ac:dyDescent="0.25">
      <c r="A8" s="87">
        <v>15</v>
      </c>
      <c r="B8" s="79">
        <v>9.7137000000000005E-4</v>
      </c>
      <c r="C8" s="80">
        <v>59.8</v>
      </c>
      <c r="D8" s="80">
        <v>127.8</v>
      </c>
      <c r="E8" s="81">
        <v>0.20996000000000001</v>
      </c>
      <c r="F8" s="81"/>
      <c r="G8" s="28"/>
      <c r="H8" s="28"/>
    </row>
    <row r="9" spans="1:8" ht="18.75" customHeight="1" x14ac:dyDescent="0.25">
      <c r="A9" s="87">
        <v>20</v>
      </c>
      <c r="B9" s="79">
        <v>9.7272999999999999E-4</v>
      </c>
      <c r="C9" s="80">
        <v>79.760000000000005</v>
      </c>
      <c r="D9" s="80">
        <v>147.85</v>
      </c>
      <c r="E9" s="81">
        <v>0.27897</v>
      </c>
      <c r="F9" s="81"/>
      <c r="G9" s="28"/>
      <c r="H9" s="28"/>
    </row>
    <row r="10" spans="1:8" ht="18.75" customHeight="1" x14ac:dyDescent="0.25">
      <c r="A10" s="87">
        <v>25</v>
      </c>
      <c r="B10" s="79">
        <v>9.7424999999999996E-4</v>
      </c>
      <c r="C10" s="80">
        <v>99.75</v>
      </c>
      <c r="D10" s="80">
        <v>167.95</v>
      </c>
      <c r="E10" s="81">
        <v>0.34694000000000003</v>
      </c>
      <c r="F10" s="81"/>
      <c r="G10" s="28"/>
      <c r="H10" s="28"/>
    </row>
    <row r="11" spans="1:8" ht="18.75" customHeight="1" x14ac:dyDescent="0.25">
      <c r="A11" s="87">
        <v>30</v>
      </c>
      <c r="B11" s="79">
        <v>9.7590999999999997E-4</v>
      </c>
      <c r="C11" s="80">
        <v>119.77</v>
      </c>
      <c r="D11" s="80">
        <v>188.08</v>
      </c>
      <c r="E11" s="81">
        <v>0.41391</v>
      </c>
      <c r="F11" s="81"/>
      <c r="G11" s="28"/>
      <c r="H11" s="28"/>
    </row>
    <row r="12" spans="1:8" ht="18.75" customHeight="1" x14ac:dyDescent="0.25">
      <c r="A12" s="87">
        <v>35</v>
      </c>
      <c r="B12" s="79">
        <v>9.7770999999999991E-4</v>
      </c>
      <c r="C12" s="80">
        <v>139.80000000000001</v>
      </c>
      <c r="D12" s="80">
        <v>208.24</v>
      </c>
      <c r="E12" s="81">
        <v>0.47987000000000002</v>
      </c>
      <c r="F12" s="81"/>
      <c r="G12" s="28"/>
      <c r="H12" s="28"/>
    </row>
    <row r="13" spans="1:8" ht="18.75" customHeight="1" x14ac:dyDescent="0.25">
      <c r="A13" s="87">
        <v>40</v>
      </c>
      <c r="B13" s="79">
        <v>9.7963999999999994E-4</v>
      </c>
      <c r="C13" s="80">
        <v>159.86000000000001</v>
      </c>
      <c r="D13" s="80">
        <v>228.43</v>
      </c>
      <c r="E13" s="81">
        <v>0.54486999999999997</v>
      </c>
      <c r="F13" s="81"/>
      <c r="G13" s="28"/>
      <c r="H13" s="28"/>
    </row>
    <row r="14" spans="1:8" ht="18.75" customHeight="1" x14ac:dyDescent="0.25">
      <c r="A14" s="87">
        <v>45</v>
      </c>
      <c r="B14" s="79">
        <v>9.8168999999999991E-4</v>
      </c>
      <c r="C14" s="80">
        <v>179.93</v>
      </c>
      <c r="D14" s="80">
        <v>248.65</v>
      </c>
      <c r="E14" s="81">
        <v>0.6089</v>
      </c>
      <c r="F14" s="81"/>
      <c r="G14" s="28"/>
      <c r="H14" s="28"/>
    </row>
    <row r="15" spans="1:8" ht="18.75" customHeight="1" x14ac:dyDescent="0.25">
      <c r="A15" s="87">
        <v>50</v>
      </c>
      <c r="B15" s="79">
        <v>9.8386999999999997E-4</v>
      </c>
      <c r="C15" s="80">
        <v>200.01</v>
      </c>
      <c r="D15" s="80">
        <v>268.88</v>
      </c>
      <c r="E15" s="81">
        <v>0.67201</v>
      </c>
      <c r="F15" s="81"/>
      <c r="G15" s="28"/>
      <c r="H15" s="28"/>
    </row>
    <row r="16" spans="1:8" ht="18.75" customHeight="1" x14ac:dyDescent="0.25">
      <c r="A16" s="87">
        <v>55</v>
      </c>
      <c r="B16" s="79">
        <v>9.8616999999999997E-4</v>
      </c>
      <c r="C16" s="80">
        <v>220.11</v>
      </c>
      <c r="D16" s="80">
        <v>289.14</v>
      </c>
      <c r="E16" s="81">
        <v>0.73421999999999998</v>
      </c>
      <c r="F16" s="81"/>
      <c r="G16" s="28"/>
      <c r="H16" s="28"/>
    </row>
    <row r="17" spans="1:8" ht="18.75" customHeight="1" x14ac:dyDescent="0.25">
      <c r="A17" s="87">
        <v>60</v>
      </c>
      <c r="B17" s="79">
        <v>9.8857999999999997E-4</v>
      </c>
      <c r="C17" s="80">
        <v>240.21</v>
      </c>
      <c r="D17" s="80">
        <v>309.41000000000003</v>
      </c>
      <c r="E17" s="81">
        <v>0.79552999999999996</v>
      </c>
      <c r="F17" s="81"/>
      <c r="G17" s="28"/>
      <c r="H17" s="28"/>
    </row>
    <row r="18" spans="1:8" ht="18.75" customHeight="1" x14ac:dyDescent="0.25">
      <c r="A18" s="87">
        <v>65</v>
      </c>
      <c r="B18" s="79">
        <v>9.9109999999999997E-4</v>
      </c>
      <c r="C18" s="80">
        <v>260.32</v>
      </c>
      <c r="D18" s="80">
        <v>329.7</v>
      </c>
      <c r="E18" s="81">
        <v>0.85599000000000003</v>
      </c>
      <c r="F18" s="81"/>
      <c r="G18" s="28"/>
      <c r="H18" s="28"/>
    </row>
    <row r="19" spans="1:8" ht="18.75" customHeight="1" x14ac:dyDescent="0.25">
      <c r="A19" s="87">
        <v>70</v>
      </c>
      <c r="B19" s="79">
        <v>9.937399999999999E-4</v>
      </c>
      <c r="C19" s="80">
        <v>280.45</v>
      </c>
      <c r="D19" s="80">
        <v>350.01</v>
      </c>
      <c r="E19" s="81">
        <v>0.91559999999999997</v>
      </c>
      <c r="F19" s="81"/>
      <c r="G19" s="28"/>
      <c r="H19" s="28"/>
    </row>
    <row r="20" spans="1:8" ht="18.75" customHeight="1" x14ac:dyDescent="0.25">
      <c r="A20" s="87">
        <v>75</v>
      </c>
      <c r="B20" s="79">
        <v>9.9647999999999989E-4</v>
      </c>
      <c r="C20" s="80">
        <v>300.58</v>
      </c>
      <c r="D20" s="80">
        <v>370.33</v>
      </c>
      <c r="E20" s="81">
        <v>0.97440000000000004</v>
      </c>
      <c r="F20" s="81"/>
      <c r="G20" s="28"/>
      <c r="H20" s="28"/>
    </row>
    <row r="21" spans="1:8" ht="18.75" customHeight="1" x14ac:dyDescent="0.25">
      <c r="A21" s="87">
        <v>80</v>
      </c>
      <c r="B21" s="79">
        <v>9.9934000000000004E-4</v>
      </c>
      <c r="C21" s="80">
        <v>320.72000000000003</v>
      </c>
      <c r="D21" s="80">
        <v>390.67</v>
      </c>
      <c r="E21" s="82">
        <v>1.0324</v>
      </c>
      <c r="F21" s="82"/>
      <c r="G21" s="28"/>
      <c r="H21" s="28"/>
    </row>
    <row r="22" spans="1:8" ht="18.75" customHeight="1" x14ac:dyDescent="0.25">
      <c r="A22" s="87">
        <v>85</v>
      </c>
      <c r="B22" s="79">
        <v>1.0023E-3</v>
      </c>
      <c r="C22" s="80">
        <v>340.87</v>
      </c>
      <c r="D22" s="80">
        <v>411.03</v>
      </c>
      <c r="E22" s="82">
        <v>1.0895999999999999</v>
      </c>
      <c r="F22" s="82"/>
      <c r="G22" s="28"/>
      <c r="H22" s="28"/>
    </row>
    <row r="23" spans="1:8" ht="18.75" customHeight="1" x14ac:dyDescent="0.25">
      <c r="A23" s="87">
        <v>90</v>
      </c>
      <c r="B23" s="79">
        <v>1.0053600000000001E-3</v>
      </c>
      <c r="C23" s="80">
        <v>361.02</v>
      </c>
      <c r="D23" s="80">
        <v>431.4</v>
      </c>
      <c r="E23" s="82">
        <v>1.1460999999999999</v>
      </c>
      <c r="F23" s="82"/>
      <c r="G23" s="28"/>
      <c r="H23" s="28"/>
    </row>
    <row r="24" spans="1:8" ht="18.75" customHeight="1" x14ac:dyDescent="0.25">
      <c r="A24" s="87">
        <v>95</v>
      </c>
      <c r="B24" s="79">
        <v>1.00854E-3</v>
      </c>
      <c r="C24" s="80">
        <v>381.18</v>
      </c>
      <c r="D24" s="80">
        <v>451.78</v>
      </c>
      <c r="E24" s="82">
        <v>1.2019</v>
      </c>
      <c r="F24" s="82"/>
      <c r="G24" s="28"/>
      <c r="H24" s="28"/>
    </row>
    <row r="25" spans="1:8" ht="18.75" customHeight="1" x14ac:dyDescent="0.25">
      <c r="A25" s="87">
        <v>100</v>
      </c>
      <c r="B25" s="79">
        <v>1.0118099999999999E-3</v>
      </c>
      <c r="C25" s="80">
        <v>401.36</v>
      </c>
      <c r="D25" s="80">
        <v>472.19</v>
      </c>
      <c r="E25" s="82">
        <v>1.2568999999999999</v>
      </c>
      <c r="F25" s="82"/>
      <c r="G25" s="28"/>
      <c r="H25" s="28"/>
    </row>
    <row r="26" spans="1:8" ht="18.75" customHeight="1" x14ac:dyDescent="0.25">
      <c r="A26" s="87">
        <v>105</v>
      </c>
      <c r="B26" s="79">
        <v>1.0152E-3</v>
      </c>
      <c r="C26" s="80">
        <v>421.55</v>
      </c>
      <c r="D26" s="80">
        <v>492.61</v>
      </c>
      <c r="E26" s="82">
        <v>1.3112999999999999</v>
      </c>
      <c r="F26" s="82"/>
      <c r="G26" s="28"/>
      <c r="H26" s="28"/>
    </row>
    <row r="27" spans="1:8" ht="18.75" customHeight="1" x14ac:dyDescent="0.25">
      <c r="A27" s="87">
        <v>110</v>
      </c>
      <c r="B27" s="79">
        <v>1.01869E-3</v>
      </c>
      <c r="C27" s="80">
        <v>441.74</v>
      </c>
      <c r="D27" s="80">
        <v>513.04999999999995</v>
      </c>
      <c r="E27" s="82">
        <v>1.365</v>
      </c>
      <c r="F27" s="82"/>
      <c r="G27" s="28"/>
      <c r="H27" s="28"/>
    </row>
    <row r="28" spans="1:8" ht="18.75" customHeight="1" x14ac:dyDescent="0.25">
      <c r="A28" s="87">
        <v>115</v>
      </c>
      <c r="B28" s="79">
        <v>1.02228E-3</v>
      </c>
      <c r="C28" s="80">
        <v>461.95</v>
      </c>
      <c r="D28" s="80">
        <v>533.51</v>
      </c>
      <c r="E28" s="82">
        <v>1.4179999999999999</v>
      </c>
      <c r="F28" s="82"/>
      <c r="G28" s="28"/>
      <c r="H28" s="28"/>
    </row>
    <row r="29" spans="1:8" ht="18.75" customHeight="1" x14ac:dyDescent="0.25">
      <c r="A29" s="87">
        <v>120</v>
      </c>
      <c r="B29" s="79">
        <v>1.0259900000000001E-3</v>
      </c>
      <c r="C29" s="80">
        <v>482.17</v>
      </c>
      <c r="D29" s="80">
        <v>553.99</v>
      </c>
      <c r="E29" s="82">
        <v>1.4704999999999999</v>
      </c>
      <c r="F29" s="82"/>
      <c r="G29" s="28"/>
      <c r="H29" s="28"/>
    </row>
    <row r="30" spans="1:8" ht="18.75" customHeight="1" x14ac:dyDescent="0.25">
      <c r="A30" s="87">
        <v>125</v>
      </c>
      <c r="B30" s="79">
        <v>1.0298E-3</v>
      </c>
      <c r="C30" s="80">
        <v>502.41</v>
      </c>
      <c r="D30" s="80">
        <v>574.5</v>
      </c>
      <c r="E30" s="82">
        <v>1.5223</v>
      </c>
      <c r="F30" s="82"/>
      <c r="G30" s="28"/>
      <c r="H30" s="28"/>
    </row>
    <row r="31" spans="1:8" ht="18.75" customHeight="1" x14ac:dyDescent="0.25">
      <c r="A31" s="87">
        <v>130</v>
      </c>
      <c r="B31" s="79">
        <v>1.03371E-3</v>
      </c>
      <c r="C31" s="80">
        <v>522.66999999999996</v>
      </c>
      <c r="D31" s="80">
        <v>595.03</v>
      </c>
      <c r="E31" s="82">
        <v>1.5734999999999999</v>
      </c>
      <c r="F31" s="82"/>
      <c r="G31" s="28"/>
      <c r="H31" s="28"/>
    </row>
    <row r="32" spans="1:8" ht="18.75" customHeight="1" x14ac:dyDescent="0.25">
      <c r="A32" s="87">
        <v>135</v>
      </c>
      <c r="B32" s="79">
        <v>1.0377400000000001E-3</v>
      </c>
      <c r="C32" s="80">
        <v>542.94000000000005</v>
      </c>
      <c r="D32" s="80">
        <v>615.58000000000004</v>
      </c>
      <c r="E32" s="82">
        <v>1.6242000000000001</v>
      </c>
      <c r="F32" s="82"/>
      <c r="G32" s="28"/>
      <c r="H32" s="28"/>
    </row>
    <row r="33" spans="1:8" ht="18.75" customHeight="1" x14ac:dyDescent="0.25">
      <c r="A33" s="87">
        <v>140</v>
      </c>
      <c r="B33" s="79">
        <v>1.04188E-3</v>
      </c>
      <c r="C33" s="80">
        <v>563.24</v>
      </c>
      <c r="D33" s="80">
        <v>636.16999999999996</v>
      </c>
      <c r="E33" s="82">
        <v>1.6742999999999999</v>
      </c>
      <c r="F33" s="82"/>
      <c r="G33" s="28"/>
      <c r="H33" s="28"/>
    </row>
    <row r="34" spans="1:8" ht="18.75" customHeight="1" x14ac:dyDescent="0.25">
      <c r="A34" s="87">
        <v>145</v>
      </c>
      <c r="B34" s="79">
        <v>1.0461299999999999E-3</v>
      </c>
      <c r="C34" s="80">
        <v>583.54999999999995</v>
      </c>
      <c r="D34" s="80">
        <v>656.78</v>
      </c>
      <c r="E34" s="82">
        <v>1.7239</v>
      </c>
      <c r="F34" s="82"/>
      <c r="G34" s="28"/>
      <c r="H34" s="28"/>
    </row>
    <row r="35" spans="1:8" ht="18.75" customHeight="1" x14ac:dyDescent="0.25">
      <c r="A35" s="87">
        <v>150</v>
      </c>
      <c r="B35" s="79">
        <v>1.0505E-3</v>
      </c>
      <c r="C35" s="80">
        <v>603.9</v>
      </c>
      <c r="D35" s="80">
        <v>677.43</v>
      </c>
      <c r="E35" s="82">
        <v>1.7729999999999999</v>
      </c>
      <c r="F35" s="82"/>
      <c r="G35" s="28"/>
      <c r="H35" s="28"/>
    </row>
    <row r="36" spans="1:8" ht="18.75" customHeight="1" x14ac:dyDescent="0.25">
      <c r="A36" s="87">
        <v>155</v>
      </c>
      <c r="B36" s="79">
        <v>1.0549800000000001E-3</v>
      </c>
      <c r="C36" s="80">
        <v>624.25</v>
      </c>
      <c r="D36" s="80">
        <v>698.1</v>
      </c>
      <c r="E36" s="82">
        <v>1.8216000000000001</v>
      </c>
      <c r="F36" s="82"/>
      <c r="G36" s="28"/>
      <c r="H36" s="28"/>
    </row>
    <row r="37" spans="1:8" ht="18.75" customHeight="1" x14ac:dyDescent="0.25">
      <c r="A37" s="87">
        <v>160</v>
      </c>
      <c r="B37" s="79">
        <v>1.0595800000000001E-3</v>
      </c>
      <c r="C37" s="80">
        <v>644.65</v>
      </c>
      <c r="D37" s="80">
        <v>718.82</v>
      </c>
      <c r="E37" s="82">
        <v>1.8696999999999999</v>
      </c>
      <c r="F37" s="82"/>
      <c r="G37" s="28"/>
      <c r="H37" s="28"/>
    </row>
    <row r="38" spans="1:8" ht="18.75" customHeight="1" x14ac:dyDescent="0.25">
      <c r="A38" s="87">
        <v>165</v>
      </c>
      <c r="B38" s="79">
        <v>1.0643E-3</v>
      </c>
      <c r="C38" s="80">
        <v>665.07</v>
      </c>
      <c r="D38" s="80">
        <v>739.57</v>
      </c>
      <c r="E38" s="82">
        <v>1.9173</v>
      </c>
      <c r="F38" s="82"/>
      <c r="G38" s="28"/>
      <c r="H38" s="28"/>
    </row>
    <row r="39" spans="1:8" ht="18.75" customHeight="1" x14ac:dyDescent="0.25">
      <c r="A39" s="87">
        <v>170</v>
      </c>
      <c r="B39" s="79">
        <v>1.0691400000000001E-3</v>
      </c>
      <c r="C39" s="80">
        <v>685.52</v>
      </c>
      <c r="D39" s="80">
        <v>760.36</v>
      </c>
      <c r="E39" s="82">
        <v>1.9644999999999999</v>
      </c>
      <c r="F39" s="82"/>
      <c r="G39" s="28"/>
      <c r="H39" s="28"/>
    </row>
    <row r="40" spans="1:8" ht="18.75" customHeight="1" x14ac:dyDescent="0.25">
      <c r="A40" s="87">
        <v>175</v>
      </c>
      <c r="B40" s="79">
        <v>1.0741100000000001E-3</v>
      </c>
      <c r="C40" s="80">
        <v>706</v>
      </c>
      <c r="D40" s="80">
        <v>781.19</v>
      </c>
      <c r="E40" s="82">
        <v>2.0112999999999999</v>
      </c>
      <c r="F40" s="82"/>
      <c r="G40" s="28"/>
      <c r="H40" s="28"/>
    </row>
    <row r="41" spans="1:8" ht="18.75" customHeight="1" x14ac:dyDescent="0.25">
      <c r="A41" s="87">
        <v>180</v>
      </c>
      <c r="B41" s="79">
        <v>1.0792099999999999E-3</v>
      </c>
      <c r="C41" s="80">
        <v>726.53</v>
      </c>
      <c r="D41" s="80">
        <v>802.07</v>
      </c>
      <c r="E41" s="82">
        <v>2.0575999999999999</v>
      </c>
      <c r="F41" s="82"/>
      <c r="G41" s="28"/>
      <c r="H41" s="28"/>
    </row>
    <row r="42" spans="1:8" ht="18.75" customHeight="1" x14ac:dyDescent="0.25">
      <c r="A42" s="87">
        <v>185</v>
      </c>
      <c r="B42" s="79">
        <v>1.0844400000000001E-3</v>
      </c>
      <c r="C42" s="80">
        <v>747.09</v>
      </c>
      <c r="D42" s="80">
        <v>823</v>
      </c>
      <c r="E42" s="82">
        <v>2.1034999999999999</v>
      </c>
      <c r="F42" s="82"/>
      <c r="G42" s="28"/>
      <c r="H42" s="28"/>
    </row>
    <row r="43" spans="1:8" ht="18.75" customHeight="1" x14ac:dyDescent="0.25">
      <c r="A43" s="87">
        <v>190</v>
      </c>
      <c r="B43" s="79">
        <v>1.0898100000000001E-3</v>
      </c>
      <c r="C43" s="80">
        <v>767.68</v>
      </c>
      <c r="D43" s="80">
        <v>843.97</v>
      </c>
      <c r="E43" s="82">
        <v>2.149</v>
      </c>
      <c r="F43" s="82"/>
      <c r="G43" s="28"/>
      <c r="H43" s="28"/>
    </row>
    <row r="44" spans="1:8" ht="18.75" customHeight="1" x14ac:dyDescent="0.25">
      <c r="A44" s="87">
        <v>195</v>
      </c>
      <c r="B44" s="79">
        <v>1.0953200000000001E-3</v>
      </c>
      <c r="C44" s="80">
        <v>788.32</v>
      </c>
      <c r="D44" s="80">
        <v>864.99</v>
      </c>
      <c r="E44" s="82">
        <v>2.1941999999999999</v>
      </c>
      <c r="F44" s="82"/>
      <c r="G44" s="28"/>
      <c r="H44" s="28"/>
    </row>
    <row r="45" spans="1:8" ht="18.75" customHeight="1" x14ac:dyDescent="0.25">
      <c r="A45" s="87">
        <v>200</v>
      </c>
      <c r="B45" s="79">
        <v>1.1009699999999999E-3</v>
      </c>
      <c r="C45" s="80">
        <v>809</v>
      </c>
      <c r="D45" s="80">
        <v>886.07</v>
      </c>
      <c r="E45" s="82">
        <v>2.2389999999999999</v>
      </c>
      <c r="F45" s="82"/>
      <c r="G45" s="28"/>
      <c r="H45" s="28"/>
    </row>
    <row r="46" spans="1:8" ht="18.75" customHeight="1" x14ac:dyDescent="0.25">
      <c r="A46" s="87">
        <v>210</v>
      </c>
      <c r="B46" s="79">
        <v>1.1127299999999999E-3</v>
      </c>
      <c r="C46" s="80">
        <v>850.51</v>
      </c>
      <c r="D46" s="80">
        <v>928.4</v>
      </c>
      <c r="E46" s="82">
        <v>2.3275000000000001</v>
      </c>
      <c r="F46" s="82"/>
      <c r="G46" s="28"/>
      <c r="H46" s="28"/>
    </row>
    <row r="47" spans="1:8" ht="18.75" customHeight="1" x14ac:dyDescent="0.25">
      <c r="A47" s="87">
        <v>220</v>
      </c>
      <c r="B47" s="79">
        <v>1.1251200000000001E-3</v>
      </c>
      <c r="C47" s="80">
        <v>892.22</v>
      </c>
      <c r="D47" s="80">
        <v>970.98</v>
      </c>
      <c r="E47" s="82">
        <v>2.4146999999999998</v>
      </c>
      <c r="F47" s="82"/>
      <c r="G47" s="28"/>
      <c r="H47" s="28"/>
    </row>
    <row r="48" spans="1:8" ht="18.75" customHeight="1" x14ac:dyDescent="0.25">
      <c r="A48" s="87">
        <v>230</v>
      </c>
      <c r="B48" s="79">
        <v>1.1381900000000001E-3</v>
      </c>
      <c r="C48" s="80">
        <v>934.13</v>
      </c>
      <c r="D48" s="83">
        <v>1013.8</v>
      </c>
      <c r="E48" s="82">
        <v>2.5007999999999999</v>
      </c>
      <c r="F48" s="82"/>
      <c r="G48" s="28"/>
      <c r="H48" s="28"/>
    </row>
    <row r="49" spans="1:8" ht="18.75" customHeight="1" x14ac:dyDescent="0.25">
      <c r="A49" s="87">
        <v>240</v>
      </c>
      <c r="B49" s="79">
        <v>1.1519900000000001E-3</v>
      </c>
      <c r="C49" s="80">
        <v>976.36</v>
      </c>
      <c r="D49" s="83">
        <v>1057</v>
      </c>
      <c r="E49" s="82">
        <v>2.5857000000000001</v>
      </c>
      <c r="F49" s="82"/>
      <c r="G49" s="28"/>
      <c r="H49" s="28"/>
    </row>
    <row r="50" spans="1:8" ht="18.75" customHeight="1" x14ac:dyDescent="0.25">
      <c r="A50" s="87">
        <v>250</v>
      </c>
      <c r="B50" s="79">
        <v>1.16658E-3</v>
      </c>
      <c r="C50" s="83">
        <v>1018.8</v>
      </c>
      <c r="D50" s="83">
        <v>1100.5</v>
      </c>
      <c r="E50" s="82">
        <v>2.6696</v>
      </c>
      <c r="F50" s="82"/>
      <c r="G50" s="28"/>
      <c r="H50" s="28"/>
    </row>
    <row r="51" spans="1:8" ht="18.75" customHeight="1" x14ac:dyDescent="0.25">
      <c r="A51" s="87">
        <v>260</v>
      </c>
      <c r="B51" s="79">
        <v>1.1820299999999999E-3</v>
      </c>
      <c r="C51" s="83">
        <v>1061.5999999999999</v>
      </c>
      <c r="D51" s="83">
        <v>1144.3</v>
      </c>
      <c r="E51" s="82">
        <v>2.7526000000000002</v>
      </c>
      <c r="F51" s="82"/>
      <c r="G51" s="28"/>
      <c r="H51" s="28"/>
    </row>
    <row r="52" spans="1:8" ht="18.75" customHeight="1" x14ac:dyDescent="0.25">
      <c r="A52" s="87">
        <v>270</v>
      </c>
      <c r="B52" s="79">
        <v>1.19841E-3</v>
      </c>
      <c r="C52" s="83">
        <v>1104.5999999999999</v>
      </c>
      <c r="D52" s="83">
        <v>1188.5</v>
      </c>
      <c r="E52" s="82">
        <v>2.8348</v>
      </c>
      <c r="F52" s="82"/>
      <c r="G52" s="28"/>
      <c r="H52" s="28"/>
    </row>
    <row r="53" spans="1:8" ht="18.75" customHeight="1" x14ac:dyDescent="0.25">
      <c r="A53" s="86">
        <v>280</v>
      </c>
      <c r="B53" s="219">
        <v>1.2158200000000001E-3</v>
      </c>
      <c r="C53" s="220">
        <v>1148.0999999999999</v>
      </c>
      <c r="D53" s="220">
        <v>1233.2</v>
      </c>
      <c r="E53" s="210">
        <v>2.9161999999999999</v>
      </c>
      <c r="F53" s="82"/>
      <c r="G53" s="82"/>
      <c r="H53" s="28"/>
    </row>
    <row r="54" spans="1:8" ht="18.75" customHeight="1" x14ac:dyDescent="0.25">
      <c r="A54" s="86">
        <v>290</v>
      </c>
      <c r="B54" s="219">
        <v>1.2343600000000001E-3</v>
      </c>
      <c r="C54" s="220">
        <v>1191.9000000000001</v>
      </c>
      <c r="D54" s="220">
        <v>1278.3</v>
      </c>
      <c r="E54" s="210">
        <v>2.9969999999999999</v>
      </c>
      <c r="F54" s="82"/>
      <c r="G54" s="82"/>
      <c r="H54" s="28"/>
    </row>
    <row r="55" spans="1:8" ht="18.75" customHeight="1" x14ac:dyDescent="0.25">
      <c r="A55" s="86">
        <v>300</v>
      </c>
      <c r="B55" s="219">
        <v>1.2541E-3</v>
      </c>
      <c r="C55" s="220">
        <v>1236.0999999999999</v>
      </c>
      <c r="D55" s="220">
        <v>1323.9</v>
      </c>
      <c r="E55" s="210">
        <v>3.0773000000000001</v>
      </c>
      <c r="F55" s="82"/>
      <c r="G55" s="82"/>
      <c r="H55" s="28"/>
    </row>
    <row r="56" spans="1:8" ht="18.75" customHeight="1" x14ac:dyDescent="0.25">
      <c r="A56" s="86">
        <v>310</v>
      </c>
      <c r="B56" s="219">
        <v>1.2753E-3</v>
      </c>
      <c r="C56" s="220">
        <v>1280.8</v>
      </c>
      <c r="D56" s="220">
        <v>1370.1</v>
      </c>
      <c r="E56" s="210">
        <v>3.1572</v>
      </c>
      <c r="F56" s="82"/>
      <c r="G56" s="82"/>
      <c r="H56" s="28"/>
    </row>
    <row r="57" spans="1:8" ht="18.75" customHeight="1" x14ac:dyDescent="0.25">
      <c r="A57" s="86">
        <v>320</v>
      </c>
      <c r="B57" s="219">
        <v>1.2979999999999999E-3</v>
      </c>
      <c r="C57" s="220">
        <v>1326</v>
      </c>
      <c r="D57" s="220">
        <v>1416.9</v>
      </c>
      <c r="E57" s="210">
        <v>3.2368000000000001</v>
      </c>
      <c r="F57" s="82"/>
      <c r="G57" s="82"/>
      <c r="H57" s="28"/>
    </row>
    <row r="58" spans="1:8" ht="18.75" customHeight="1" x14ac:dyDescent="0.25">
      <c r="A58" s="86">
        <v>330</v>
      </c>
      <c r="B58" s="219">
        <v>1.3224000000000001E-3</v>
      </c>
      <c r="C58" s="220">
        <v>1371.7</v>
      </c>
      <c r="D58" s="220">
        <v>1464.3</v>
      </c>
      <c r="E58" s="210">
        <v>3.3161999999999998</v>
      </c>
      <c r="F58" s="82"/>
      <c r="G58" s="82"/>
      <c r="H58" s="28"/>
    </row>
    <row r="59" spans="1:8" ht="18.75" customHeight="1" x14ac:dyDescent="0.25">
      <c r="A59" s="86">
        <v>340</v>
      </c>
      <c r="B59" s="219">
        <v>1.3488E-3</v>
      </c>
      <c r="C59" s="220">
        <v>1418.2</v>
      </c>
      <c r="D59" s="220">
        <v>1512.6</v>
      </c>
      <c r="E59" s="210">
        <v>3.3954</v>
      </c>
      <c r="F59" s="82"/>
      <c r="G59" s="82"/>
      <c r="H59" s="28"/>
    </row>
    <row r="60" spans="1:8" ht="18.75" customHeight="1" x14ac:dyDescent="0.25">
      <c r="A60" s="86">
        <v>350</v>
      </c>
      <c r="B60" s="219">
        <v>1.3774E-3</v>
      </c>
      <c r="C60" s="220">
        <v>1465.2</v>
      </c>
      <c r="D60" s="220">
        <v>1561.6</v>
      </c>
      <c r="E60" s="210">
        <v>3.4748000000000001</v>
      </c>
      <c r="F60" s="82"/>
      <c r="G60" s="82"/>
      <c r="H60" s="28"/>
    </row>
    <row r="61" spans="1:8" ht="18.75" customHeight="1" x14ac:dyDescent="0.25">
      <c r="A61" s="86">
        <v>360</v>
      </c>
      <c r="B61" s="219">
        <v>1.4084E-3</v>
      </c>
      <c r="C61" s="220">
        <v>1513</v>
      </c>
      <c r="D61" s="220">
        <v>1611.6</v>
      </c>
      <c r="E61" s="210">
        <v>3.5543</v>
      </c>
      <c r="F61" s="82"/>
      <c r="G61" s="82"/>
      <c r="H61" s="28"/>
    </row>
    <row r="62" spans="1:8" ht="18.75" customHeight="1" x14ac:dyDescent="0.25">
      <c r="A62" s="86">
        <v>370</v>
      </c>
      <c r="B62" s="219">
        <v>1.4423999999999999E-3</v>
      </c>
      <c r="C62" s="220">
        <v>1561.6</v>
      </c>
      <c r="D62" s="220">
        <v>1662.6</v>
      </c>
      <c r="E62" s="210">
        <v>3.6341999999999999</v>
      </c>
      <c r="F62" s="82"/>
      <c r="G62" s="82"/>
      <c r="H62" s="28"/>
    </row>
    <row r="63" spans="1:8" ht="18.75" customHeight="1" x14ac:dyDescent="0.25">
      <c r="A63" s="86">
        <v>380</v>
      </c>
      <c r="B63" s="219">
        <v>1.4797E-3</v>
      </c>
      <c r="C63" s="220">
        <v>1611.1</v>
      </c>
      <c r="D63" s="220">
        <v>1714.7</v>
      </c>
      <c r="E63" s="210">
        <v>3.7147000000000001</v>
      </c>
      <c r="F63" s="82"/>
      <c r="G63" s="82"/>
      <c r="H63" s="28"/>
    </row>
    <row r="64" spans="1:8" ht="18.75" customHeight="1" x14ac:dyDescent="0.25">
      <c r="A64" s="86">
        <v>390</v>
      </c>
      <c r="B64" s="219">
        <v>1.5208000000000001E-3</v>
      </c>
      <c r="C64" s="220">
        <v>1661.6</v>
      </c>
      <c r="D64" s="220">
        <v>1768.1</v>
      </c>
      <c r="E64" s="210">
        <v>3.7957999999999998</v>
      </c>
      <c r="F64" s="82"/>
      <c r="G64" s="82"/>
      <c r="H64" s="28"/>
    </row>
    <row r="65" spans="1:8" ht="18.75" customHeight="1" x14ac:dyDescent="0.25">
      <c r="A65" s="86">
        <v>400</v>
      </c>
      <c r="B65" s="219">
        <v>1.5663999999999999E-3</v>
      </c>
      <c r="C65" s="220">
        <v>1713.3</v>
      </c>
      <c r="D65" s="220">
        <v>1822.9</v>
      </c>
      <c r="E65" s="210">
        <v>3.8778999999999999</v>
      </c>
      <c r="F65" s="82"/>
      <c r="G65" s="82"/>
      <c r="H65" s="28"/>
    </row>
    <row r="66" spans="1:8" ht="18.75" customHeight="1" x14ac:dyDescent="0.25">
      <c r="A66" s="86">
        <v>410</v>
      </c>
      <c r="B66" s="219">
        <v>1.6172000000000001E-3</v>
      </c>
      <c r="C66" s="220">
        <v>1766.1</v>
      </c>
      <c r="D66" s="220">
        <v>1879.3</v>
      </c>
      <c r="E66" s="210">
        <v>3.9609999999999999</v>
      </c>
      <c r="F66" s="82"/>
      <c r="G66" s="82"/>
      <c r="H66" s="28"/>
    </row>
    <row r="67" spans="1:8" ht="18.75" customHeight="1" x14ac:dyDescent="0.25">
      <c r="A67" s="86">
        <v>420</v>
      </c>
      <c r="B67" s="219">
        <v>1.6741E-3</v>
      </c>
      <c r="C67" s="220">
        <v>1820.3</v>
      </c>
      <c r="D67" s="220">
        <v>1937.5</v>
      </c>
      <c r="E67" s="210">
        <v>4.0454999999999997</v>
      </c>
      <c r="F67" s="82"/>
      <c r="G67" s="82"/>
      <c r="H67" s="28"/>
    </row>
    <row r="68" spans="1:8" ht="18.75" customHeight="1" x14ac:dyDescent="0.25">
      <c r="A68" s="86">
        <v>430</v>
      </c>
      <c r="B68" s="219">
        <v>1.7382000000000001E-3</v>
      </c>
      <c r="C68" s="220">
        <v>1875.8</v>
      </c>
      <c r="D68" s="220">
        <v>1997.5</v>
      </c>
      <c r="E68" s="210">
        <v>4.1315</v>
      </c>
      <c r="F68" s="82"/>
      <c r="G68" s="82"/>
      <c r="H68" s="28"/>
    </row>
    <row r="69" spans="1:8" ht="18.75" customHeight="1" x14ac:dyDescent="0.25">
      <c r="A69" s="86">
        <v>440</v>
      </c>
      <c r="B69" s="219">
        <v>1.8106000000000001E-3</v>
      </c>
      <c r="C69" s="220">
        <v>1932.9</v>
      </c>
      <c r="D69" s="220">
        <v>2059.6</v>
      </c>
      <c r="E69" s="210">
        <v>4.2191999999999998</v>
      </c>
      <c r="F69" s="82"/>
      <c r="G69" s="82"/>
      <c r="H69" s="28"/>
    </row>
    <row r="70" spans="1:8" ht="18.75" customHeight="1" x14ac:dyDescent="0.25">
      <c r="A70" s="86">
        <v>450</v>
      </c>
      <c r="B70" s="219">
        <v>1.8924E-3</v>
      </c>
      <c r="C70" s="220">
        <v>1991.2</v>
      </c>
      <c r="D70" s="220">
        <v>2123.6999999999998</v>
      </c>
      <c r="E70" s="210">
        <v>4.3083999999999998</v>
      </c>
      <c r="F70" s="82"/>
      <c r="G70" s="82"/>
      <c r="H70" s="28"/>
    </row>
    <row r="71" spans="1:8" ht="18.75" customHeight="1" x14ac:dyDescent="0.25">
      <c r="A71" s="86">
        <v>460</v>
      </c>
      <c r="B71" s="219">
        <v>1.9846E-3</v>
      </c>
      <c r="C71" s="220">
        <v>2050.8000000000002</v>
      </c>
      <c r="D71" s="220">
        <v>2189.6999999999998</v>
      </c>
      <c r="E71" s="210">
        <v>4.3990999999999998</v>
      </c>
      <c r="F71" s="82"/>
      <c r="G71" s="82"/>
      <c r="H71" s="28"/>
    </row>
    <row r="72" spans="1:8" ht="18.75" customHeight="1" x14ac:dyDescent="0.25">
      <c r="A72" s="86">
        <v>470</v>
      </c>
      <c r="B72" s="219">
        <v>2.0877000000000001E-3</v>
      </c>
      <c r="C72" s="220">
        <v>2111.4</v>
      </c>
      <c r="D72" s="220">
        <v>2257.5</v>
      </c>
      <c r="E72" s="210">
        <v>4.4908999999999999</v>
      </c>
      <c r="F72" s="82"/>
      <c r="G72" s="82"/>
      <c r="H72" s="28"/>
    </row>
    <row r="73" spans="1:8" ht="18.75" customHeight="1" x14ac:dyDescent="0.25">
      <c r="A73" s="86">
        <v>480</v>
      </c>
      <c r="B73" s="219">
        <v>2.2022000000000001E-3</v>
      </c>
      <c r="C73" s="220">
        <v>2172.1999999999998</v>
      </c>
      <c r="D73" s="220">
        <v>2326.4</v>
      </c>
      <c r="E73" s="210">
        <v>4.5831</v>
      </c>
      <c r="F73" s="82"/>
      <c r="G73" s="82"/>
      <c r="H73" s="28"/>
    </row>
    <row r="74" spans="1:8" ht="18.75" customHeight="1" x14ac:dyDescent="0.25">
      <c r="A74" s="86">
        <v>490</v>
      </c>
      <c r="B74" s="219">
        <v>2.3276999999999998E-3</v>
      </c>
      <c r="C74" s="220">
        <v>2233.3000000000002</v>
      </c>
      <c r="D74" s="220">
        <v>2396.1999999999998</v>
      </c>
      <c r="E74" s="210">
        <v>4.6750999999999996</v>
      </c>
      <c r="F74" s="82"/>
      <c r="G74" s="82"/>
      <c r="H74" s="28"/>
    </row>
    <row r="75" spans="1:8" ht="18.75" customHeight="1" x14ac:dyDescent="0.25">
      <c r="A75" s="86">
        <v>500</v>
      </c>
      <c r="B75" s="219">
        <v>2.4632E-3</v>
      </c>
      <c r="C75" s="220">
        <v>2293.6999999999998</v>
      </c>
      <c r="D75" s="220">
        <v>2466.1</v>
      </c>
      <c r="E75" s="210">
        <v>4.766</v>
      </c>
      <c r="F75" s="82"/>
      <c r="G75" s="82"/>
      <c r="H75" s="28"/>
    </row>
    <row r="76" spans="1:8" ht="18.75" customHeight="1" x14ac:dyDescent="0.25">
      <c r="A76" s="86">
        <v>520</v>
      </c>
      <c r="B76" s="219">
        <v>2.7572E-3</v>
      </c>
      <c r="C76" s="220">
        <v>2410.3000000000002</v>
      </c>
      <c r="D76" s="220">
        <v>2603.3000000000002</v>
      </c>
      <c r="E76" s="210">
        <v>4.9412000000000003</v>
      </c>
      <c r="F76" s="82"/>
      <c r="G76" s="82"/>
      <c r="H76" s="28"/>
    </row>
    <row r="77" spans="1:8" ht="18.75" customHeight="1" x14ac:dyDescent="0.25">
      <c r="A77" s="86">
        <v>540</v>
      </c>
      <c r="B77" s="219">
        <v>3.0672999999999998E-3</v>
      </c>
      <c r="C77" s="220">
        <v>2518.6</v>
      </c>
      <c r="D77" s="220">
        <v>2733.3</v>
      </c>
      <c r="E77" s="210">
        <v>5.1032000000000002</v>
      </c>
      <c r="F77" s="82"/>
      <c r="G77" s="82"/>
      <c r="H77" s="28"/>
    </row>
    <row r="78" spans="1:8" ht="18.75" customHeight="1" x14ac:dyDescent="0.25">
      <c r="A78" s="86">
        <v>560</v>
      </c>
      <c r="B78" s="219">
        <v>3.3790000000000001E-3</v>
      </c>
      <c r="C78" s="220">
        <v>2617.5</v>
      </c>
      <c r="D78" s="220">
        <v>2854</v>
      </c>
      <c r="E78" s="210">
        <v>5.2499000000000002</v>
      </c>
      <c r="F78" s="82"/>
      <c r="G78" s="82"/>
      <c r="H78" s="28"/>
    </row>
    <row r="79" spans="1:8" ht="18.75" customHeight="1" x14ac:dyDescent="0.25">
      <c r="A79" s="86">
        <v>580</v>
      </c>
      <c r="B79" s="219">
        <v>3.6828999999999998E-3</v>
      </c>
      <c r="C79" s="220">
        <v>2707.3</v>
      </c>
      <c r="D79" s="220">
        <v>2965.1</v>
      </c>
      <c r="E79" s="210">
        <v>5.3815999999999997</v>
      </c>
      <c r="F79" s="82"/>
      <c r="G79" s="82"/>
      <c r="H79" s="28"/>
    </row>
    <row r="80" spans="1:8" ht="18.75" customHeight="1" x14ac:dyDescent="0.25">
      <c r="A80" s="86">
        <v>600</v>
      </c>
      <c r="B80" s="219">
        <v>3.9749E-3</v>
      </c>
      <c r="C80" s="220">
        <v>2789.2</v>
      </c>
      <c r="D80" s="220">
        <v>3067.4</v>
      </c>
      <c r="E80" s="210">
        <v>5.5002000000000004</v>
      </c>
      <c r="F80" s="82"/>
      <c r="G80" s="82"/>
      <c r="H80" s="28"/>
    </row>
    <row r="81" spans="1:8" ht="18.75" customHeight="1" x14ac:dyDescent="0.25">
      <c r="A81" s="86">
        <v>620</v>
      </c>
      <c r="B81" s="219">
        <v>4.2538000000000003E-3</v>
      </c>
      <c r="C81" s="220">
        <v>2864.5</v>
      </c>
      <c r="D81" s="220">
        <v>3162.3</v>
      </c>
      <c r="E81" s="210">
        <v>5.6077000000000004</v>
      </c>
      <c r="F81" s="82"/>
      <c r="G81" s="82"/>
      <c r="H81" s="28"/>
    </row>
    <row r="82" spans="1:8" ht="18.75" customHeight="1" x14ac:dyDescent="0.25">
      <c r="A82" s="86">
        <v>640</v>
      </c>
      <c r="B82" s="219">
        <v>4.5198E-3</v>
      </c>
      <c r="C82" s="220">
        <v>2934.7</v>
      </c>
      <c r="D82" s="220">
        <v>3251.1</v>
      </c>
      <c r="E82" s="210">
        <v>5.7060000000000004</v>
      </c>
      <c r="F82" s="82"/>
      <c r="G82" s="82"/>
      <c r="H82" s="28"/>
    </row>
    <row r="83" spans="1:8" ht="18.75" customHeight="1" x14ac:dyDescent="0.25">
      <c r="A83" s="86">
        <v>660</v>
      </c>
      <c r="B83" s="219">
        <v>4.7742000000000001E-3</v>
      </c>
      <c r="C83" s="220">
        <v>3000.6</v>
      </c>
      <c r="D83" s="220">
        <v>3334.8</v>
      </c>
      <c r="E83" s="210">
        <v>5.7965999999999998</v>
      </c>
      <c r="F83" s="82"/>
      <c r="G83" s="82"/>
      <c r="H83" s="28"/>
    </row>
    <row r="84" spans="1:8" ht="18.75" customHeight="1" x14ac:dyDescent="0.25">
      <c r="A84" s="86">
        <v>680</v>
      </c>
      <c r="B84" s="219">
        <v>5.0178999999999996E-3</v>
      </c>
      <c r="C84" s="220">
        <v>3063</v>
      </c>
      <c r="D84" s="220">
        <v>3414.3</v>
      </c>
      <c r="E84" s="210">
        <v>5.8808999999999996</v>
      </c>
      <c r="F84" s="82"/>
      <c r="G84" s="82"/>
      <c r="H84" s="28"/>
    </row>
    <row r="85" spans="1:8" ht="18.75" customHeight="1" x14ac:dyDescent="0.25">
      <c r="A85" s="86">
        <v>700</v>
      </c>
      <c r="B85" s="219">
        <v>5.2522999999999997E-3</v>
      </c>
      <c r="C85" s="220">
        <v>3122.6</v>
      </c>
      <c r="D85" s="220">
        <v>3490.3</v>
      </c>
      <c r="E85" s="210">
        <v>5.9599000000000002</v>
      </c>
      <c r="F85" s="82"/>
      <c r="G85" s="82"/>
      <c r="H85" s="28"/>
    </row>
    <row r="86" spans="1:8" ht="18.75" customHeight="1" x14ac:dyDescent="0.25">
      <c r="A86" s="86">
        <v>720</v>
      </c>
      <c r="B86" s="219">
        <v>5.4783999999999996E-3</v>
      </c>
      <c r="C86" s="220">
        <v>3180</v>
      </c>
      <c r="D86" s="220">
        <v>3563.5</v>
      </c>
      <c r="E86" s="210">
        <v>6.0343</v>
      </c>
      <c r="F86" s="82"/>
      <c r="G86" s="82"/>
      <c r="H86" s="28"/>
    </row>
    <row r="87" spans="1:8" ht="18.75" customHeight="1" x14ac:dyDescent="0.25">
      <c r="A87" s="86">
        <v>740</v>
      </c>
      <c r="B87" s="219">
        <v>5.6971000000000001E-3</v>
      </c>
      <c r="C87" s="220">
        <v>3235.5</v>
      </c>
      <c r="D87" s="220">
        <v>3634.3</v>
      </c>
      <c r="E87" s="210">
        <v>6.1048999999999998</v>
      </c>
      <c r="F87" s="82"/>
      <c r="G87" s="82"/>
      <c r="H87" s="28"/>
    </row>
    <row r="88" spans="1:8" ht="18.75" customHeight="1" x14ac:dyDescent="0.25">
      <c r="A88" s="86">
        <v>760</v>
      </c>
      <c r="B88" s="219">
        <v>5.9093000000000001E-3</v>
      </c>
      <c r="C88" s="220">
        <v>3289.3</v>
      </c>
      <c r="D88" s="220">
        <v>3703</v>
      </c>
      <c r="E88" s="210">
        <v>6.1721000000000004</v>
      </c>
      <c r="F88" s="82"/>
      <c r="G88" s="82"/>
      <c r="H88" s="28"/>
    </row>
    <row r="89" spans="1:8" ht="18.75" customHeight="1" x14ac:dyDescent="0.25">
      <c r="A89" s="86">
        <v>780</v>
      </c>
      <c r="B89" s="219">
        <v>6.1155999999999997E-3</v>
      </c>
      <c r="C89" s="220">
        <v>3342</v>
      </c>
      <c r="D89" s="220">
        <v>3770.1</v>
      </c>
      <c r="E89" s="210">
        <v>6.2363999999999997</v>
      </c>
      <c r="F89" s="82"/>
      <c r="G89" s="82"/>
      <c r="H89" s="28"/>
    </row>
    <row r="90" spans="1:8" ht="18.75" customHeight="1" x14ac:dyDescent="0.25">
      <c r="A90" s="86">
        <v>800</v>
      </c>
      <c r="B90" s="219">
        <v>6.3166999999999997E-3</v>
      </c>
      <c r="C90" s="220">
        <v>3393.5</v>
      </c>
      <c r="D90" s="220">
        <v>3835.7</v>
      </c>
      <c r="E90" s="210">
        <v>6.2980999999999998</v>
      </c>
      <c r="F90" s="82"/>
      <c r="G90" s="82"/>
      <c r="H90" s="28"/>
    </row>
    <row r="91" spans="1:8" ht="18.75" customHeight="1" x14ac:dyDescent="0.25">
      <c r="A91" s="86">
        <v>820</v>
      </c>
      <c r="B91" s="219">
        <v>6.5129999999999997E-3</v>
      </c>
      <c r="C91" s="220">
        <v>3444.2</v>
      </c>
      <c r="D91" s="220">
        <v>3900.1</v>
      </c>
      <c r="E91" s="210">
        <v>6.3575999999999997</v>
      </c>
      <c r="F91" s="82"/>
      <c r="G91" s="82"/>
      <c r="H91" s="28"/>
    </row>
    <row r="92" spans="1:8" ht="18.75" customHeight="1" x14ac:dyDescent="0.25">
      <c r="A92" s="86">
        <v>840</v>
      </c>
      <c r="B92" s="219">
        <v>6.7051999999999997E-3</v>
      </c>
      <c r="C92" s="220">
        <v>3494</v>
      </c>
      <c r="D92" s="220">
        <v>3963.4</v>
      </c>
      <c r="E92" s="210">
        <v>6.415</v>
      </c>
      <c r="F92" s="82"/>
      <c r="G92" s="82"/>
      <c r="H92" s="28"/>
    </row>
    <row r="93" spans="1:8" ht="18.75" customHeight="1" x14ac:dyDescent="0.25">
      <c r="A93" s="86">
        <v>860</v>
      </c>
      <c r="B93" s="219">
        <v>6.8935000000000003E-3</v>
      </c>
      <c r="C93" s="220">
        <v>3543.3</v>
      </c>
      <c r="D93" s="220">
        <v>4025.8</v>
      </c>
      <c r="E93" s="210">
        <v>6.4705000000000004</v>
      </c>
      <c r="F93" s="82"/>
      <c r="G93" s="82"/>
      <c r="H93" s="28"/>
    </row>
    <row r="94" spans="1:8" ht="18.75" customHeight="1" x14ac:dyDescent="0.25">
      <c r="A94" s="86">
        <v>880</v>
      </c>
      <c r="B94" s="219">
        <v>7.0783E-3</v>
      </c>
      <c r="C94" s="220">
        <v>3591.9</v>
      </c>
      <c r="D94" s="220">
        <v>4087.4</v>
      </c>
      <c r="E94" s="210">
        <v>6.5244</v>
      </c>
      <c r="F94" s="82"/>
      <c r="G94" s="82"/>
      <c r="H94" s="28"/>
    </row>
    <row r="95" spans="1:8" ht="18.75" customHeight="1" x14ac:dyDescent="0.25">
      <c r="A95" s="86">
        <v>900</v>
      </c>
      <c r="B95" s="219">
        <v>7.2598999999999997E-3</v>
      </c>
      <c r="C95" s="220">
        <v>3640.1</v>
      </c>
      <c r="D95" s="220">
        <v>4148.3</v>
      </c>
      <c r="E95" s="210">
        <v>6.5768000000000004</v>
      </c>
      <c r="F95" s="82"/>
      <c r="G95" s="82"/>
      <c r="H95" s="28"/>
    </row>
    <row r="96" spans="1:8" ht="18.75" customHeight="1" x14ac:dyDescent="0.25">
      <c r="A96" s="86">
        <v>920</v>
      </c>
      <c r="B96" s="219">
        <v>7.4387000000000003E-3</v>
      </c>
      <c r="C96" s="220">
        <v>3688</v>
      </c>
      <c r="D96" s="220">
        <v>4208.7</v>
      </c>
      <c r="E96" s="210">
        <v>6.6279000000000003</v>
      </c>
      <c r="F96" s="82"/>
      <c r="G96" s="82"/>
      <c r="H96" s="28"/>
    </row>
    <row r="97" spans="1:8" ht="18.75" customHeight="1" x14ac:dyDescent="0.25">
      <c r="A97" s="86">
        <v>940</v>
      </c>
      <c r="B97" s="219">
        <v>7.6147999999999997E-3</v>
      </c>
      <c r="C97" s="220">
        <v>3735.6</v>
      </c>
      <c r="D97" s="220">
        <v>4268.6000000000004</v>
      </c>
      <c r="E97" s="210">
        <v>6.6776</v>
      </c>
      <c r="F97" s="82"/>
      <c r="G97" s="82"/>
      <c r="H97" s="28"/>
    </row>
    <row r="98" spans="1:8" ht="18.75" customHeight="1" x14ac:dyDescent="0.25">
      <c r="A98" s="86">
        <v>960</v>
      </c>
      <c r="B98" s="219">
        <v>7.7884E-3</v>
      </c>
      <c r="C98" s="220">
        <v>3782.8</v>
      </c>
      <c r="D98" s="220">
        <v>4328</v>
      </c>
      <c r="E98" s="210">
        <v>6.7262000000000004</v>
      </c>
      <c r="F98" s="82"/>
      <c r="G98" s="82"/>
      <c r="H98" s="28"/>
    </row>
    <row r="99" spans="1:8" ht="18.75" customHeight="1" x14ac:dyDescent="0.25">
      <c r="A99" s="86">
        <v>980</v>
      </c>
      <c r="B99" s="219">
        <v>7.9597999999999995E-3</v>
      </c>
      <c r="C99" s="220">
        <v>3829.9</v>
      </c>
      <c r="D99" s="220">
        <v>4387.1000000000004</v>
      </c>
      <c r="E99" s="210">
        <v>6.7736999999999998</v>
      </c>
      <c r="F99" s="82"/>
      <c r="G99" s="82"/>
      <c r="H99" s="28"/>
    </row>
    <row r="100" spans="1:8" ht="18.75" customHeight="1" x14ac:dyDescent="0.25">
      <c r="A100" s="86">
        <v>1000</v>
      </c>
      <c r="B100" s="219">
        <v>8.1291000000000002E-3</v>
      </c>
      <c r="C100" s="220">
        <v>3876.9</v>
      </c>
      <c r="D100" s="220">
        <v>4445.8999999999996</v>
      </c>
      <c r="E100" s="210">
        <v>6.8202999999999996</v>
      </c>
      <c r="F100" s="82"/>
      <c r="G100" s="82"/>
      <c r="H100" s="28"/>
    </row>
  </sheetData>
  <mergeCells count="1">
    <mergeCell ref="A1:H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H100"/>
  <sheetViews>
    <sheetView topLeftCell="A44" workbookViewId="0">
      <selection activeCell="B53" sqref="B53:E100"/>
    </sheetView>
  </sheetViews>
  <sheetFormatPr defaultRowHeight="13.2" x14ac:dyDescent="0.25"/>
  <cols>
    <col min="1" max="1" width="7.21875" customWidth="1"/>
    <col min="2" max="2" width="13.88671875" customWidth="1"/>
    <col min="3" max="3" width="9.6640625" customWidth="1"/>
    <col min="4" max="4" width="8.33203125" customWidth="1"/>
    <col min="5" max="5" width="9.77734375" customWidth="1"/>
    <col min="6" max="6" width="9.5546875" customWidth="1"/>
    <col min="7" max="7" width="1.109375" hidden="1" customWidth="1"/>
    <col min="8" max="8" width="78.88671875" customWidth="1"/>
  </cols>
  <sheetData>
    <row r="1" spans="1:8" ht="18.75" customHeight="1" x14ac:dyDescent="0.25">
      <c r="A1" s="193" t="s">
        <v>109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80000</v>
      </c>
      <c r="C2" s="71"/>
      <c r="D2" s="71"/>
      <c r="E2" s="71"/>
      <c r="F2" s="71"/>
      <c r="G2" s="71"/>
      <c r="H2" s="71"/>
    </row>
    <row r="3" spans="1:8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9.6434000000000005E-4</v>
      </c>
      <c r="C5" s="80">
        <v>0.03</v>
      </c>
      <c r="D5" s="80">
        <v>77.180000000000007</v>
      </c>
      <c r="E5" s="81">
        <v>-4.8900000000000002E-3</v>
      </c>
      <c r="F5" s="81"/>
      <c r="G5" s="28"/>
      <c r="H5" s="28"/>
    </row>
    <row r="6" spans="1:8" ht="18.75" customHeight="1" x14ac:dyDescent="0.25">
      <c r="A6" s="87">
        <v>5</v>
      </c>
      <c r="B6" s="79">
        <v>9.6524999999999996E-4</v>
      </c>
      <c r="C6" s="80">
        <v>19.739999999999998</v>
      </c>
      <c r="D6" s="80">
        <v>96.96</v>
      </c>
      <c r="E6" s="81">
        <v>6.6860000000000003E-2</v>
      </c>
      <c r="F6" s="81"/>
      <c r="G6" s="28"/>
      <c r="H6" s="28"/>
    </row>
    <row r="7" spans="1:8" ht="18.75" customHeight="1" x14ac:dyDescent="0.25">
      <c r="A7" s="87">
        <v>10</v>
      </c>
      <c r="B7" s="79">
        <v>9.6633999999999999E-4</v>
      </c>
      <c r="C7" s="80">
        <v>39.51</v>
      </c>
      <c r="D7" s="80">
        <v>116.82</v>
      </c>
      <c r="E7" s="81">
        <v>0.13761000000000001</v>
      </c>
      <c r="F7" s="81"/>
      <c r="G7" s="28"/>
      <c r="H7" s="28"/>
    </row>
    <row r="8" spans="1:8" ht="18.75" customHeight="1" x14ac:dyDescent="0.25">
      <c r="A8" s="87">
        <v>15</v>
      </c>
      <c r="B8" s="79">
        <v>9.6759999999999999E-4</v>
      </c>
      <c r="C8" s="80">
        <v>59.32</v>
      </c>
      <c r="D8" s="80">
        <v>136.72999999999999</v>
      </c>
      <c r="E8" s="81">
        <v>0.20732999999999999</v>
      </c>
      <c r="F8" s="81"/>
      <c r="G8" s="28"/>
      <c r="H8" s="28"/>
    </row>
    <row r="9" spans="1:8" ht="18.75" customHeight="1" x14ac:dyDescent="0.25">
      <c r="A9" s="87">
        <v>20</v>
      </c>
      <c r="B9" s="79">
        <v>9.6902000000000002E-4</v>
      </c>
      <c r="C9" s="80">
        <v>79.180000000000007</v>
      </c>
      <c r="D9" s="80">
        <v>156.69999999999999</v>
      </c>
      <c r="E9" s="81">
        <v>0.27604000000000001</v>
      </c>
      <c r="F9" s="81"/>
      <c r="G9" s="28"/>
      <c r="H9" s="28"/>
    </row>
    <row r="10" spans="1:8" ht="18.75" customHeight="1" x14ac:dyDescent="0.25">
      <c r="A10" s="87">
        <v>25</v>
      </c>
      <c r="B10" s="79">
        <v>9.7057000000000003E-4</v>
      </c>
      <c r="C10" s="80">
        <v>99.07</v>
      </c>
      <c r="D10" s="80">
        <v>176.72</v>
      </c>
      <c r="E10" s="81">
        <v>0.34372999999999998</v>
      </c>
      <c r="F10" s="81"/>
      <c r="G10" s="28"/>
      <c r="H10" s="28"/>
    </row>
    <row r="11" spans="1:8" ht="18.75" customHeight="1" x14ac:dyDescent="0.25">
      <c r="A11" s="87">
        <v>30</v>
      </c>
      <c r="B11" s="79">
        <v>9.7225999999999996E-4</v>
      </c>
      <c r="C11" s="80">
        <v>118.99</v>
      </c>
      <c r="D11" s="80">
        <v>196.77</v>
      </c>
      <c r="E11" s="81">
        <v>0.41042000000000001</v>
      </c>
      <c r="F11" s="81"/>
      <c r="G11" s="28"/>
      <c r="H11" s="28"/>
    </row>
    <row r="12" spans="1:8" ht="18.75" customHeight="1" x14ac:dyDescent="0.25">
      <c r="A12" s="87">
        <v>35</v>
      </c>
      <c r="B12" s="79">
        <v>9.7408E-4</v>
      </c>
      <c r="C12" s="80">
        <v>138.91999999999999</v>
      </c>
      <c r="D12" s="80">
        <v>216.85</v>
      </c>
      <c r="E12" s="81">
        <v>0.47613</v>
      </c>
      <c r="F12" s="81"/>
      <c r="G12" s="28"/>
      <c r="H12" s="28"/>
    </row>
    <row r="13" spans="1:8" ht="18.75" customHeight="1" x14ac:dyDescent="0.25">
      <c r="A13" s="87">
        <v>40</v>
      </c>
      <c r="B13" s="79">
        <v>9.7601999999999997E-4</v>
      </c>
      <c r="C13" s="80">
        <v>158.88</v>
      </c>
      <c r="D13" s="80">
        <v>236.96</v>
      </c>
      <c r="E13" s="81">
        <v>0.54086999999999996</v>
      </c>
      <c r="F13" s="81"/>
      <c r="G13" s="28"/>
      <c r="H13" s="28"/>
    </row>
    <row r="14" spans="1:8" ht="18.75" customHeight="1" x14ac:dyDescent="0.25">
      <c r="A14" s="87">
        <v>45</v>
      </c>
      <c r="B14" s="79">
        <v>9.780800000000001E-4</v>
      </c>
      <c r="C14" s="80">
        <v>178.85</v>
      </c>
      <c r="D14" s="80">
        <v>257.10000000000002</v>
      </c>
      <c r="E14" s="81">
        <v>0.60467000000000004</v>
      </c>
      <c r="F14" s="81"/>
      <c r="G14" s="28"/>
      <c r="H14" s="28"/>
    </row>
    <row r="15" spans="1:8" ht="18.75" customHeight="1" x14ac:dyDescent="0.25">
      <c r="A15" s="87">
        <v>50</v>
      </c>
      <c r="B15" s="79">
        <v>9.8025999999999994E-4</v>
      </c>
      <c r="C15" s="80">
        <v>198.84</v>
      </c>
      <c r="D15" s="80">
        <v>277.26</v>
      </c>
      <c r="E15" s="81">
        <v>0.66754999999999998</v>
      </c>
      <c r="F15" s="81"/>
      <c r="G15" s="28"/>
      <c r="H15" s="28"/>
    </row>
    <row r="16" spans="1:8" ht="18.75" customHeight="1" x14ac:dyDescent="0.25">
      <c r="A16" s="87">
        <v>55</v>
      </c>
      <c r="B16" s="79">
        <v>9.8254000000000006E-4</v>
      </c>
      <c r="C16" s="80">
        <v>218.84</v>
      </c>
      <c r="D16" s="80">
        <v>297.44</v>
      </c>
      <c r="E16" s="81">
        <v>0.72951999999999995</v>
      </c>
      <c r="F16" s="81"/>
      <c r="G16" s="28"/>
      <c r="H16" s="28"/>
    </row>
    <row r="17" spans="1:8" ht="18.75" customHeight="1" x14ac:dyDescent="0.25">
      <c r="A17" s="87">
        <v>60</v>
      </c>
      <c r="B17" s="79">
        <v>9.849399999999999E-4</v>
      </c>
      <c r="C17" s="80">
        <v>238.84</v>
      </c>
      <c r="D17" s="80">
        <v>317.64</v>
      </c>
      <c r="E17" s="81">
        <v>0.79061000000000003</v>
      </c>
      <c r="F17" s="81"/>
      <c r="G17" s="28"/>
      <c r="H17" s="28"/>
    </row>
    <row r="18" spans="1:8" ht="18.75" customHeight="1" x14ac:dyDescent="0.25">
      <c r="A18" s="87">
        <v>65</v>
      </c>
      <c r="B18" s="79">
        <v>9.8744000000000002E-4</v>
      </c>
      <c r="C18" s="80">
        <v>258.86</v>
      </c>
      <c r="D18" s="80">
        <v>337.86</v>
      </c>
      <c r="E18" s="81">
        <v>0.85085</v>
      </c>
      <c r="F18" s="81"/>
      <c r="G18" s="28"/>
      <c r="H18" s="28"/>
    </row>
    <row r="19" spans="1:8" ht="18.75" customHeight="1" x14ac:dyDescent="0.25">
      <c r="A19" s="87">
        <v>70</v>
      </c>
      <c r="B19" s="79">
        <v>9.9004999999999991E-4</v>
      </c>
      <c r="C19" s="80">
        <v>278.89</v>
      </c>
      <c r="D19" s="80">
        <v>358.09</v>
      </c>
      <c r="E19" s="81">
        <v>0.91025</v>
      </c>
      <c r="F19" s="81"/>
      <c r="G19" s="28"/>
      <c r="H19" s="28"/>
    </row>
    <row r="20" spans="1:8" ht="18.75" customHeight="1" x14ac:dyDescent="0.25">
      <c r="A20" s="87">
        <v>75</v>
      </c>
      <c r="B20" s="79">
        <v>9.9276000000000008E-4</v>
      </c>
      <c r="C20" s="80">
        <v>298.92</v>
      </c>
      <c r="D20" s="80">
        <v>378.34</v>
      </c>
      <c r="E20" s="81">
        <v>0.96884000000000003</v>
      </c>
      <c r="F20" s="81"/>
      <c r="G20" s="28"/>
      <c r="H20" s="28"/>
    </row>
    <row r="21" spans="1:8" ht="18.75" customHeight="1" x14ac:dyDescent="0.25">
      <c r="A21" s="87">
        <v>80</v>
      </c>
      <c r="B21" s="79">
        <v>9.9557000000000009E-4</v>
      </c>
      <c r="C21" s="80">
        <v>318.95999999999998</v>
      </c>
      <c r="D21" s="80">
        <v>398.61</v>
      </c>
      <c r="E21" s="82">
        <v>1.0266</v>
      </c>
      <c r="F21" s="82"/>
      <c r="G21" s="28"/>
      <c r="H21" s="28"/>
    </row>
    <row r="22" spans="1:8" ht="18.75" customHeight="1" x14ac:dyDescent="0.25">
      <c r="A22" s="87">
        <v>85</v>
      </c>
      <c r="B22" s="79">
        <v>9.984900000000001E-4</v>
      </c>
      <c r="C22" s="80">
        <v>339.01</v>
      </c>
      <c r="D22" s="80">
        <v>418.89</v>
      </c>
      <c r="E22" s="82">
        <v>1.0837000000000001</v>
      </c>
      <c r="F22" s="82"/>
      <c r="G22" s="28"/>
      <c r="H22" s="28"/>
    </row>
    <row r="23" spans="1:8" ht="18.75" customHeight="1" x14ac:dyDescent="0.25">
      <c r="A23" s="87">
        <v>90</v>
      </c>
      <c r="B23" s="79">
        <v>1.0015099999999999E-3</v>
      </c>
      <c r="C23" s="80">
        <v>359.06</v>
      </c>
      <c r="D23" s="80">
        <v>439.18</v>
      </c>
      <c r="E23" s="82">
        <v>1.1398999999999999</v>
      </c>
      <c r="F23" s="82"/>
      <c r="G23" s="28"/>
      <c r="H23" s="28"/>
    </row>
    <row r="24" spans="1:8" ht="18.75" customHeight="1" x14ac:dyDescent="0.25">
      <c r="A24" s="87">
        <v>95</v>
      </c>
      <c r="B24" s="79">
        <v>1.0046300000000001E-3</v>
      </c>
      <c r="C24" s="80">
        <v>379.13</v>
      </c>
      <c r="D24" s="80">
        <v>459.5</v>
      </c>
      <c r="E24" s="82">
        <v>1.1955</v>
      </c>
      <c r="F24" s="82"/>
      <c r="G24" s="28"/>
      <c r="H24" s="28"/>
    </row>
    <row r="25" spans="1:8" ht="18.75" customHeight="1" x14ac:dyDescent="0.25">
      <c r="A25" s="87">
        <v>100</v>
      </c>
      <c r="B25" s="79">
        <v>1.0078400000000001E-3</v>
      </c>
      <c r="C25" s="80">
        <v>399.19</v>
      </c>
      <c r="D25" s="80">
        <v>479.82</v>
      </c>
      <c r="E25" s="82">
        <v>1.2503</v>
      </c>
      <c r="F25" s="82"/>
      <c r="G25" s="28"/>
      <c r="H25" s="28"/>
    </row>
    <row r="26" spans="1:8" ht="18.75" customHeight="1" x14ac:dyDescent="0.25">
      <c r="A26" s="87">
        <v>105</v>
      </c>
      <c r="B26" s="79">
        <v>1.0111600000000001E-3</v>
      </c>
      <c r="C26" s="80">
        <v>419.28</v>
      </c>
      <c r="D26" s="80">
        <v>500.17</v>
      </c>
      <c r="E26" s="82">
        <v>1.3045</v>
      </c>
      <c r="F26" s="82"/>
      <c r="G26" s="28"/>
      <c r="H26" s="28"/>
    </row>
    <row r="27" spans="1:8" ht="18.75" customHeight="1" x14ac:dyDescent="0.25">
      <c r="A27" s="87">
        <v>110</v>
      </c>
      <c r="B27" s="79">
        <v>1.01458E-3</v>
      </c>
      <c r="C27" s="80">
        <v>439.36</v>
      </c>
      <c r="D27" s="80">
        <v>520.53</v>
      </c>
      <c r="E27" s="82">
        <v>1.3580000000000001</v>
      </c>
      <c r="F27" s="82"/>
      <c r="G27" s="28"/>
      <c r="H27" s="28"/>
    </row>
    <row r="28" spans="1:8" ht="18.75" customHeight="1" x14ac:dyDescent="0.25">
      <c r="A28" s="87">
        <v>115</v>
      </c>
      <c r="B28" s="79">
        <v>1.0181000000000001E-3</v>
      </c>
      <c r="C28" s="80">
        <v>459.46</v>
      </c>
      <c r="D28" s="80">
        <v>540.91</v>
      </c>
      <c r="E28" s="82">
        <v>1.4108000000000001</v>
      </c>
      <c r="F28" s="82"/>
      <c r="G28" s="28"/>
      <c r="H28" s="28"/>
    </row>
    <row r="29" spans="1:8" ht="18.75" customHeight="1" x14ac:dyDescent="0.25">
      <c r="A29" s="87">
        <v>120</v>
      </c>
      <c r="B29" s="79">
        <v>1.02173E-3</v>
      </c>
      <c r="C29" s="80">
        <v>479.57</v>
      </c>
      <c r="D29" s="80">
        <v>561.30999999999995</v>
      </c>
      <c r="E29" s="82">
        <v>1.4630000000000001</v>
      </c>
      <c r="F29" s="82"/>
      <c r="G29" s="28"/>
      <c r="H29" s="28"/>
    </row>
    <row r="30" spans="1:8" ht="18.75" customHeight="1" x14ac:dyDescent="0.25">
      <c r="A30" s="87">
        <v>125</v>
      </c>
      <c r="B30" s="79">
        <v>1.02545E-3</v>
      </c>
      <c r="C30" s="80">
        <v>499.69</v>
      </c>
      <c r="D30" s="80">
        <v>581.73</v>
      </c>
      <c r="E30" s="82">
        <v>1.5146999999999999</v>
      </c>
      <c r="F30" s="82"/>
      <c r="G30" s="28"/>
      <c r="H30" s="28"/>
    </row>
    <row r="31" spans="1:8" ht="18.75" customHeight="1" x14ac:dyDescent="0.25">
      <c r="A31" s="87">
        <v>130</v>
      </c>
      <c r="B31" s="79">
        <v>1.02928E-3</v>
      </c>
      <c r="C31" s="80">
        <v>519.84</v>
      </c>
      <c r="D31" s="80">
        <v>602.17999999999995</v>
      </c>
      <c r="E31" s="82">
        <v>1.5657000000000001</v>
      </c>
      <c r="F31" s="82"/>
      <c r="G31" s="28"/>
      <c r="H31" s="28"/>
    </row>
    <row r="32" spans="1:8" ht="18.75" customHeight="1" x14ac:dyDescent="0.25">
      <c r="A32" s="87">
        <v>135</v>
      </c>
      <c r="B32" s="79">
        <v>1.0332099999999999E-3</v>
      </c>
      <c r="C32" s="80">
        <v>539.99</v>
      </c>
      <c r="D32" s="80">
        <v>622.65</v>
      </c>
      <c r="E32" s="82">
        <v>1.6162000000000001</v>
      </c>
      <c r="F32" s="82"/>
      <c r="G32" s="28"/>
      <c r="H32" s="28"/>
    </row>
    <row r="33" spans="1:8" ht="18.75" customHeight="1" x14ac:dyDescent="0.25">
      <c r="A33" s="87">
        <v>140</v>
      </c>
      <c r="B33" s="79">
        <v>1.03725E-3</v>
      </c>
      <c r="C33" s="80">
        <v>560.16</v>
      </c>
      <c r="D33" s="80">
        <v>643.14</v>
      </c>
      <c r="E33" s="82">
        <v>1.6660999999999999</v>
      </c>
      <c r="F33" s="82"/>
      <c r="G33" s="28"/>
      <c r="H33" s="28"/>
    </row>
    <row r="34" spans="1:8" ht="18.75" customHeight="1" x14ac:dyDescent="0.25">
      <c r="A34" s="87">
        <v>145</v>
      </c>
      <c r="B34" s="79">
        <v>1.0413899999999999E-3</v>
      </c>
      <c r="C34" s="80">
        <v>580.35</v>
      </c>
      <c r="D34" s="80">
        <v>663.66</v>
      </c>
      <c r="E34" s="82">
        <v>1.7154</v>
      </c>
      <c r="F34" s="82"/>
      <c r="G34" s="28"/>
      <c r="H34" s="28"/>
    </row>
    <row r="35" spans="1:8" ht="18.75" customHeight="1" x14ac:dyDescent="0.25">
      <c r="A35" s="87">
        <v>150</v>
      </c>
      <c r="B35" s="79">
        <v>1.04564E-3</v>
      </c>
      <c r="C35" s="80">
        <v>600.55999999999995</v>
      </c>
      <c r="D35" s="80">
        <v>684.21</v>
      </c>
      <c r="E35" s="82">
        <v>1.7643</v>
      </c>
      <c r="F35" s="82"/>
      <c r="G35" s="28"/>
      <c r="H35" s="28"/>
    </row>
    <row r="36" spans="1:8" ht="18.75" customHeight="1" x14ac:dyDescent="0.25">
      <c r="A36" s="87">
        <v>155</v>
      </c>
      <c r="B36" s="79">
        <v>1.0499999999999999E-3</v>
      </c>
      <c r="C36" s="80">
        <v>620.79999999999995</v>
      </c>
      <c r="D36" s="80">
        <v>704.8</v>
      </c>
      <c r="E36" s="82">
        <v>1.8126</v>
      </c>
      <c r="F36" s="82"/>
      <c r="G36" s="28"/>
      <c r="H36" s="28"/>
    </row>
    <row r="37" spans="1:8" ht="18.75" customHeight="1" x14ac:dyDescent="0.25">
      <c r="A37" s="87">
        <v>160</v>
      </c>
      <c r="B37" s="79">
        <v>1.0544700000000001E-3</v>
      </c>
      <c r="C37" s="80">
        <v>641.04999999999995</v>
      </c>
      <c r="D37" s="80">
        <v>725.41</v>
      </c>
      <c r="E37" s="82">
        <v>1.8605</v>
      </c>
      <c r="F37" s="82"/>
      <c r="G37" s="28"/>
      <c r="H37" s="28"/>
    </row>
    <row r="38" spans="1:8" ht="18.75" customHeight="1" x14ac:dyDescent="0.25">
      <c r="A38" s="87">
        <v>165</v>
      </c>
      <c r="B38" s="79">
        <v>1.0590599999999999E-3</v>
      </c>
      <c r="C38" s="80">
        <v>661.34</v>
      </c>
      <c r="D38" s="80">
        <v>746.06</v>
      </c>
      <c r="E38" s="82">
        <v>1.9078999999999999</v>
      </c>
      <c r="F38" s="82"/>
      <c r="G38" s="28"/>
      <c r="H38" s="28"/>
    </row>
    <row r="39" spans="1:8" ht="18.75" customHeight="1" x14ac:dyDescent="0.25">
      <c r="A39" s="87">
        <v>170</v>
      </c>
      <c r="B39" s="79">
        <v>1.06376E-3</v>
      </c>
      <c r="C39" s="80">
        <v>681.64</v>
      </c>
      <c r="D39" s="80">
        <v>766.74</v>
      </c>
      <c r="E39" s="82">
        <v>1.9549000000000001</v>
      </c>
      <c r="F39" s="82"/>
      <c r="G39" s="28"/>
      <c r="H39" s="28"/>
    </row>
    <row r="40" spans="1:8" ht="18.75" customHeight="1" x14ac:dyDescent="0.25">
      <c r="A40" s="87">
        <v>175</v>
      </c>
      <c r="B40" s="79">
        <v>1.06858E-3</v>
      </c>
      <c r="C40" s="80">
        <v>701.98</v>
      </c>
      <c r="D40" s="80">
        <v>787.47</v>
      </c>
      <c r="E40" s="82">
        <v>2.0013999999999998</v>
      </c>
      <c r="F40" s="82"/>
      <c r="G40" s="28"/>
      <c r="H40" s="28"/>
    </row>
    <row r="41" spans="1:8" ht="18.75" customHeight="1" x14ac:dyDescent="0.25">
      <c r="A41" s="87">
        <v>180</v>
      </c>
      <c r="B41" s="79">
        <v>1.0735199999999999E-3</v>
      </c>
      <c r="C41" s="80">
        <v>722.35</v>
      </c>
      <c r="D41" s="80">
        <v>808.23</v>
      </c>
      <c r="E41" s="82">
        <v>2.0474000000000001</v>
      </c>
      <c r="F41" s="82"/>
      <c r="G41" s="28"/>
      <c r="H41" s="28"/>
    </row>
    <row r="42" spans="1:8" ht="18.75" customHeight="1" x14ac:dyDescent="0.25">
      <c r="A42" s="87">
        <v>185</v>
      </c>
      <c r="B42" s="79">
        <v>1.07858E-3</v>
      </c>
      <c r="C42" s="80">
        <v>742.75</v>
      </c>
      <c r="D42" s="80">
        <v>829.04</v>
      </c>
      <c r="E42" s="82">
        <v>2.0931000000000002</v>
      </c>
      <c r="F42" s="82"/>
      <c r="G42" s="28"/>
      <c r="H42" s="28"/>
    </row>
    <row r="43" spans="1:8" ht="18.75" customHeight="1" x14ac:dyDescent="0.25">
      <c r="A43" s="87">
        <v>190</v>
      </c>
      <c r="B43" s="79">
        <v>1.08377E-3</v>
      </c>
      <c r="C43" s="80">
        <v>763.19</v>
      </c>
      <c r="D43" s="80">
        <v>849.89</v>
      </c>
      <c r="E43" s="82">
        <v>2.1383999999999999</v>
      </c>
      <c r="F43" s="82"/>
      <c r="G43" s="28"/>
      <c r="H43" s="28"/>
    </row>
    <row r="44" spans="1:8" ht="18.75" customHeight="1" x14ac:dyDescent="0.25">
      <c r="A44" s="87">
        <v>195</v>
      </c>
      <c r="B44" s="79">
        <v>1.08909E-3</v>
      </c>
      <c r="C44" s="80">
        <v>783.65</v>
      </c>
      <c r="D44" s="80">
        <v>870.78</v>
      </c>
      <c r="E44" s="82">
        <v>2.1831999999999998</v>
      </c>
      <c r="F44" s="82"/>
      <c r="G44" s="28"/>
      <c r="H44" s="28"/>
    </row>
    <row r="45" spans="1:8" ht="18.75" customHeight="1" x14ac:dyDescent="0.25">
      <c r="A45" s="87">
        <v>200</v>
      </c>
      <c r="B45" s="79">
        <v>1.09454E-3</v>
      </c>
      <c r="C45" s="80">
        <v>804.17</v>
      </c>
      <c r="D45" s="80">
        <v>891.73</v>
      </c>
      <c r="E45" s="82">
        <v>2.2277</v>
      </c>
      <c r="F45" s="82"/>
      <c r="G45" s="28"/>
      <c r="H45" s="28"/>
    </row>
    <row r="46" spans="1:8" ht="18.75" customHeight="1" x14ac:dyDescent="0.25">
      <c r="A46" s="87">
        <v>210</v>
      </c>
      <c r="B46" s="79">
        <v>1.1058699999999999E-3</v>
      </c>
      <c r="C46" s="80">
        <v>845.31</v>
      </c>
      <c r="D46" s="80">
        <v>933.78</v>
      </c>
      <c r="E46" s="82">
        <v>2.3157000000000001</v>
      </c>
      <c r="F46" s="82"/>
      <c r="G46" s="28"/>
      <c r="H46" s="28"/>
    </row>
    <row r="47" spans="1:8" ht="18.75" customHeight="1" x14ac:dyDescent="0.25">
      <c r="A47" s="87">
        <v>220</v>
      </c>
      <c r="B47" s="79">
        <v>1.1177699999999999E-3</v>
      </c>
      <c r="C47" s="80">
        <v>886.63</v>
      </c>
      <c r="D47" s="80">
        <v>976.05</v>
      </c>
      <c r="E47" s="82">
        <v>2.4022999999999999</v>
      </c>
      <c r="F47" s="82"/>
      <c r="G47" s="28"/>
      <c r="H47" s="28"/>
    </row>
    <row r="48" spans="1:8" ht="18.75" customHeight="1" x14ac:dyDescent="0.25">
      <c r="A48" s="87">
        <v>230</v>
      </c>
      <c r="B48" s="79">
        <v>1.1303000000000001E-3</v>
      </c>
      <c r="C48" s="80">
        <v>928.18</v>
      </c>
      <c r="D48" s="83">
        <v>1018.6</v>
      </c>
      <c r="E48" s="82">
        <v>2.4876</v>
      </c>
      <c r="F48" s="82"/>
      <c r="G48" s="28"/>
      <c r="H48" s="28"/>
    </row>
    <row r="49" spans="1:8" ht="18.75" customHeight="1" x14ac:dyDescent="0.25">
      <c r="A49" s="87">
        <v>240</v>
      </c>
      <c r="B49" s="79">
        <v>1.14349E-3</v>
      </c>
      <c r="C49" s="80">
        <v>969.92</v>
      </c>
      <c r="D49" s="83">
        <v>1061.4000000000001</v>
      </c>
      <c r="E49" s="82">
        <v>2.5718000000000001</v>
      </c>
      <c r="F49" s="82"/>
      <c r="G49" s="28"/>
      <c r="H49" s="28"/>
    </row>
    <row r="50" spans="1:8" ht="18.75" customHeight="1" x14ac:dyDescent="0.25">
      <c r="A50" s="87">
        <v>250</v>
      </c>
      <c r="B50" s="79">
        <v>1.1573899999999999E-3</v>
      </c>
      <c r="C50" s="83">
        <v>1011.8</v>
      </c>
      <c r="D50" s="83">
        <v>1104.4000000000001</v>
      </c>
      <c r="E50" s="82">
        <v>2.6549999999999998</v>
      </c>
      <c r="F50" s="82"/>
      <c r="G50" s="28"/>
      <c r="H50" s="28"/>
    </row>
    <row r="51" spans="1:8" ht="18.75" customHeight="1" x14ac:dyDescent="0.25">
      <c r="A51" s="87">
        <v>260</v>
      </c>
      <c r="B51" s="79">
        <v>1.1720700000000001E-3</v>
      </c>
      <c r="C51" s="83">
        <v>1054</v>
      </c>
      <c r="D51" s="83">
        <v>1147.8</v>
      </c>
      <c r="E51" s="82">
        <v>2.7370999999999999</v>
      </c>
      <c r="F51" s="82"/>
      <c r="G51" s="28"/>
      <c r="H51" s="28"/>
    </row>
    <row r="52" spans="1:8" ht="18.75" customHeight="1" x14ac:dyDescent="0.25">
      <c r="A52" s="87">
        <v>270</v>
      </c>
      <c r="B52" s="79">
        <v>1.18757E-3</v>
      </c>
      <c r="C52" s="83">
        <v>1096.5</v>
      </c>
      <c r="D52" s="83">
        <v>1191.5</v>
      </c>
      <c r="E52" s="82">
        <v>2.8184</v>
      </c>
      <c r="F52" s="82"/>
      <c r="G52" s="28"/>
      <c r="H52" s="28"/>
    </row>
    <row r="53" spans="1:8" ht="18.75" customHeight="1" x14ac:dyDescent="0.25">
      <c r="A53" s="86">
        <v>280</v>
      </c>
      <c r="B53" s="219">
        <v>1.20397E-3</v>
      </c>
      <c r="C53" s="220">
        <v>1139.3</v>
      </c>
      <c r="D53" s="220">
        <v>1235.5999999999999</v>
      </c>
      <c r="E53" s="210">
        <v>2.8988</v>
      </c>
      <c r="F53" s="82"/>
      <c r="G53" s="82"/>
      <c r="H53" s="28"/>
    </row>
    <row r="54" spans="1:8" ht="18.75" customHeight="1" x14ac:dyDescent="0.25">
      <c r="A54" s="86">
        <v>290</v>
      </c>
      <c r="B54" s="219">
        <v>1.2213599999999999E-3</v>
      </c>
      <c r="C54" s="220">
        <v>1182.4000000000001</v>
      </c>
      <c r="D54" s="220">
        <v>1280.0999999999999</v>
      </c>
      <c r="E54" s="210">
        <v>2.9784999999999999</v>
      </c>
      <c r="F54" s="82"/>
      <c r="G54" s="82"/>
      <c r="H54" s="28"/>
    </row>
    <row r="55" spans="1:8" ht="18.75" customHeight="1" x14ac:dyDescent="0.25">
      <c r="A55" s="86">
        <v>300</v>
      </c>
      <c r="B55" s="219">
        <v>1.2398000000000001E-3</v>
      </c>
      <c r="C55" s="220">
        <v>1225.9000000000001</v>
      </c>
      <c r="D55" s="220">
        <v>1325.1</v>
      </c>
      <c r="E55" s="210">
        <v>3.0575999999999999</v>
      </c>
      <c r="F55" s="82"/>
      <c r="G55" s="82"/>
      <c r="H55" s="28"/>
    </row>
    <row r="56" spans="1:8" ht="18.75" customHeight="1" x14ac:dyDescent="0.25">
      <c r="A56" s="86">
        <v>310</v>
      </c>
      <c r="B56" s="219">
        <v>1.2595E-3</v>
      </c>
      <c r="C56" s="220">
        <v>1269.7</v>
      </c>
      <c r="D56" s="220">
        <v>1370.5</v>
      </c>
      <c r="E56" s="210">
        <v>3.1362000000000001</v>
      </c>
      <c r="F56" s="82"/>
      <c r="G56" s="82"/>
      <c r="H56" s="28"/>
    </row>
    <row r="57" spans="1:8" ht="18.75" customHeight="1" x14ac:dyDescent="0.25">
      <c r="A57" s="86">
        <v>320</v>
      </c>
      <c r="B57" s="219">
        <v>1.2803999999999999E-3</v>
      </c>
      <c r="C57" s="220">
        <v>1314</v>
      </c>
      <c r="D57" s="220">
        <v>1416.4</v>
      </c>
      <c r="E57" s="210">
        <v>3.2141999999999999</v>
      </c>
      <c r="F57" s="82"/>
      <c r="G57" s="82"/>
      <c r="H57" s="28"/>
    </row>
    <row r="58" spans="1:8" ht="18.75" customHeight="1" x14ac:dyDescent="0.25">
      <c r="A58" s="86">
        <v>330</v>
      </c>
      <c r="B58" s="219">
        <v>1.3028E-3</v>
      </c>
      <c r="C58" s="220">
        <v>1358.7</v>
      </c>
      <c r="D58" s="220">
        <v>1462.9</v>
      </c>
      <c r="E58" s="210">
        <v>3.2919</v>
      </c>
      <c r="F58" s="82"/>
      <c r="G58" s="82"/>
      <c r="H58" s="28"/>
    </row>
    <row r="59" spans="1:8" ht="18.75" customHeight="1" x14ac:dyDescent="0.25">
      <c r="A59" s="86">
        <v>340</v>
      </c>
      <c r="B59" s="219">
        <v>1.3267000000000001E-3</v>
      </c>
      <c r="C59" s="220">
        <v>1403.9</v>
      </c>
      <c r="D59" s="220">
        <v>1510</v>
      </c>
      <c r="E59" s="210">
        <v>3.3694000000000002</v>
      </c>
      <c r="F59" s="82"/>
      <c r="G59" s="82"/>
      <c r="H59" s="28"/>
    </row>
    <row r="60" spans="1:8" ht="18.75" customHeight="1" x14ac:dyDescent="0.25">
      <c r="A60" s="86">
        <v>350</v>
      </c>
      <c r="B60" s="219">
        <v>1.3525E-3</v>
      </c>
      <c r="C60" s="220">
        <v>1449.5</v>
      </c>
      <c r="D60" s="220">
        <v>1557.7</v>
      </c>
      <c r="E60" s="210">
        <v>3.4466000000000001</v>
      </c>
      <c r="F60" s="82"/>
      <c r="G60" s="82"/>
      <c r="H60" s="28"/>
    </row>
    <row r="61" spans="1:8" ht="18.75" customHeight="1" x14ac:dyDescent="0.25">
      <c r="A61" s="86">
        <v>360</v>
      </c>
      <c r="B61" s="219">
        <v>1.3802E-3</v>
      </c>
      <c r="C61" s="220">
        <v>1495.8</v>
      </c>
      <c r="D61" s="220">
        <v>1606.2</v>
      </c>
      <c r="E61" s="210">
        <v>3.5238</v>
      </c>
      <c r="F61" s="82"/>
      <c r="G61" s="82"/>
      <c r="H61" s="28"/>
    </row>
    <row r="62" spans="1:8" ht="18.75" customHeight="1" x14ac:dyDescent="0.25">
      <c r="A62" s="86">
        <v>370</v>
      </c>
      <c r="B62" s="219">
        <v>1.4101000000000001E-3</v>
      </c>
      <c r="C62" s="220">
        <v>1542.7</v>
      </c>
      <c r="D62" s="220">
        <v>1655.5</v>
      </c>
      <c r="E62" s="210">
        <v>3.601</v>
      </c>
      <c r="F62" s="82"/>
      <c r="G62" s="82"/>
      <c r="H62" s="28"/>
    </row>
    <row r="63" spans="1:8" ht="18.75" customHeight="1" x14ac:dyDescent="0.25">
      <c r="A63" s="86">
        <v>380</v>
      </c>
      <c r="B63" s="219">
        <v>1.4426E-3</v>
      </c>
      <c r="C63" s="220">
        <v>1590.2</v>
      </c>
      <c r="D63" s="220">
        <v>1705.6</v>
      </c>
      <c r="E63" s="210">
        <v>3.6783999999999999</v>
      </c>
      <c r="F63" s="82"/>
      <c r="G63" s="82"/>
      <c r="H63" s="28"/>
    </row>
    <row r="64" spans="1:8" ht="18.75" customHeight="1" x14ac:dyDescent="0.25">
      <c r="A64" s="86">
        <v>390</v>
      </c>
      <c r="B64" s="219">
        <v>1.4778E-3</v>
      </c>
      <c r="C64" s="220">
        <v>1638.5</v>
      </c>
      <c r="D64" s="220">
        <v>1756.7</v>
      </c>
      <c r="E64" s="210">
        <v>3.7559999999999998</v>
      </c>
      <c r="F64" s="82"/>
      <c r="G64" s="82"/>
      <c r="H64" s="28"/>
    </row>
    <row r="65" spans="1:8" ht="18.75" customHeight="1" x14ac:dyDescent="0.25">
      <c r="A65" s="86">
        <v>400</v>
      </c>
      <c r="B65" s="219">
        <v>1.5162999999999999E-3</v>
      </c>
      <c r="C65" s="220">
        <v>1687.5</v>
      </c>
      <c r="D65" s="220">
        <v>1808.8</v>
      </c>
      <c r="E65" s="210">
        <v>3.8340000000000001</v>
      </c>
      <c r="F65" s="82"/>
      <c r="G65" s="82"/>
      <c r="H65" s="28"/>
    </row>
    <row r="66" spans="1:8" ht="18.75" customHeight="1" x14ac:dyDescent="0.25">
      <c r="A66" s="86">
        <v>410</v>
      </c>
      <c r="B66" s="219">
        <v>1.5583999999999999E-3</v>
      </c>
      <c r="C66" s="220">
        <v>1737.3</v>
      </c>
      <c r="D66" s="220">
        <v>1862</v>
      </c>
      <c r="E66" s="210">
        <v>3.9125000000000001</v>
      </c>
      <c r="F66" s="82"/>
      <c r="G66" s="82"/>
      <c r="H66" s="28"/>
    </row>
    <row r="67" spans="1:8" ht="18.75" customHeight="1" x14ac:dyDescent="0.25">
      <c r="A67" s="86">
        <v>420</v>
      </c>
      <c r="B67" s="219">
        <v>1.6046999999999999E-3</v>
      </c>
      <c r="C67" s="220">
        <v>1788.1</v>
      </c>
      <c r="D67" s="220">
        <v>1916.5</v>
      </c>
      <c r="E67" s="210">
        <v>3.9916</v>
      </c>
      <c r="F67" s="82"/>
      <c r="G67" s="82"/>
      <c r="H67" s="28"/>
    </row>
    <row r="68" spans="1:8" ht="18.75" customHeight="1" x14ac:dyDescent="0.25">
      <c r="A68" s="86">
        <v>430</v>
      </c>
      <c r="B68" s="219">
        <v>1.6555999999999999E-3</v>
      </c>
      <c r="C68" s="220">
        <v>1839.8</v>
      </c>
      <c r="D68" s="220">
        <v>1972.2</v>
      </c>
      <c r="E68" s="210">
        <v>4.0713999999999997</v>
      </c>
      <c r="F68" s="82"/>
      <c r="G68" s="82"/>
      <c r="H68" s="28"/>
    </row>
    <row r="69" spans="1:8" ht="18.75" customHeight="1" x14ac:dyDescent="0.25">
      <c r="A69" s="86">
        <v>440</v>
      </c>
      <c r="B69" s="219">
        <v>1.7118000000000001E-3</v>
      </c>
      <c r="C69" s="220">
        <v>1892.4</v>
      </c>
      <c r="D69" s="220">
        <v>2029.3</v>
      </c>
      <c r="E69" s="210">
        <v>4.1520000000000001</v>
      </c>
      <c r="F69" s="82"/>
      <c r="G69" s="82"/>
      <c r="H69" s="28"/>
    </row>
    <row r="70" spans="1:8" ht="18.75" customHeight="1" x14ac:dyDescent="0.25">
      <c r="A70" s="86">
        <v>450</v>
      </c>
      <c r="B70" s="219">
        <v>1.7738999999999999E-3</v>
      </c>
      <c r="C70" s="220">
        <v>1945.9</v>
      </c>
      <c r="D70" s="220">
        <v>2087.8000000000002</v>
      </c>
      <c r="E70" s="210">
        <v>4.2335000000000003</v>
      </c>
      <c r="F70" s="82"/>
      <c r="G70" s="82"/>
      <c r="H70" s="28"/>
    </row>
    <row r="71" spans="1:8" ht="18.75" customHeight="1" x14ac:dyDescent="0.25">
      <c r="A71" s="86">
        <v>460</v>
      </c>
      <c r="B71" s="219">
        <v>1.8423999999999999E-3</v>
      </c>
      <c r="C71" s="220">
        <v>2000.2</v>
      </c>
      <c r="D71" s="220">
        <v>2147.6</v>
      </c>
      <c r="E71" s="210">
        <v>4.3155999999999999</v>
      </c>
      <c r="F71" s="82"/>
      <c r="G71" s="82"/>
      <c r="H71" s="28"/>
    </row>
    <row r="72" spans="1:8" ht="18.75" customHeight="1" x14ac:dyDescent="0.25">
      <c r="A72" s="86">
        <v>470</v>
      </c>
      <c r="B72" s="219">
        <v>1.9178999999999999E-3</v>
      </c>
      <c r="C72" s="220">
        <v>2055.3000000000002</v>
      </c>
      <c r="D72" s="220">
        <v>2208.6999999999998</v>
      </c>
      <c r="E72" s="210">
        <v>4.3983999999999996</v>
      </c>
      <c r="F72" s="82"/>
      <c r="G72" s="82"/>
      <c r="H72" s="28"/>
    </row>
    <row r="73" spans="1:8" ht="18.75" customHeight="1" x14ac:dyDescent="0.25">
      <c r="A73" s="86">
        <v>480</v>
      </c>
      <c r="B73" s="219">
        <v>2.0005999999999999E-3</v>
      </c>
      <c r="C73" s="220">
        <v>2110.9</v>
      </c>
      <c r="D73" s="220">
        <v>2270.9</v>
      </c>
      <c r="E73" s="210">
        <v>4.4814999999999996</v>
      </c>
      <c r="F73" s="82"/>
      <c r="G73" s="82"/>
      <c r="H73" s="28"/>
    </row>
    <row r="74" spans="1:8" ht="18.75" customHeight="1" x14ac:dyDescent="0.25">
      <c r="A74" s="86">
        <v>490</v>
      </c>
      <c r="B74" s="219">
        <v>2.0907E-3</v>
      </c>
      <c r="C74" s="220">
        <v>2166.6</v>
      </c>
      <c r="D74" s="220">
        <v>2333.9</v>
      </c>
      <c r="E74" s="210">
        <v>4.5647000000000002</v>
      </c>
      <c r="F74" s="82"/>
      <c r="G74" s="82"/>
      <c r="H74" s="28"/>
    </row>
    <row r="75" spans="1:8" ht="18.75" customHeight="1" x14ac:dyDescent="0.25">
      <c r="A75" s="86">
        <v>500</v>
      </c>
      <c r="B75" s="219">
        <v>2.1879999999999998E-3</v>
      </c>
      <c r="C75" s="220">
        <v>2222.4</v>
      </c>
      <c r="D75" s="220">
        <v>2397.4</v>
      </c>
      <c r="E75" s="210">
        <v>4.6473000000000004</v>
      </c>
      <c r="F75" s="82"/>
      <c r="G75" s="82"/>
      <c r="H75" s="28"/>
    </row>
    <row r="76" spans="1:8" ht="18.75" customHeight="1" x14ac:dyDescent="0.25">
      <c r="A76" s="86">
        <v>520</v>
      </c>
      <c r="B76" s="219">
        <v>2.4023999999999998E-3</v>
      </c>
      <c r="C76" s="220">
        <v>2332.4</v>
      </c>
      <c r="D76" s="220">
        <v>2524.6</v>
      </c>
      <c r="E76" s="210">
        <v>4.8097000000000003</v>
      </c>
      <c r="F76" s="82"/>
      <c r="G76" s="82"/>
      <c r="H76" s="28"/>
    </row>
    <row r="77" spans="1:8" ht="18.75" customHeight="1" x14ac:dyDescent="0.25">
      <c r="A77" s="86">
        <v>540</v>
      </c>
      <c r="B77" s="219">
        <v>2.6375999999999999E-3</v>
      </c>
      <c r="C77" s="220">
        <v>2438.3000000000002</v>
      </c>
      <c r="D77" s="220">
        <v>2649.3</v>
      </c>
      <c r="E77" s="210">
        <v>4.9649999999999999</v>
      </c>
      <c r="F77" s="82"/>
      <c r="G77" s="82"/>
      <c r="H77" s="28"/>
    </row>
    <row r="78" spans="1:8" ht="18.75" customHeight="1" x14ac:dyDescent="0.25">
      <c r="A78" s="86">
        <v>560</v>
      </c>
      <c r="B78" s="219">
        <v>2.8846000000000002E-3</v>
      </c>
      <c r="C78" s="220">
        <v>2538.1</v>
      </c>
      <c r="D78" s="220">
        <v>2768.9</v>
      </c>
      <c r="E78" s="210">
        <v>5.1104000000000003</v>
      </c>
      <c r="F78" s="82"/>
      <c r="G78" s="82"/>
      <c r="H78" s="28"/>
    </row>
    <row r="79" spans="1:8" ht="18.75" customHeight="1" x14ac:dyDescent="0.25">
      <c r="A79" s="86">
        <v>580</v>
      </c>
      <c r="B79" s="219">
        <v>3.1354E-3</v>
      </c>
      <c r="C79" s="220">
        <v>2631.2</v>
      </c>
      <c r="D79" s="220">
        <v>2882</v>
      </c>
      <c r="E79" s="210">
        <v>5.2445000000000004</v>
      </c>
      <c r="F79" s="82"/>
      <c r="G79" s="82"/>
      <c r="H79" s="28"/>
    </row>
    <row r="80" spans="1:8" ht="18.75" customHeight="1" x14ac:dyDescent="0.25">
      <c r="A80" s="86">
        <v>600</v>
      </c>
      <c r="B80" s="219">
        <v>3.3838000000000002E-3</v>
      </c>
      <c r="C80" s="220">
        <v>2717.4</v>
      </c>
      <c r="D80" s="220">
        <v>2988.1</v>
      </c>
      <c r="E80" s="210">
        <v>5.3673999999999999</v>
      </c>
      <c r="F80" s="82"/>
      <c r="G80" s="82"/>
      <c r="H80" s="28"/>
    </row>
    <row r="81" spans="1:8" ht="18.75" customHeight="1" x14ac:dyDescent="0.25">
      <c r="A81" s="86">
        <v>620</v>
      </c>
      <c r="B81" s="219">
        <v>3.6262E-3</v>
      </c>
      <c r="C81" s="220">
        <v>2797.4</v>
      </c>
      <c r="D81" s="220">
        <v>3087.5</v>
      </c>
      <c r="E81" s="210">
        <v>5.48</v>
      </c>
      <c r="F81" s="82"/>
      <c r="G81" s="82"/>
      <c r="H81" s="28"/>
    </row>
    <row r="82" spans="1:8" ht="18.75" customHeight="1" x14ac:dyDescent="0.25">
      <c r="A82" s="86">
        <v>640</v>
      </c>
      <c r="B82" s="219">
        <v>3.8609E-3</v>
      </c>
      <c r="C82" s="220">
        <v>2871.9</v>
      </c>
      <c r="D82" s="220">
        <v>3180.8</v>
      </c>
      <c r="E82" s="210">
        <v>5.5834000000000001</v>
      </c>
      <c r="F82" s="82"/>
      <c r="G82" s="82"/>
      <c r="H82" s="28"/>
    </row>
    <row r="83" spans="1:8" ht="18.75" customHeight="1" x14ac:dyDescent="0.25">
      <c r="A83" s="86">
        <v>660</v>
      </c>
      <c r="B83" s="219">
        <v>4.0873999999999997E-3</v>
      </c>
      <c r="C83" s="220">
        <v>2942</v>
      </c>
      <c r="D83" s="220">
        <v>3269</v>
      </c>
      <c r="E83" s="210">
        <v>5.6788999999999996</v>
      </c>
      <c r="F83" s="82"/>
      <c r="G83" s="82"/>
      <c r="H83" s="28"/>
    </row>
    <row r="84" spans="1:8" ht="18.75" customHeight="1" x14ac:dyDescent="0.25">
      <c r="A84" s="86">
        <v>680</v>
      </c>
      <c r="B84" s="219">
        <v>4.3058000000000003E-3</v>
      </c>
      <c r="C84" s="220">
        <v>3008.3</v>
      </c>
      <c r="D84" s="220">
        <v>3352.8</v>
      </c>
      <c r="E84" s="210">
        <v>5.7676999999999996</v>
      </c>
      <c r="F84" s="82"/>
      <c r="G84" s="82"/>
      <c r="H84" s="28"/>
    </row>
    <row r="85" spans="1:8" ht="18.75" customHeight="1" x14ac:dyDescent="0.25">
      <c r="A85" s="86">
        <v>700</v>
      </c>
      <c r="B85" s="219">
        <v>4.5164999999999997E-3</v>
      </c>
      <c r="C85" s="220">
        <v>3071.4</v>
      </c>
      <c r="D85" s="220">
        <v>3432.7</v>
      </c>
      <c r="E85" s="210">
        <v>5.8506999999999998</v>
      </c>
      <c r="F85" s="82"/>
      <c r="G85" s="82"/>
      <c r="H85" s="28"/>
    </row>
    <row r="86" spans="1:8" ht="18.75" customHeight="1" x14ac:dyDescent="0.25">
      <c r="A86" s="86">
        <v>720</v>
      </c>
      <c r="B86" s="219">
        <v>4.7201999999999999E-3</v>
      </c>
      <c r="C86" s="220">
        <v>3131.9</v>
      </c>
      <c r="D86" s="220">
        <v>3509.5</v>
      </c>
      <c r="E86" s="210">
        <v>5.9287999999999998</v>
      </c>
      <c r="F86" s="82"/>
      <c r="G86" s="82"/>
      <c r="H86" s="28"/>
    </row>
    <row r="87" spans="1:8" ht="18.75" customHeight="1" x14ac:dyDescent="0.25">
      <c r="A87" s="86">
        <v>740</v>
      </c>
      <c r="B87" s="219">
        <v>4.9175E-3</v>
      </c>
      <c r="C87" s="220">
        <v>3190.2</v>
      </c>
      <c r="D87" s="220">
        <v>3583.6</v>
      </c>
      <c r="E87" s="210">
        <v>6.0026999999999999</v>
      </c>
      <c r="F87" s="82"/>
      <c r="G87" s="82"/>
      <c r="H87" s="28"/>
    </row>
    <row r="88" spans="1:8" ht="18.75" customHeight="1" x14ac:dyDescent="0.25">
      <c r="A88" s="86">
        <v>760</v>
      </c>
      <c r="B88" s="219">
        <v>5.1089000000000004E-3</v>
      </c>
      <c r="C88" s="220">
        <v>3246.6</v>
      </c>
      <c r="D88" s="220">
        <v>3655.3</v>
      </c>
      <c r="E88" s="210">
        <v>6.0728</v>
      </c>
      <c r="F88" s="82"/>
      <c r="G88" s="82"/>
      <c r="H88" s="28"/>
    </row>
    <row r="89" spans="1:8" ht="18.75" customHeight="1" x14ac:dyDescent="0.25">
      <c r="A89" s="86">
        <v>780</v>
      </c>
      <c r="B89" s="219">
        <v>5.2950999999999996E-3</v>
      </c>
      <c r="C89" s="220">
        <v>3301.5</v>
      </c>
      <c r="D89" s="220">
        <v>3725.1</v>
      </c>
      <c r="E89" s="210">
        <v>6.1397000000000004</v>
      </c>
      <c r="F89" s="82"/>
      <c r="G89" s="82"/>
      <c r="H89" s="28"/>
    </row>
    <row r="90" spans="1:8" ht="18.75" customHeight="1" x14ac:dyDescent="0.25">
      <c r="A90" s="86">
        <v>800</v>
      </c>
      <c r="B90" s="219">
        <v>5.4764999999999996E-3</v>
      </c>
      <c r="C90" s="220">
        <v>3355.2</v>
      </c>
      <c r="D90" s="220">
        <v>3793.3</v>
      </c>
      <c r="E90" s="210">
        <v>6.2038000000000002</v>
      </c>
      <c r="F90" s="82"/>
      <c r="G90" s="82"/>
      <c r="H90" s="28"/>
    </row>
    <row r="91" spans="1:8" ht="18.75" customHeight="1" x14ac:dyDescent="0.25">
      <c r="A91" s="86">
        <v>820</v>
      </c>
      <c r="B91" s="219">
        <v>5.6535999999999999E-3</v>
      </c>
      <c r="C91" s="220">
        <v>3407.7</v>
      </c>
      <c r="D91" s="220">
        <v>3860</v>
      </c>
      <c r="E91" s="210">
        <v>6.2653999999999996</v>
      </c>
      <c r="F91" s="82"/>
      <c r="G91" s="82"/>
      <c r="H91" s="28"/>
    </row>
    <row r="92" spans="1:8" ht="18.75" customHeight="1" x14ac:dyDescent="0.25">
      <c r="A92" s="86">
        <v>840</v>
      </c>
      <c r="B92" s="219">
        <v>5.8266999999999998E-3</v>
      </c>
      <c r="C92" s="220">
        <v>3459.3</v>
      </c>
      <c r="D92" s="220">
        <v>3925.4</v>
      </c>
      <c r="E92" s="210">
        <v>6.3247999999999998</v>
      </c>
      <c r="F92" s="82"/>
      <c r="G92" s="82"/>
      <c r="H92" s="28"/>
    </row>
    <row r="93" spans="1:8" ht="18.75" customHeight="1" x14ac:dyDescent="0.25">
      <c r="A93" s="86">
        <v>860</v>
      </c>
      <c r="B93" s="219">
        <v>5.9963000000000004E-3</v>
      </c>
      <c r="C93" s="220">
        <v>3510.1</v>
      </c>
      <c r="D93" s="220">
        <v>3989.8</v>
      </c>
      <c r="E93" s="210">
        <v>6.3821000000000003</v>
      </c>
      <c r="F93" s="82"/>
      <c r="G93" s="82"/>
      <c r="H93" s="28"/>
    </row>
    <row r="94" spans="1:8" ht="18.75" customHeight="1" x14ac:dyDescent="0.25">
      <c r="A94" s="86">
        <v>880</v>
      </c>
      <c r="B94" s="219">
        <v>6.1624999999999996E-3</v>
      </c>
      <c r="C94" s="220">
        <v>3560.3</v>
      </c>
      <c r="D94" s="220">
        <v>4053.3</v>
      </c>
      <c r="E94" s="210">
        <v>6.4375999999999998</v>
      </c>
      <c r="F94" s="82"/>
      <c r="G94" s="82"/>
      <c r="H94" s="28"/>
    </row>
    <row r="95" spans="1:8" ht="18.75" customHeight="1" x14ac:dyDescent="0.25">
      <c r="A95" s="86">
        <v>900</v>
      </c>
      <c r="B95" s="219">
        <v>6.3258000000000003E-3</v>
      </c>
      <c r="C95" s="220">
        <v>3609.8</v>
      </c>
      <c r="D95" s="220">
        <v>4115.8999999999996</v>
      </c>
      <c r="E95" s="210">
        <v>6.4915000000000003</v>
      </c>
      <c r="F95" s="82"/>
      <c r="G95" s="82"/>
      <c r="H95" s="28"/>
    </row>
    <row r="96" spans="1:8" ht="18.75" customHeight="1" x14ac:dyDescent="0.25">
      <c r="A96" s="86">
        <v>920</v>
      </c>
      <c r="B96" s="219">
        <v>6.4863999999999998E-3</v>
      </c>
      <c r="C96" s="220">
        <v>3659</v>
      </c>
      <c r="D96" s="220">
        <v>4177.8999999999996</v>
      </c>
      <c r="E96" s="210">
        <v>6.5438999999999998</v>
      </c>
      <c r="F96" s="82"/>
      <c r="G96" s="82"/>
      <c r="H96" s="28"/>
    </row>
    <row r="97" spans="1:8" ht="18.75" customHeight="1" x14ac:dyDescent="0.25">
      <c r="A97" s="86">
        <v>940</v>
      </c>
      <c r="B97" s="219">
        <v>6.6444E-3</v>
      </c>
      <c r="C97" s="220">
        <v>3707.7</v>
      </c>
      <c r="D97" s="220">
        <v>4239.3</v>
      </c>
      <c r="E97" s="210">
        <v>6.5949</v>
      </c>
      <c r="F97" s="82"/>
      <c r="G97" s="82"/>
      <c r="H97" s="28"/>
    </row>
    <row r="98" spans="1:8" ht="18.75" customHeight="1" x14ac:dyDescent="0.25">
      <c r="A98" s="86">
        <v>960</v>
      </c>
      <c r="B98" s="219">
        <v>6.8000999999999999E-3</v>
      </c>
      <c r="C98" s="220">
        <v>3756.1</v>
      </c>
      <c r="D98" s="220">
        <v>4300.1000000000004</v>
      </c>
      <c r="E98" s="210">
        <v>6.6445999999999996</v>
      </c>
      <c r="F98" s="82"/>
      <c r="G98" s="82"/>
      <c r="H98" s="28"/>
    </row>
    <row r="99" spans="1:8" ht="18.75" customHeight="1" x14ac:dyDescent="0.25">
      <c r="A99" s="86">
        <v>980</v>
      </c>
      <c r="B99" s="219">
        <v>6.9537000000000002E-3</v>
      </c>
      <c r="C99" s="220">
        <v>3804.2</v>
      </c>
      <c r="D99" s="220">
        <v>4360.5</v>
      </c>
      <c r="E99" s="210">
        <v>6.6932</v>
      </c>
      <c r="F99" s="82"/>
      <c r="G99" s="82"/>
      <c r="H99" s="28"/>
    </row>
    <row r="100" spans="1:8" ht="18.75" customHeight="1" x14ac:dyDescent="0.25">
      <c r="A100" s="86">
        <v>1000</v>
      </c>
      <c r="B100" s="219">
        <v>7.1053000000000002E-3</v>
      </c>
      <c r="C100" s="220">
        <v>3852.1</v>
      </c>
      <c r="D100" s="220">
        <v>4420.5</v>
      </c>
      <c r="E100" s="210">
        <v>6.7407000000000004</v>
      </c>
      <c r="F100" s="82"/>
      <c r="G100" s="82"/>
      <c r="H100" s="28"/>
    </row>
  </sheetData>
  <mergeCells count="1">
    <mergeCell ref="A1:H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G100"/>
  <sheetViews>
    <sheetView topLeftCell="A67" workbookViewId="0">
      <selection activeCell="B53" sqref="B53:F100"/>
    </sheetView>
  </sheetViews>
  <sheetFormatPr defaultRowHeight="13.2" x14ac:dyDescent="0.25"/>
  <cols>
    <col min="1" max="1" width="7.33203125" customWidth="1"/>
    <col min="2" max="2" width="15.77734375" customWidth="1"/>
    <col min="3" max="3" width="9.5546875" customWidth="1"/>
    <col min="4" max="4" width="8.6640625" customWidth="1"/>
    <col min="5" max="5" width="9.44140625" customWidth="1"/>
    <col min="6" max="6" width="0.109375" customWidth="1"/>
    <col min="7" max="7" width="78.88671875" customWidth="1"/>
  </cols>
  <sheetData>
    <row r="1" spans="1:7" ht="18.75" customHeight="1" x14ac:dyDescent="0.25">
      <c r="A1" s="193" t="s">
        <v>110</v>
      </c>
      <c r="B1" s="193"/>
      <c r="C1" s="193"/>
      <c r="D1" s="193"/>
      <c r="E1" s="193"/>
      <c r="F1" s="193"/>
      <c r="G1" s="193"/>
    </row>
    <row r="2" spans="1:7" ht="18.75" customHeight="1" x14ac:dyDescent="0.25">
      <c r="A2" s="89" t="s">
        <v>126</v>
      </c>
      <c r="B2" s="90">
        <v>90000</v>
      </c>
      <c r="C2" s="71"/>
      <c r="D2" s="71"/>
      <c r="E2" s="71"/>
      <c r="F2" s="71"/>
      <c r="G2" s="71"/>
    </row>
    <row r="3" spans="1:7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28"/>
      <c r="G3" s="28"/>
    </row>
    <row r="4" spans="1:7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28"/>
      <c r="G4" s="28"/>
    </row>
    <row r="5" spans="1:7" ht="18.75" customHeight="1" x14ac:dyDescent="0.25">
      <c r="A5" s="87">
        <v>0</v>
      </c>
      <c r="B5" s="79">
        <v>9.6044999999999995E-4</v>
      </c>
      <c r="C5" s="80">
        <v>-0.1</v>
      </c>
      <c r="D5" s="80">
        <v>86.34</v>
      </c>
      <c r="E5" s="81">
        <v>-6.6100000000000004E-3</v>
      </c>
      <c r="F5" s="28"/>
      <c r="G5" s="28"/>
    </row>
    <row r="6" spans="1:7" ht="18.75" customHeight="1" x14ac:dyDescent="0.25">
      <c r="A6" s="87">
        <v>5</v>
      </c>
      <c r="B6" s="79">
        <v>9.6144999999999998E-4</v>
      </c>
      <c r="C6" s="80">
        <v>19.48</v>
      </c>
      <c r="D6" s="80">
        <v>106.01</v>
      </c>
      <c r="E6" s="81">
        <v>6.4769999999999994E-2</v>
      </c>
      <c r="F6" s="28"/>
      <c r="G6" s="28"/>
    </row>
    <row r="7" spans="1:7" ht="18.75" customHeight="1" x14ac:dyDescent="0.25">
      <c r="A7" s="87">
        <v>10</v>
      </c>
      <c r="B7" s="79">
        <v>9.6261999999999997E-4</v>
      </c>
      <c r="C7" s="80">
        <v>39.14</v>
      </c>
      <c r="D7" s="80">
        <v>125.78</v>
      </c>
      <c r="E7" s="81">
        <v>0.13517999999999999</v>
      </c>
      <c r="F7" s="28"/>
      <c r="G7" s="28"/>
    </row>
    <row r="8" spans="1:7" ht="18.75" customHeight="1" x14ac:dyDescent="0.25">
      <c r="A8" s="87">
        <v>15</v>
      </c>
      <c r="B8" s="79">
        <v>9.6394000000000004E-4</v>
      </c>
      <c r="C8" s="80">
        <v>58.85</v>
      </c>
      <c r="D8" s="80">
        <v>145.6</v>
      </c>
      <c r="E8" s="81">
        <v>0.2046</v>
      </c>
      <c r="F8" s="28"/>
      <c r="G8" s="28"/>
    </row>
    <row r="9" spans="1:7" ht="18.75" customHeight="1" x14ac:dyDescent="0.25">
      <c r="A9" s="87">
        <v>20</v>
      </c>
      <c r="B9" s="79">
        <v>9.6540000000000005E-4</v>
      </c>
      <c r="C9" s="80">
        <v>78.599999999999994</v>
      </c>
      <c r="D9" s="80">
        <v>165.49</v>
      </c>
      <c r="E9" s="81">
        <v>0.27301999999999998</v>
      </c>
      <c r="F9" s="28"/>
      <c r="G9" s="28"/>
    </row>
    <row r="10" spans="1:7" ht="18.75" customHeight="1" x14ac:dyDescent="0.25">
      <c r="A10" s="87">
        <v>25</v>
      </c>
      <c r="B10" s="79">
        <v>9.6699999999999998E-4</v>
      </c>
      <c r="C10" s="80">
        <v>98.39</v>
      </c>
      <c r="D10" s="80">
        <v>185.42</v>
      </c>
      <c r="E10" s="81">
        <v>0.34044999999999997</v>
      </c>
      <c r="F10" s="28"/>
      <c r="G10" s="28"/>
    </row>
    <row r="11" spans="1:7" ht="18.75" customHeight="1" x14ac:dyDescent="0.25">
      <c r="A11" s="87">
        <v>30</v>
      </c>
      <c r="B11" s="79">
        <v>9.6871000000000001E-4</v>
      </c>
      <c r="C11" s="80">
        <v>118.22</v>
      </c>
      <c r="D11" s="80">
        <v>205.4</v>
      </c>
      <c r="E11" s="81">
        <v>0.40688000000000002</v>
      </c>
      <c r="F11" s="28"/>
      <c r="G11" s="28"/>
    </row>
    <row r="12" spans="1:7" ht="18.75" customHeight="1" x14ac:dyDescent="0.25">
      <c r="A12" s="87">
        <v>35</v>
      </c>
      <c r="B12" s="79">
        <v>9.7055000000000004E-4</v>
      </c>
      <c r="C12" s="80">
        <v>138.06</v>
      </c>
      <c r="D12" s="80">
        <v>225.41</v>
      </c>
      <c r="E12" s="81">
        <v>0.47234999999999999</v>
      </c>
      <c r="F12" s="28"/>
      <c r="G12" s="28"/>
    </row>
    <row r="13" spans="1:7" ht="18.75" customHeight="1" x14ac:dyDescent="0.25">
      <c r="A13" s="87">
        <v>40</v>
      </c>
      <c r="B13" s="79">
        <v>9.7249999999999995E-4</v>
      </c>
      <c r="C13" s="80">
        <v>157.91999999999999</v>
      </c>
      <c r="D13" s="80">
        <v>245.45</v>
      </c>
      <c r="E13" s="81">
        <v>0.53686</v>
      </c>
      <c r="F13" s="28"/>
      <c r="G13" s="28"/>
    </row>
    <row r="14" spans="1:7" ht="18.75" customHeight="1" x14ac:dyDescent="0.25">
      <c r="A14" s="87">
        <v>45</v>
      </c>
      <c r="B14" s="79">
        <v>9.7457000000000002E-4</v>
      </c>
      <c r="C14" s="80">
        <v>177.8</v>
      </c>
      <c r="D14" s="80">
        <v>265.51</v>
      </c>
      <c r="E14" s="81">
        <v>0.60043999999999997</v>
      </c>
      <c r="F14" s="28"/>
      <c r="G14" s="28"/>
    </row>
    <row r="15" spans="1:7" ht="18.75" customHeight="1" x14ac:dyDescent="0.25">
      <c r="A15" s="87">
        <v>50</v>
      </c>
      <c r="B15" s="79">
        <v>9.7674000000000003E-4</v>
      </c>
      <c r="C15" s="80">
        <v>197.7</v>
      </c>
      <c r="D15" s="80">
        <v>285.61</v>
      </c>
      <c r="E15" s="81">
        <v>0.66308999999999996</v>
      </c>
      <c r="F15" s="28"/>
      <c r="G15" s="28"/>
    </row>
    <row r="16" spans="1:7" ht="18.75" customHeight="1" x14ac:dyDescent="0.25">
      <c r="A16" s="87">
        <v>55</v>
      </c>
      <c r="B16" s="79">
        <v>9.7900999999999999E-4</v>
      </c>
      <c r="C16" s="80">
        <v>217.61</v>
      </c>
      <c r="D16" s="80">
        <v>305.72000000000003</v>
      </c>
      <c r="E16" s="81">
        <v>0.72484999999999999</v>
      </c>
      <c r="F16" s="28"/>
      <c r="G16" s="28"/>
    </row>
    <row r="17" spans="1:7" ht="18.75" customHeight="1" x14ac:dyDescent="0.25">
      <c r="A17" s="87">
        <v>60</v>
      </c>
      <c r="B17" s="79">
        <v>9.8138999999999995E-4</v>
      </c>
      <c r="C17" s="80">
        <v>237.52</v>
      </c>
      <c r="D17" s="80">
        <v>325.85000000000002</v>
      </c>
      <c r="E17" s="81">
        <v>0.78573999999999999</v>
      </c>
      <c r="F17" s="28"/>
      <c r="G17" s="28"/>
    </row>
    <row r="18" spans="1:7" ht="18.75" customHeight="1" x14ac:dyDescent="0.25">
      <c r="A18" s="87">
        <v>65</v>
      </c>
      <c r="B18" s="79">
        <v>9.8386999999999997E-4</v>
      </c>
      <c r="C18" s="80">
        <v>257.45</v>
      </c>
      <c r="D18" s="80">
        <v>346</v>
      </c>
      <c r="E18" s="81">
        <v>0.84577000000000002</v>
      </c>
      <c r="F18" s="28"/>
      <c r="G18" s="28"/>
    </row>
    <row r="19" spans="1:7" ht="18.75" customHeight="1" x14ac:dyDescent="0.25">
      <c r="A19" s="87">
        <v>70</v>
      </c>
      <c r="B19" s="79">
        <v>9.8645000000000004E-4</v>
      </c>
      <c r="C19" s="80">
        <v>277.38</v>
      </c>
      <c r="D19" s="80">
        <v>366.16</v>
      </c>
      <c r="E19" s="81">
        <v>0.90495999999999999</v>
      </c>
      <c r="F19" s="28"/>
      <c r="G19" s="28"/>
    </row>
    <row r="20" spans="1:7" ht="18.75" customHeight="1" x14ac:dyDescent="0.25">
      <c r="A20" s="87">
        <v>75</v>
      </c>
      <c r="B20" s="79">
        <v>9.8912999999999996E-4</v>
      </c>
      <c r="C20" s="80">
        <v>297.32</v>
      </c>
      <c r="D20" s="80">
        <v>386.34</v>
      </c>
      <c r="E20" s="81">
        <v>0.96335000000000004</v>
      </c>
      <c r="F20" s="28"/>
      <c r="G20" s="28"/>
    </row>
    <row r="21" spans="1:7" ht="18.75" customHeight="1" x14ac:dyDescent="0.25">
      <c r="A21" s="87">
        <v>80</v>
      </c>
      <c r="B21" s="79">
        <v>9.9190999999999993E-4</v>
      </c>
      <c r="C21" s="80">
        <v>317.27</v>
      </c>
      <c r="D21" s="80">
        <v>406.54</v>
      </c>
      <c r="E21" s="82">
        <v>1.0208999999999999</v>
      </c>
      <c r="F21" s="28"/>
      <c r="G21" s="28"/>
    </row>
    <row r="22" spans="1:7" ht="18.75" customHeight="1" x14ac:dyDescent="0.25">
      <c r="A22" s="87">
        <v>85</v>
      </c>
      <c r="B22" s="79">
        <v>9.9478999999999995E-4</v>
      </c>
      <c r="C22" s="80">
        <v>337.22</v>
      </c>
      <c r="D22" s="80">
        <v>426.75</v>
      </c>
      <c r="E22" s="82">
        <v>1.0778000000000001</v>
      </c>
      <c r="F22" s="28"/>
      <c r="G22" s="28"/>
    </row>
    <row r="23" spans="1:7" ht="18.75" customHeight="1" x14ac:dyDescent="0.25">
      <c r="A23" s="87">
        <v>90</v>
      </c>
      <c r="B23" s="79">
        <v>9.977600000000001E-4</v>
      </c>
      <c r="C23" s="80">
        <v>357.17</v>
      </c>
      <c r="D23" s="80">
        <v>446.97</v>
      </c>
      <c r="E23" s="82">
        <v>1.1337999999999999</v>
      </c>
      <c r="F23" s="28"/>
      <c r="G23" s="28"/>
    </row>
    <row r="24" spans="1:7" ht="18.75" customHeight="1" x14ac:dyDescent="0.25">
      <c r="A24" s="87">
        <v>95</v>
      </c>
      <c r="B24" s="79">
        <v>1.0008199999999999E-3</v>
      </c>
      <c r="C24" s="80">
        <v>377.14</v>
      </c>
      <c r="D24" s="80">
        <v>467.21</v>
      </c>
      <c r="E24" s="82">
        <v>1.1892</v>
      </c>
      <c r="F24" s="28"/>
      <c r="G24" s="28"/>
    </row>
    <row r="25" spans="1:7" ht="18.75" customHeight="1" x14ac:dyDescent="0.25">
      <c r="A25" s="87">
        <v>100</v>
      </c>
      <c r="B25" s="79">
        <v>1.00399E-3</v>
      </c>
      <c r="C25" s="80">
        <v>397.1</v>
      </c>
      <c r="D25" s="80">
        <v>487.46</v>
      </c>
      <c r="E25" s="82">
        <v>1.2438</v>
      </c>
      <c r="F25" s="28"/>
      <c r="G25" s="28"/>
    </row>
    <row r="26" spans="1:7" ht="18.75" customHeight="1" x14ac:dyDescent="0.25">
      <c r="A26" s="87">
        <v>105</v>
      </c>
      <c r="B26" s="79">
        <v>1.0072499999999999E-3</v>
      </c>
      <c r="C26" s="80">
        <v>417.08</v>
      </c>
      <c r="D26" s="80">
        <v>507.73</v>
      </c>
      <c r="E26" s="82">
        <v>1.2978000000000001</v>
      </c>
      <c r="F26" s="28"/>
      <c r="G26" s="28"/>
    </row>
    <row r="27" spans="1:7" ht="18.75" customHeight="1" x14ac:dyDescent="0.25">
      <c r="A27" s="87">
        <v>110</v>
      </c>
      <c r="B27" s="79">
        <v>1.0106E-3</v>
      </c>
      <c r="C27" s="80">
        <v>437.07</v>
      </c>
      <c r="D27" s="80">
        <v>528.02</v>
      </c>
      <c r="E27" s="82">
        <v>1.3511</v>
      </c>
      <c r="F27" s="28"/>
      <c r="G27" s="28"/>
    </row>
    <row r="28" spans="1:7" ht="18.75" customHeight="1" x14ac:dyDescent="0.25">
      <c r="A28" s="87">
        <v>115</v>
      </c>
      <c r="B28" s="79">
        <v>1.0140500000000001E-3</v>
      </c>
      <c r="C28" s="80">
        <v>457.07</v>
      </c>
      <c r="D28" s="80">
        <v>548.33000000000004</v>
      </c>
      <c r="E28" s="82">
        <v>1.4037999999999999</v>
      </c>
      <c r="F28" s="28"/>
      <c r="G28" s="28"/>
    </row>
    <row r="29" spans="1:7" ht="18.75" customHeight="1" x14ac:dyDescent="0.25">
      <c r="A29" s="87">
        <v>120</v>
      </c>
      <c r="B29" s="79">
        <v>1.0176E-3</v>
      </c>
      <c r="C29" s="80">
        <v>477.07</v>
      </c>
      <c r="D29" s="80">
        <v>568.65</v>
      </c>
      <c r="E29" s="82">
        <v>1.4558</v>
      </c>
      <c r="F29" s="28"/>
      <c r="G29" s="28"/>
    </row>
    <row r="30" spans="1:7" ht="18.75" customHeight="1" x14ac:dyDescent="0.25">
      <c r="A30" s="87">
        <v>125</v>
      </c>
      <c r="B30" s="79">
        <v>1.02125E-3</v>
      </c>
      <c r="C30" s="80">
        <v>497.08</v>
      </c>
      <c r="D30" s="80">
        <v>588.99</v>
      </c>
      <c r="E30" s="82">
        <v>1.5072000000000001</v>
      </c>
      <c r="F30" s="28"/>
      <c r="G30" s="28"/>
    </row>
    <row r="31" spans="1:7" ht="18.75" customHeight="1" x14ac:dyDescent="0.25">
      <c r="A31" s="87">
        <v>130</v>
      </c>
      <c r="B31" s="79">
        <v>1.0249899999999999E-3</v>
      </c>
      <c r="C31" s="80">
        <v>517.11</v>
      </c>
      <c r="D31" s="80">
        <v>609.36</v>
      </c>
      <c r="E31" s="82">
        <v>1.5580000000000001</v>
      </c>
      <c r="F31" s="28"/>
      <c r="G31" s="28"/>
    </row>
    <row r="32" spans="1:7" ht="18.75" customHeight="1" x14ac:dyDescent="0.25">
      <c r="A32" s="87">
        <v>135</v>
      </c>
      <c r="B32" s="79">
        <v>1.0288299999999999E-3</v>
      </c>
      <c r="C32" s="80">
        <v>537.15</v>
      </c>
      <c r="D32" s="80">
        <v>629.74</v>
      </c>
      <c r="E32" s="82">
        <v>1.6083000000000001</v>
      </c>
      <c r="F32" s="28"/>
      <c r="G32" s="28"/>
    </row>
    <row r="33" spans="1:7" ht="18.75" customHeight="1" x14ac:dyDescent="0.25">
      <c r="A33" s="87">
        <v>140</v>
      </c>
      <c r="B33" s="79">
        <v>1.0327699999999999E-3</v>
      </c>
      <c r="C33" s="80">
        <v>557.20000000000005</v>
      </c>
      <c r="D33" s="80">
        <v>650.15</v>
      </c>
      <c r="E33" s="82">
        <v>1.6579999999999999</v>
      </c>
      <c r="F33" s="28"/>
      <c r="G33" s="28"/>
    </row>
    <row r="34" spans="1:7" ht="18.75" customHeight="1" x14ac:dyDescent="0.25">
      <c r="A34" s="87">
        <v>145</v>
      </c>
      <c r="B34" s="79">
        <v>1.03681E-3</v>
      </c>
      <c r="C34" s="80">
        <v>577.28</v>
      </c>
      <c r="D34" s="80">
        <v>670.59</v>
      </c>
      <c r="E34" s="82">
        <v>1.7071000000000001</v>
      </c>
      <c r="F34" s="28"/>
      <c r="G34" s="28"/>
    </row>
    <row r="35" spans="1:7" ht="18.75" customHeight="1" x14ac:dyDescent="0.25">
      <c r="A35" s="87">
        <v>150</v>
      </c>
      <c r="B35" s="79">
        <v>1.0409600000000001E-3</v>
      </c>
      <c r="C35" s="80">
        <v>597.36</v>
      </c>
      <c r="D35" s="80">
        <v>691.05</v>
      </c>
      <c r="E35" s="82">
        <v>1.7558</v>
      </c>
      <c r="F35" s="28"/>
      <c r="G35" s="28"/>
    </row>
    <row r="36" spans="1:7" ht="18.75" customHeight="1" x14ac:dyDescent="0.25">
      <c r="A36" s="87">
        <v>155</v>
      </c>
      <c r="B36" s="79">
        <v>1.04521E-3</v>
      </c>
      <c r="C36" s="80">
        <v>617.47</v>
      </c>
      <c r="D36" s="80">
        <v>711.54</v>
      </c>
      <c r="E36" s="82">
        <v>1.8039000000000001</v>
      </c>
      <c r="F36" s="28"/>
      <c r="G36" s="28"/>
    </row>
    <row r="37" spans="1:7" ht="18.75" customHeight="1" x14ac:dyDescent="0.25">
      <c r="A37" s="87">
        <v>160</v>
      </c>
      <c r="B37" s="79">
        <v>1.0495599999999999E-3</v>
      </c>
      <c r="C37" s="80">
        <v>637.6</v>
      </c>
      <c r="D37" s="80">
        <v>732.06</v>
      </c>
      <c r="E37" s="82">
        <v>1.8515999999999999</v>
      </c>
      <c r="F37" s="28"/>
      <c r="G37" s="28"/>
    </row>
    <row r="38" spans="1:7" ht="18.75" customHeight="1" x14ac:dyDescent="0.25">
      <c r="A38" s="87">
        <v>165</v>
      </c>
      <c r="B38" s="79">
        <v>1.0540199999999999E-3</v>
      </c>
      <c r="C38" s="80">
        <v>657.75</v>
      </c>
      <c r="D38" s="80">
        <v>752.61</v>
      </c>
      <c r="E38" s="82">
        <v>1.8988</v>
      </c>
      <c r="F38" s="28"/>
      <c r="G38" s="28"/>
    </row>
    <row r="39" spans="1:7" ht="18.75" customHeight="1" x14ac:dyDescent="0.25">
      <c r="A39" s="87">
        <v>170</v>
      </c>
      <c r="B39" s="79">
        <v>1.0585900000000001E-3</v>
      </c>
      <c r="C39" s="80">
        <v>677.93</v>
      </c>
      <c r="D39" s="80">
        <v>773.2</v>
      </c>
      <c r="E39" s="82">
        <v>1.9455</v>
      </c>
      <c r="F39" s="28"/>
      <c r="G39" s="28"/>
    </row>
    <row r="40" spans="1:7" ht="18.75" customHeight="1" x14ac:dyDescent="0.25">
      <c r="A40" s="87">
        <v>175</v>
      </c>
      <c r="B40" s="79">
        <v>1.0632700000000001E-3</v>
      </c>
      <c r="C40" s="80">
        <v>698.13</v>
      </c>
      <c r="D40" s="80">
        <v>793.82</v>
      </c>
      <c r="E40" s="82">
        <v>1.9917</v>
      </c>
      <c r="F40" s="28"/>
      <c r="G40" s="28"/>
    </row>
    <row r="41" spans="1:7" ht="18.75" customHeight="1" x14ac:dyDescent="0.25">
      <c r="A41" s="87">
        <v>180</v>
      </c>
      <c r="B41" s="79">
        <v>1.06806E-3</v>
      </c>
      <c r="C41" s="80">
        <v>718.34</v>
      </c>
      <c r="D41" s="80">
        <v>814.47</v>
      </c>
      <c r="E41" s="82">
        <v>2.0375999999999999</v>
      </c>
      <c r="F41" s="28"/>
      <c r="G41" s="28"/>
    </row>
    <row r="42" spans="1:7" ht="18.75" customHeight="1" x14ac:dyDescent="0.25">
      <c r="A42" s="87">
        <v>185</v>
      </c>
      <c r="B42" s="79">
        <v>1.0729699999999999E-3</v>
      </c>
      <c r="C42" s="80">
        <v>738.6</v>
      </c>
      <c r="D42" s="80">
        <v>835.17</v>
      </c>
      <c r="E42" s="82">
        <v>2.0830000000000002</v>
      </c>
      <c r="F42" s="28"/>
      <c r="G42" s="28"/>
    </row>
    <row r="43" spans="1:7" ht="18.75" customHeight="1" x14ac:dyDescent="0.25">
      <c r="A43" s="87">
        <v>190</v>
      </c>
      <c r="B43" s="79">
        <v>1.07799E-3</v>
      </c>
      <c r="C43" s="80">
        <v>758.89</v>
      </c>
      <c r="D43" s="80">
        <v>855.91</v>
      </c>
      <c r="E43" s="82">
        <v>2.1280000000000001</v>
      </c>
      <c r="F43" s="28"/>
      <c r="G43" s="28"/>
    </row>
    <row r="44" spans="1:7" ht="18.75" customHeight="1" x14ac:dyDescent="0.25">
      <c r="A44" s="87">
        <v>195</v>
      </c>
      <c r="B44" s="79">
        <v>1.08314E-3</v>
      </c>
      <c r="C44" s="80">
        <v>779.21</v>
      </c>
      <c r="D44" s="80">
        <v>876.69</v>
      </c>
      <c r="E44" s="82">
        <v>2.1726000000000001</v>
      </c>
      <c r="F44" s="28"/>
      <c r="G44" s="28"/>
    </row>
    <row r="45" spans="1:7" ht="18.75" customHeight="1" x14ac:dyDescent="0.25">
      <c r="A45" s="87">
        <v>200</v>
      </c>
      <c r="B45" s="79">
        <v>1.0884099999999999E-3</v>
      </c>
      <c r="C45" s="80">
        <v>799.55</v>
      </c>
      <c r="D45" s="80">
        <v>897.51</v>
      </c>
      <c r="E45" s="82">
        <v>2.2168999999999999</v>
      </c>
      <c r="F45" s="28"/>
      <c r="G45" s="28"/>
    </row>
    <row r="46" spans="1:7" ht="18.75" customHeight="1" x14ac:dyDescent="0.25">
      <c r="A46" s="87">
        <v>210</v>
      </c>
      <c r="B46" s="79">
        <v>1.0993400000000001E-3</v>
      </c>
      <c r="C46" s="80">
        <v>840.36</v>
      </c>
      <c r="D46" s="80">
        <v>939.3</v>
      </c>
      <c r="E46" s="82">
        <v>2.3043</v>
      </c>
      <c r="F46" s="28"/>
      <c r="G46" s="28"/>
    </row>
    <row r="47" spans="1:7" ht="18.75" customHeight="1" x14ac:dyDescent="0.25">
      <c r="A47" s="87">
        <v>220</v>
      </c>
      <c r="B47" s="79">
        <v>1.1108100000000001E-3</v>
      </c>
      <c r="C47" s="80">
        <v>881.32</v>
      </c>
      <c r="D47" s="80">
        <v>981.29</v>
      </c>
      <c r="E47" s="82">
        <v>2.3902999999999999</v>
      </c>
      <c r="F47" s="28"/>
      <c r="G47" s="28"/>
    </row>
    <row r="48" spans="1:7" ht="18.75" customHeight="1" x14ac:dyDescent="0.25">
      <c r="A48" s="87">
        <v>230</v>
      </c>
      <c r="B48" s="79">
        <v>1.1228500000000001E-3</v>
      </c>
      <c r="C48" s="80">
        <v>922.44</v>
      </c>
      <c r="D48" s="83">
        <v>1023.5</v>
      </c>
      <c r="E48" s="82">
        <v>2.4750000000000001</v>
      </c>
      <c r="F48" s="28"/>
      <c r="G48" s="28"/>
    </row>
    <row r="49" spans="1:7" ht="18.75" customHeight="1" x14ac:dyDescent="0.25">
      <c r="A49" s="87">
        <v>240</v>
      </c>
      <c r="B49" s="79">
        <v>1.1355E-3</v>
      </c>
      <c r="C49" s="80">
        <v>963.8</v>
      </c>
      <c r="D49" s="83">
        <v>1066</v>
      </c>
      <c r="E49" s="82">
        <v>2.5586000000000002</v>
      </c>
      <c r="F49" s="28"/>
      <c r="G49" s="28"/>
    </row>
    <row r="50" spans="1:7" ht="18.75" customHeight="1" x14ac:dyDescent="0.25">
      <c r="A50" s="87">
        <v>250</v>
      </c>
      <c r="B50" s="79">
        <v>1.14879E-3</v>
      </c>
      <c r="C50" s="83">
        <v>1005.3</v>
      </c>
      <c r="D50" s="83">
        <v>1108.7</v>
      </c>
      <c r="E50" s="82">
        <v>2.641</v>
      </c>
      <c r="F50" s="28"/>
      <c r="G50" s="28"/>
    </row>
    <row r="51" spans="1:7" ht="18.75" customHeight="1" x14ac:dyDescent="0.25">
      <c r="A51" s="87">
        <v>260</v>
      </c>
      <c r="B51" s="79">
        <v>1.16278E-3</v>
      </c>
      <c r="C51" s="83">
        <v>1046.9000000000001</v>
      </c>
      <c r="D51" s="83">
        <v>1151.5999999999999</v>
      </c>
      <c r="E51" s="82">
        <v>2.7223999999999999</v>
      </c>
      <c r="F51" s="28"/>
      <c r="G51" s="28"/>
    </row>
    <row r="52" spans="1:7" ht="18.75" customHeight="1" x14ac:dyDescent="0.25">
      <c r="A52" s="87">
        <v>270</v>
      </c>
      <c r="B52" s="79">
        <v>1.1775100000000001E-3</v>
      </c>
      <c r="C52" s="83">
        <v>1088.9000000000001</v>
      </c>
      <c r="D52" s="83">
        <v>1194.9000000000001</v>
      </c>
      <c r="E52" s="82">
        <v>2.8028</v>
      </c>
      <c r="F52" s="28"/>
      <c r="G52" s="28"/>
    </row>
    <row r="53" spans="1:7" ht="18.75" customHeight="1" x14ac:dyDescent="0.25">
      <c r="A53" s="86">
        <v>280</v>
      </c>
      <c r="B53" s="219">
        <v>1.19304E-3</v>
      </c>
      <c r="C53" s="220">
        <v>1131.0999999999999</v>
      </c>
      <c r="D53" s="220">
        <v>1238.5</v>
      </c>
      <c r="E53" s="222">
        <v>2.8824000000000001</v>
      </c>
      <c r="F53" s="222"/>
      <c r="G53" s="28"/>
    </row>
    <row r="54" spans="1:7" ht="18.75" customHeight="1" x14ac:dyDescent="0.25">
      <c r="A54" s="86">
        <v>290</v>
      </c>
      <c r="B54" s="219">
        <v>1.20944E-3</v>
      </c>
      <c r="C54" s="220">
        <v>1173.7</v>
      </c>
      <c r="D54" s="220">
        <v>1282.5</v>
      </c>
      <c r="E54" s="222">
        <v>2.9611999999999998</v>
      </c>
      <c r="F54" s="222"/>
      <c r="G54" s="28"/>
    </row>
    <row r="55" spans="1:7" ht="18.75" customHeight="1" x14ac:dyDescent="0.25">
      <c r="A55" s="86">
        <v>300</v>
      </c>
      <c r="B55" s="219">
        <v>1.2267999999999999E-3</v>
      </c>
      <c r="C55" s="220">
        <v>1216.4000000000001</v>
      </c>
      <c r="D55" s="220">
        <v>1326.8</v>
      </c>
      <c r="E55" s="222">
        <v>3.0392000000000001</v>
      </c>
      <c r="F55" s="222"/>
      <c r="G55" s="28"/>
    </row>
    <row r="56" spans="1:7" ht="18.75" customHeight="1" x14ac:dyDescent="0.25">
      <c r="A56" s="86">
        <v>310</v>
      </c>
      <c r="B56" s="219">
        <v>1.2451000000000001E-3</v>
      </c>
      <c r="C56" s="220">
        <v>1259.5</v>
      </c>
      <c r="D56" s="220">
        <v>1371.6</v>
      </c>
      <c r="E56" s="222">
        <v>3.1166</v>
      </c>
      <c r="F56" s="222"/>
      <c r="G56" s="28"/>
    </row>
    <row r="57" spans="1:7" ht="18.75" customHeight="1" x14ac:dyDescent="0.25">
      <c r="A57" s="86">
        <v>320</v>
      </c>
      <c r="B57" s="219">
        <v>1.2646000000000001E-3</v>
      </c>
      <c r="C57" s="220">
        <v>1303</v>
      </c>
      <c r="D57" s="220">
        <v>1416.8</v>
      </c>
      <c r="E57" s="222">
        <v>3.1934</v>
      </c>
      <c r="F57" s="222"/>
      <c r="G57" s="28"/>
    </row>
    <row r="58" spans="1:7" ht="18.75" customHeight="1" x14ac:dyDescent="0.25">
      <c r="A58" s="86">
        <v>330</v>
      </c>
      <c r="B58" s="219">
        <v>1.2853000000000001E-3</v>
      </c>
      <c r="C58" s="220">
        <v>1346.7</v>
      </c>
      <c r="D58" s="220">
        <v>1462.4</v>
      </c>
      <c r="E58" s="222">
        <v>3.2696999999999998</v>
      </c>
      <c r="F58" s="222"/>
      <c r="G58" s="28"/>
    </row>
    <row r="59" spans="1:7" ht="18.75" customHeight="1" x14ac:dyDescent="0.25">
      <c r="A59" s="86">
        <v>340</v>
      </c>
      <c r="B59" s="219">
        <v>1.3074E-3</v>
      </c>
      <c r="C59" s="220">
        <v>1390.9</v>
      </c>
      <c r="D59" s="220">
        <v>1508.6</v>
      </c>
      <c r="E59" s="222">
        <v>3.3456000000000001</v>
      </c>
      <c r="F59" s="222"/>
      <c r="G59" s="28"/>
    </row>
    <row r="60" spans="1:7" ht="18.75" customHeight="1" x14ac:dyDescent="0.25">
      <c r="A60" s="86">
        <v>350</v>
      </c>
      <c r="B60" s="219">
        <v>1.3308E-3</v>
      </c>
      <c r="C60" s="220">
        <v>1435.5</v>
      </c>
      <c r="D60" s="220">
        <v>1555.3</v>
      </c>
      <c r="E60" s="222">
        <v>3.4211999999999998</v>
      </c>
      <c r="F60" s="222"/>
      <c r="G60" s="28"/>
    </row>
    <row r="61" spans="1:7" ht="18.75" customHeight="1" x14ac:dyDescent="0.25">
      <c r="A61" s="86">
        <v>360</v>
      </c>
      <c r="B61" s="219">
        <v>1.356E-3</v>
      </c>
      <c r="C61" s="220">
        <v>1480.6</v>
      </c>
      <c r="D61" s="220">
        <v>1602.6</v>
      </c>
      <c r="E61" s="222">
        <v>3.4965000000000002</v>
      </c>
      <c r="F61" s="222"/>
      <c r="G61" s="28"/>
    </row>
    <row r="62" spans="1:7" ht="18.75" customHeight="1" x14ac:dyDescent="0.25">
      <c r="A62" s="86">
        <v>370</v>
      </c>
      <c r="B62" s="219">
        <v>1.3829000000000001E-3</v>
      </c>
      <c r="C62" s="220">
        <v>1526</v>
      </c>
      <c r="D62" s="220">
        <v>1650.5</v>
      </c>
      <c r="E62" s="222">
        <v>3.5716000000000001</v>
      </c>
      <c r="F62" s="222"/>
      <c r="G62" s="28"/>
    </row>
    <row r="63" spans="1:7" ht="18.75" customHeight="1" x14ac:dyDescent="0.25">
      <c r="A63" s="86">
        <v>380</v>
      </c>
      <c r="B63" s="219">
        <v>1.4117000000000001E-3</v>
      </c>
      <c r="C63" s="220">
        <v>1572</v>
      </c>
      <c r="D63" s="220">
        <v>1699.1</v>
      </c>
      <c r="E63" s="222">
        <v>3.6465999999999998</v>
      </c>
      <c r="F63" s="222"/>
      <c r="G63" s="28"/>
    </row>
    <row r="64" spans="1:7" ht="18.75" customHeight="1" x14ac:dyDescent="0.25">
      <c r="A64" s="86">
        <v>390</v>
      </c>
      <c r="B64" s="219">
        <v>1.4427999999999999E-3</v>
      </c>
      <c r="C64" s="220">
        <v>1618.6</v>
      </c>
      <c r="D64" s="220">
        <v>1748.5</v>
      </c>
      <c r="E64" s="222">
        <v>3.7216</v>
      </c>
      <c r="F64" s="222"/>
      <c r="G64" s="28"/>
    </row>
    <row r="65" spans="1:7" ht="18.75" customHeight="1" x14ac:dyDescent="0.25">
      <c r="A65" s="86">
        <v>400</v>
      </c>
      <c r="B65" s="219">
        <v>1.4763000000000001E-3</v>
      </c>
      <c r="C65" s="220">
        <v>1665.7</v>
      </c>
      <c r="D65" s="220">
        <v>1798.6</v>
      </c>
      <c r="E65" s="222">
        <v>3.7966000000000002</v>
      </c>
      <c r="F65" s="222"/>
      <c r="G65" s="28"/>
    </row>
    <row r="66" spans="1:7" ht="18.75" customHeight="1" x14ac:dyDescent="0.25">
      <c r="A66" s="86">
        <v>410</v>
      </c>
      <c r="B66" s="219">
        <v>1.5126E-3</v>
      </c>
      <c r="C66" s="220">
        <v>1713.5</v>
      </c>
      <c r="D66" s="220">
        <v>1849.6</v>
      </c>
      <c r="E66" s="222">
        <v>3.8717999999999999</v>
      </c>
      <c r="F66" s="222"/>
      <c r="G66" s="28"/>
    </row>
    <row r="67" spans="1:7" ht="18.75" customHeight="1" x14ac:dyDescent="0.25">
      <c r="A67" s="86">
        <v>420</v>
      </c>
      <c r="B67" s="219">
        <v>1.5518000000000001E-3</v>
      </c>
      <c r="C67" s="220">
        <v>1761.8</v>
      </c>
      <c r="D67" s="220">
        <v>1901.5</v>
      </c>
      <c r="E67" s="222">
        <v>3.9472</v>
      </c>
      <c r="F67" s="222"/>
      <c r="G67" s="28"/>
    </row>
    <row r="68" spans="1:7" ht="18.75" customHeight="1" x14ac:dyDescent="0.25">
      <c r="A68" s="86">
        <v>430</v>
      </c>
      <c r="B68" s="219">
        <v>1.5943999999999999E-3</v>
      </c>
      <c r="C68" s="220">
        <v>1810.8</v>
      </c>
      <c r="D68" s="220">
        <v>1954.3</v>
      </c>
      <c r="E68" s="222">
        <v>4.0228000000000002</v>
      </c>
      <c r="F68" s="222"/>
      <c r="G68" s="28"/>
    </row>
    <row r="69" spans="1:7" ht="18.75" customHeight="1" x14ac:dyDescent="0.25">
      <c r="A69" s="86">
        <v>440</v>
      </c>
      <c r="B69" s="219">
        <v>1.6406999999999999E-3</v>
      </c>
      <c r="C69" s="220">
        <v>1860.4</v>
      </c>
      <c r="D69" s="220">
        <v>2008.1</v>
      </c>
      <c r="E69" s="222">
        <v>4.0987999999999998</v>
      </c>
      <c r="F69" s="222"/>
      <c r="G69" s="28"/>
    </row>
    <row r="70" spans="1:7" ht="18.75" customHeight="1" x14ac:dyDescent="0.25">
      <c r="A70" s="86">
        <v>450</v>
      </c>
      <c r="B70" s="219">
        <v>1.691E-3</v>
      </c>
      <c r="C70" s="220">
        <v>1910.7</v>
      </c>
      <c r="D70" s="220">
        <v>2062.9</v>
      </c>
      <c r="E70" s="222">
        <v>4.1750999999999996</v>
      </c>
      <c r="F70" s="222"/>
      <c r="G70" s="28"/>
    </row>
    <row r="71" spans="1:7" ht="18.75" customHeight="1" x14ac:dyDescent="0.25">
      <c r="A71" s="86">
        <v>460</v>
      </c>
      <c r="B71" s="219">
        <v>1.7457E-3</v>
      </c>
      <c r="C71" s="220">
        <v>1961.6</v>
      </c>
      <c r="D71" s="220">
        <v>2118.6999999999998</v>
      </c>
      <c r="E71" s="222">
        <v>4.2516999999999996</v>
      </c>
      <c r="F71" s="222"/>
      <c r="G71" s="28"/>
    </row>
    <row r="72" spans="1:7" ht="18.75" customHeight="1" x14ac:dyDescent="0.25">
      <c r="A72" s="86">
        <v>470</v>
      </c>
      <c r="B72" s="219">
        <v>1.8052000000000001E-3</v>
      </c>
      <c r="C72" s="220">
        <v>2012.9</v>
      </c>
      <c r="D72" s="220">
        <v>2175.4</v>
      </c>
      <c r="E72" s="222">
        <v>4.3285999999999998</v>
      </c>
      <c r="F72" s="222"/>
      <c r="G72" s="28"/>
    </row>
    <row r="73" spans="1:7" ht="18.75" customHeight="1" x14ac:dyDescent="0.25">
      <c r="A73" s="86">
        <v>480</v>
      </c>
      <c r="B73" s="219">
        <v>1.8695999999999999E-3</v>
      </c>
      <c r="C73" s="220">
        <v>2064.6999999999998</v>
      </c>
      <c r="D73" s="220">
        <v>2233</v>
      </c>
      <c r="E73" s="222">
        <v>4.4055999999999997</v>
      </c>
      <c r="F73" s="222"/>
      <c r="G73" s="28"/>
    </row>
    <row r="74" spans="1:7" ht="18.75" customHeight="1" x14ac:dyDescent="0.25">
      <c r="A74" s="86">
        <v>490</v>
      </c>
      <c r="B74" s="219">
        <v>1.9392000000000001E-3</v>
      </c>
      <c r="C74" s="220">
        <v>2116.9</v>
      </c>
      <c r="D74" s="220">
        <v>2291.4</v>
      </c>
      <c r="E74" s="222">
        <v>4.4825999999999997</v>
      </c>
      <c r="F74" s="222"/>
      <c r="G74" s="28"/>
    </row>
    <row r="75" spans="1:7" ht="18.75" customHeight="1" x14ac:dyDescent="0.25">
      <c r="A75" s="86">
        <v>500</v>
      </c>
      <c r="B75" s="219">
        <v>2.0140000000000002E-3</v>
      </c>
      <c r="C75" s="220">
        <v>2169</v>
      </c>
      <c r="D75" s="220">
        <v>2350.3000000000002</v>
      </c>
      <c r="E75" s="222">
        <v>4.5591999999999997</v>
      </c>
      <c r="F75" s="222"/>
      <c r="G75" s="28"/>
    </row>
    <row r="76" spans="1:7" ht="18.75" customHeight="1" x14ac:dyDescent="0.25">
      <c r="A76" s="86">
        <v>520</v>
      </c>
      <c r="B76" s="219">
        <v>2.1784E-3</v>
      </c>
      <c r="C76" s="220">
        <v>2272.6999999999998</v>
      </c>
      <c r="D76" s="220">
        <v>2468.8000000000002</v>
      </c>
      <c r="E76" s="222">
        <v>4.7106000000000003</v>
      </c>
      <c r="F76" s="222"/>
      <c r="G76" s="28"/>
    </row>
    <row r="77" spans="1:7" ht="18.75" customHeight="1" x14ac:dyDescent="0.25">
      <c r="A77" s="86">
        <v>540</v>
      </c>
      <c r="B77" s="219">
        <v>2.3606999999999999E-3</v>
      </c>
      <c r="C77" s="220">
        <v>2374.4</v>
      </c>
      <c r="D77" s="220">
        <v>2586.9</v>
      </c>
      <c r="E77" s="222">
        <v>4.8575999999999997</v>
      </c>
      <c r="F77" s="222"/>
      <c r="G77" s="28"/>
    </row>
    <row r="78" spans="1:7" ht="18.75" customHeight="1" x14ac:dyDescent="0.25">
      <c r="A78" s="86">
        <v>560</v>
      </c>
      <c r="B78" s="219">
        <v>2.5566999999999999E-3</v>
      </c>
      <c r="C78" s="220">
        <v>2472.4</v>
      </c>
      <c r="D78" s="220">
        <v>2702.5</v>
      </c>
      <c r="E78" s="222">
        <v>4.9981</v>
      </c>
      <c r="F78" s="222"/>
      <c r="G78" s="28"/>
    </row>
    <row r="79" spans="1:7" ht="18.75" customHeight="1" x14ac:dyDescent="0.25">
      <c r="A79" s="86">
        <v>580</v>
      </c>
      <c r="B79" s="219">
        <v>2.7612000000000001E-3</v>
      </c>
      <c r="C79" s="220">
        <v>2565.6</v>
      </c>
      <c r="D79" s="220">
        <v>2814.1</v>
      </c>
      <c r="E79" s="222">
        <v>5.1303999999999998</v>
      </c>
      <c r="F79" s="222"/>
      <c r="G79" s="28"/>
    </row>
    <row r="80" spans="1:7" ht="18.75" customHeight="1" x14ac:dyDescent="0.25">
      <c r="A80" s="86">
        <v>600</v>
      </c>
      <c r="B80" s="219">
        <v>2.9692999999999998E-3</v>
      </c>
      <c r="C80" s="220">
        <v>2653.5</v>
      </c>
      <c r="D80" s="220">
        <v>2920.7</v>
      </c>
      <c r="E80" s="222">
        <v>5.2539999999999996</v>
      </c>
      <c r="F80" s="222"/>
      <c r="G80" s="28"/>
    </row>
    <row r="81" spans="1:7" ht="18.75" customHeight="1" x14ac:dyDescent="0.25">
      <c r="A81" s="86">
        <v>620</v>
      </c>
      <c r="B81" s="219">
        <v>3.1770000000000001E-3</v>
      </c>
      <c r="C81" s="220">
        <v>2736.1</v>
      </c>
      <c r="D81" s="220">
        <v>3022</v>
      </c>
      <c r="E81" s="222">
        <v>5.3686999999999996</v>
      </c>
      <c r="F81" s="222"/>
      <c r="G81" s="28"/>
    </row>
    <row r="82" spans="1:7" ht="18.75" customHeight="1" x14ac:dyDescent="0.25">
      <c r="A82" s="86">
        <v>640</v>
      </c>
      <c r="B82" s="219">
        <v>3.3817999999999999E-3</v>
      </c>
      <c r="C82" s="220">
        <v>2813.7</v>
      </c>
      <c r="D82" s="220">
        <v>3118.1</v>
      </c>
      <c r="E82" s="222">
        <v>5.4751000000000003</v>
      </c>
      <c r="F82" s="222"/>
      <c r="G82" s="28"/>
    </row>
    <row r="83" spans="1:7" ht="18.75" customHeight="1" x14ac:dyDescent="0.25">
      <c r="A83" s="86">
        <v>660</v>
      </c>
      <c r="B83" s="219">
        <v>3.5820000000000001E-3</v>
      </c>
      <c r="C83" s="220">
        <v>2886.9</v>
      </c>
      <c r="D83" s="220">
        <v>3209.3</v>
      </c>
      <c r="E83" s="222">
        <v>5.5739999999999998</v>
      </c>
      <c r="F83" s="222"/>
      <c r="G83" s="28"/>
    </row>
    <row r="84" spans="1:7" ht="18.75" customHeight="1" x14ac:dyDescent="0.25">
      <c r="A84" s="86">
        <v>680</v>
      </c>
      <c r="B84" s="219">
        <v>3.7769000000000001E-3</v>
      </c>
      <c r="C84" s="220">
        <v>2956.3</v>
      </c>
      <c r="D84" s="220">
        <v>3296.2</v>
      </c>
      <c r="E84" s="222">
        <v>5.6661000000000001</v>
      </c>
      <c r="F84" s="222"/>
      <c r="G84" s="28"/>
    </row>
    <row r="85" spans="1:7" ht="18.75" customHeight="1" x14ac:dyDescent="0.25">
      <c r="A85" s="86">
        <v>700</v>
      </c>
      <c r="B85" s="219">
        <v>3.9661999999999996E-3</v>
      </c>
      <c r="C85" s="220">
        <v>3022.3</v>
      </c>
      <c r="D85" s="220">
        <v>3379.3</v>
      </c>
      <c r="E85" s="222">
        <v>5.7523999999999997</v>
      </c>
      <c r="F85" s="222"/>
      <c r="G85" s="28"/>
    </row>
    <row r="86" spans="1:7" ht="18.75" customHeight="1" x14ac:dyDescent="0.25">
      <c r="A86" s="86">
        <v>720</v>
      </c>
      <c r="B86" s="219">
        <v>4.15E-3</v>
      </c>
      <c r="C86" s="220">
        <v>3085.6</v>
      </c>
      <c r="D86" s="220">
        <v>3459.1</v>
      </c>
      <c r="E86" s="222">
        <v>5.8334999999999999</v>
      </c>
      <c r="F86" s="222"/>
      <c r="G86" s="28"/>
    </row>
    <row r="87" spans="1:7" ht="18.75" customHeight="1" x14ac:dyDescent="0.25">
      <c r="A87" s="86">
        <v>740</v>
      </c>
      <c r="B87" s="219">
        <v>4.3286000000000002E-3</v>
      </c>
      <c r="C87" s="220">
        <v>3146.3</v>
      </c>
      <c r="D87" s="220">
        <v>3535.9</v>
      </c>
      <c r="E87" s="222">
        <v>5.9101999999999997</v>
      </c>
      <c r="F87" s="222"/>
      <c r="G87" s="28"/>
    </row>
    <row r="88" spans="1:7" ht="18.75" customHeight="1" x14ac:dyDescent="0.25">
      <c r="A88" s="86">
        <v>760</v>
      </c>
      <c r="B88" s="219">
        <v>4.5021999999999996E-3</v>
      </c>
      <c r="C88" s="220">
        <v>3205.2</v>
      </c>
      <c r="D88" s="220">
        <v>3610.4</v>
      </c>
      <c r="E88" s="222">
        <v>5.9828999999999999</v>
      </c>
      <c r="F88" s="222"/>
      <c r="G88" s="28"/>
    </row>
    <row r="89" spans="1:7" ht="18.75" customHeight="1" x14ac:dyDescent="0.25">
      <c r="A89" s="86">
        <v>780</v>
      </c>
      <c r="B89" s="219">
        <v>4.6712999999999998E-3</v>
      </c>
      <c r="C89" s="220">
        <v>3262.2</v>
      </c>
      <c r="D89" s="220">
        <v>3682.6</v>
      </c>
      <c r="E89" s="222">
        <v>6.0522</v>
      </c>
      <c r="F89" s="222"/>
      <c r="G89" s="28"/>
    </row>
    <row r="90" spans="1:7" ht="18.75" customHeight="1" x14ac:dyDescent="0.25">
      <c r="A90" s="86">
        <v>800</v>
      </c>
      <c r="B90" s="219">
        <v>4.8361999999999997E-3</v>
      </c>
      <c r="C90" s="220">
        <v>3317.7</v>
      </c>
      <c r="D90" s="220">
        <v>3753</v>
      </c>
      <c r="E90" s="222">
        <v>6.1184000000000003</v>
      </c>
      <c r="F90" s="222"/>
      <c r="G90" s="28"/>
    </row>
    <row r="91" spans="1:7" ht="18.75" customHeight="1" x14ac:dyDescent="0.25">
      <c r="A91" s="86">
        <v>820</v>
      </c>
      <c r="B91" s="219">
        <v>4.9972000000000003E-3</v>
      </c>
      <c r="C91" s="220">
        <v>3372.2</v>
      </c>
      <c r="D91" s="220">
        <v>3821.9</v>
      </c>
      <c r="E91" s="222">
        <v>6.1820000000000004</v>
      </c>
      <c r="F91" s="222"/>
      <c r="G91" s="28"/>
    </row>
    <row r="92" spans="1:7" ht="18.75" customHeight="1" x14ac:dyDescent="0.25">
      <c r="A92" s="86">
        <v>840</v>
      </c>
      <c r="B92" s="219">
        <v>5.1545999999999996E-3</v>
      </c>
      <c r="C92" s="220">
        <v>3425.4</v>
      </c>
      <c r="D92" s="220">
        <v>3889.3</v>
      </c>
      <c r="E92" s="222">
        <v>6.2431000000000001</v>
      </c>
      <c r="F92" s="222"/>
      <c r="G92" s="28"/>
    </row>
    <row r="93" spans="1:7" ht="18.75" customHeight="1" x14ac:dyDescent="0.25">
      <c r="A93" s="86">
        <v>860</v>
      </c>
      <c r="B93" s="219">
        <v>5.3087999999999998E-3</v>
      </c>
      <c r="C93" s="220">
        <v>3477.7</v>
      </c>
      <c r="D93" s="220">
        <v>3955.5</v>
      </c>
      <c r="E93" s="222">
        <v>6.3021000000000003</v>
      </c>
      <c r="F93" s="222"/>
      <c r="G93" s="28"/>
    </row>
    <row r="94" spans="1:7" ht="18.75" customHeight="1" x14ac:dyDescent="0.25">
      <c r="A94" s="86">
        <v>880</v>
      </c>
      <c r="B94" s="219">
        <v>5.4599000000000002E-3</v>
      </c>
      <c r="C94" s="220">
        <v>3529.3</v>
      </c>
      <c r="D94" s="220">
        <v>4020.7</v>
      </c>
      <c r="E94" s="222">
        <v>6.3590999999999998</v>
      </c>
      <c r="F94" s="222"/>
      <c r="G94" s="28"/>
    </row>
    <row r="95" spans="1:7" ht="18.75" customHeight="1" x14ac:dyDescent="0.25">
      <c r="A95" s="86">
        <v>900</v>
      </c>
      <c r="B95" s="219">
        <v>5.6083000000000001E-3</v>
      </c>
      <c r="C95" s="220">
        <v>3580.3</v>
      </c>
      <c r="D95" s="220">
        <v>4085</v>
      </c>
      <c r="E95" s="222">
        <v>6.4143999999999997</v>
      </c>
      <c r="F95" s="222"/>
      <c r="G95" s="28"/>
    </row>
    <row r="96" spans="1:7" ht="18.75" customHeight="1" x14ac:dyDescent="0.25">
      <c r="A96" s="86">
        <v>920</v>
      </c>
      <c r="B96" s="219">
        <v>5.7542000000000001E-3</v>
      </c>
      <c r="C96" s="220">
        <v>3630.6</v>
      </c>
      <c r="D96" s="220">
        <v>4148.5</v>
      </c>
      <c r="E96" s="222">
        <v>6.468</v>
      </c>
      <c r="F96" s="222"/>
      <c r="G96" s="28"/>
    </row>
    <row r="97" spans="1:7" ht="18.75" customHeight="1" x14ac:dyDescent="0.25">
      <c r="A97" s="86">
        <v>940</v>
      </c>
      <c r="B97" s="219">
        <v>5.8976000000000002E-3</v>
      </c>
      <c r="C97" s="220">
        <v>3680.4</v>
      </c>
      <c r="D97" s="220">
        <v>4211.2</v>
      </c>
      <c r="E97" s="222">
        <v>6.5202</v>
      </c>
      <c r="F97" s="222"/>
      <c r="G97" s="28"/>
    </row>
    <row r="98" spans="1:7" ht="18.75" customHeight="1" x14ac:dyDescent="0.25">
      <c r="A98" s="86">
        <v>960</v>
      </c>
      <c r="B98" s="219">
        <v>6.0390000000000001E-3</v>
      </c>
      <c r="C98" s="220">
        <v>3729.9</v>
      </c>
      <c r="D98" s="220">
        <v>4273.3999999999996</v>
      </c>
      <c r="E98" s="222">
        <v>6.5709999999999997</v>
      </c>
      <c r="F98" s="222"/>
      <c r="G98" s="28"/>
    </row>
    <row r="99" spans="1:7" ht="18.75" customHeight="1" x14ac:dyDescent="0.25">
      <c r="A99" s="86">
        <v>980</v>
      </c>
      <c r="B99" s="219">
        <v>6.1782E-3</v>
      </c>
      <c r="C99" s="220">
        <v>3779</v>
      </c>
      <c r="D99" s="220">
        <v>4335</v>
      </c>
      <c r="E99" s="222">
        <v>6.6205999999999996</v>
      </c>
      <c r="F99" s="222"/>
      <c r="G99" s="28"/>
    </row>
    <row r="100" spans="1:7" ht="18.75" customHeight="1" x14ac:dyDescent="0.25">
      <c r="A100" s="86">
        <v>1000</v>
      </c>
      <c r="B100" s="219">
        <v>6.3156999999999996E-3</v>
      </c>
      <c r="C100" s="220">
        <v>3827.8</v>
      </c>
      <c r="D100" s="220">
        <v>4396.2</v>
      </c>
      <c r="E100" s="222">
        <v>6.6689999999999996</v>
      </c>
      <c r="F100" s="222"/>
      <c r="G100" s="28"/>
    </row>
  </sheetData>
  <mergeCells count="49">
    <mergeCell ref="E97:F97"/>
    <mergeCell ref="E98:F98"/>
    <mergeCell ref="E99:F99"/>
    <mergeCell ref="E100:F100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82:F82"/>
    <mergeCell ref="E83:F83"/>
    <mergeCell ref="E84:F84"/>
    <mergeCell ref="E85:F85"/>
    <mergeCell ref="E86:F86"/>
    <mergeCell ref="E77:F77"/>
    <mergeCell ref="E78:F78"/>
    <mergeCell ref="E79:F79"/>
    <mergeCell ref="E80:F80"/>
    <mergeCell ref="E81:F81"/>
    <mergeCell ref="E72:F72"/>
    <mergeCell ref="E73:F73"/>
    <mergeCell ref="E74:F74"/>
    <mergeCell ref="E75:F75"/>
    <mergeCell ref="E76:F76"/>
    <mergeCell ref="E67:F67"/>
    <mergeCell ref="E68:F68"/>
    <mergeCell ref="E69:F69"/>
    <mergeCell ref="E70:F70"/>
    <mergeCell ref="E71:F71"/>
    <mergeCell ref="E62:F62"/>
    <mergeCell ref="E63:F63"/>
    <mergeCell ref="E64:F64"/>
    <mergeCell ref="E65:F65"/>
    <mergeCell ref="E66:F66"/>
    <mergeCell ref="E57:F57"/>
    <mergeCell ref="E58:F58"/>
    <mergeCell ref="E59:F59"/>
    <mergeCell ref="E60:F60"/>
    <mergeCell ref="E61:F61"/>
    <mergeCell ref="A1:G1"/>
    <mergeCell ref="E53:F53"/>
    <mergeCell ref="E54:F54"/>
    <mergeCell ref="E55:F55"/>
    <mergeCell ref="E56:F56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H100"/>
  <sheetViews>
    <sheetView topLeftCell="A80" workbookViewId="0">
      <selection activeCell="A5" sqref="A5:A100"/>
    </sheetView>
  </sheetViews>
  <sheetFormatPr defaultRowHeight="13.2" x14ac:dyDescent="0.25"/>
  <cols>
    <col min="1" max="1" width="8.44140625" customWidth="1"/>
    <col min="2" max="2" width="13.77734375" customWidth="1"/>
    <col min="3" max="3" width="9.88671875" customWidth="1"/>
    <col min="4" max="4" width="8.77734375" customWidth="1"/>
    <col min="5" max="5" width="9.77734375" customWidth="1"/>
    <col min="6" max="6" width="9.44140625" customWidth="1"/>
    <col min="7" max="7" width="1.109375" hidden="1" customWidth="1"/>
    <col min="8" max="8" width="78.88671875" customWidth="1"/>
  </cols>
  <sheetData>
    <row r="1" spans="1:8" ht="18.75" customHeight="1" x14ac:dyDescent="0.25">
      <c r="A1" s="193" t="s">
        <v>111</v>
      </c>
      <c r="B1" s="193"/>
      <c r="C1" s="193"/>
      <c r="D1" s="193"/>
      <c r="E1" s="193"/>
      <c r="F1" s="193"/>
      <c r="G1" s="193"/>
      <c r="H1" s="193"/>
    </row>
    <row r="2" spans="1:8" ht="18.75" customHeight="1" x14ac:dyDescent="0.25">
      <c r="A2" s="89" t="s">
        <v>126</v>
      </c>
      <c r="B2" s="90">
        <v>100000</v>
      </c>
      <c r="C2" s="71"/>
      <c r="D2" s="71"/>
      <c r="E2" s="71"/>
      <c r="F2" s="71"/>
      <c r="G2" s="71"/>
      <c r="H2" s="71"/>
    </row>
    <row r="3" spans="1:8" ht="15.75" customHeight="1" x14ac:dyDescent="0.25">
      <c r="A3" s="75" t="s">
        <v>26</v>
      </c>
      <c r="B3" s="77" t="s">
        <v>27</v>
      </c>
      <c r="C3" s="77" t="s">
        <v>28</v>
      </c>
      <c r="D3" s="77" t="s">
        <v>29</v>
      </c>
      <c r="E3" s="77" t="s">
        <v>30</v>
      </c>
      <c r="F3" s="77"/>
      <c r="G3" s="28"/>
      <c r="H3" s="28"/>
    </row>
    <row r="4" spans="1:8" ht="18.75" customHeight="1" x14ac:dyDescent="0.25">
      <c r="A4" s="71" t="s">
        <v>31</v>
      </c>
      <c r="B4" s="76" t="s">
        <v>18</v>
      </c>
      <c r="C4" s="78" t="s">
        <v>19</v>
      </c>
      <c r="D4" s="78" t="s">
        <v>19</v>
      </c>
      <c r="E4" s="78" t="s">
        <v>32</v>
      </c>
      <c r="F4" s="78"/>
      <c r="G4" s="28"/>
      <c r="H4" s="28"/>
    </row>
    <row r="5" spans="1:8" ht="18.75" customHeight="1" x14ac:dyDescent="0.25">
      <c r="A5" s="87">
        <v>0</v>
      </c>
      <c r="B5" s="79">
        <v>9.5668000000000001E-4</v>
      </c>
      <c r="C5" s="80">
        <v>-0.27</v>
      </c>
      <c r="D5" s="80">
        <v>95.4</v>
      </c>
      <c r="E5" s="81">
        <v>-8.5100000000000002E-3</v>
      </c>
      <c r="F5" s="81"/>
      <c r="G5" s="28"/>
      <c r="H5" s="28"/>
    </row>
    <row r="6" spans="1:8" ht="18.75" customHeight="1" x14ac:dyDescent="0.25">
      <c r="A6" s="87">
        <v>5</v>
      </c>
      <c r="B6" s="79">
        <v>9.5775999999999999E-4</v>
      </c>
      <c r="C6" s="80">
        <v>19.21</v>
      </c>
      <c r="D6" s="80">
        <v>114.99</v>
      </c>
      <c r="E6" s="81">
        <v>6.2520000000000006E-2</v>
      </c>
      <c r="F6" s="81"/>
      <c r="G6" s="28"/>
      <c r="H6" s="28"/>
    </row>
    <row r="7" spans="1:8" ht="18.75" customHeight="1" x14ac:dyDescent="0.25">
      <c r="A7" s="87">
        <v>10</v>
      </c>
      <c r="B7" s="79">
        <v>9.59E-4</v>
      </c>
      <c r="C7" s="80">
        <v>38.76</v>
      </c>
      <c r="D7" s="80">
        <v>134.66</v>
      </c>
      <c r="E7" s="81">
        <v>0.13263</v>
      </c>
      <c r="F7" s="81"/>
      <c r="G7" s="28"/>
      <c r="H7" s="28"/>
    </row>
    <row r="8" spans="1:8" ht="18.75" customHeight="1" x14ac:dyDescent="0.25">
      <c r="A8" s="87">
        <v>15</v>
      </c>
      <c r="B8" s="79">
        <v>9.6037E-4</v>
      </c>
      <c r="C8" s="80">
        <v>58.37</v>
      </c>
      <c r="D8" s="80">
        <v>154.41</v>
      </c>
      <c r="E8" s="81">
        <v>0.20175999999999999</v>
      </c>
      <c r="F8" s="81"/>
      <c r="G8" s="28"/>
      <c r="H8" s="28"/>
    </row>
    <row r="9" spans="1:8" ht="18.75" customHeight="1" x14ac:dyDescent="0.25">
      <c r="A9" s="87">
        <v>20</v>
      </c>
      <c r="B9" s="79">
        <v>9.6188000000000003E-4</v>
      </c>
      <c r="C9" s="80">
        <v>78.03</v>
      </c>
      <c r="D9" s="80">
        <v>174.22</v>
      </c>
      <c r="E9" s="81">
        <v>0.26991999999999999</v>
      </c>
      <c r="F9" s="81"/>
      <c r="G9" s="28"/>
      <c r="H9" s="28"/>
    </row>
    <row r="10" spans="1:8" ht="18.75" customHeight="1" x14ac:dyDescent="0.25">
      <c r="A10" s="87">
        <v>25</v>
      </c>
      <c r="B10" s="79">
        <v>9.6351E-4</v>
      </c>
      <c r="C10" s="80">
        <v>97.73</v>
      </c>
      <c r="D10" s="80">
        <v>194.08</v>
      </c>
      <c r="E10" s="81">
        <v>0.33710000000000001</v>
      </c>
      <c r="F10" s="81"/>
      <c r="G10" s="28"/>
      <c r="H10" s="28"/>
    </row>
    <row r="11" spans="1:8" ht="18.75" customHeight="1" x14ac:dyDescent="0.25">
      <c r="A11" s="87">
        <v>30</v>
      </c>
      <c r="B11" s="79">
        <v>9.6524999999999996E-4</v>
      </c>
      <c r="C11" s="80">
        <v>117.45</v>
      </c>
      <c r="D11" s="80">
        <v>213.98</v>
      </c>
      <c r="E11" s="81">
        <v>0.40331</v>
      </c>
      <c r="F11" s="81"/>
      <c r="G11" s="28"/>
      <c r="H11" s="28"/>
    </row>
    <row r="12" spans="1:8" ht="18.75" customHeight="1" x14ac:dyDescent="0.25">
      <c r="A12" s="87">
        <v>35</v>
      </c>
      <c r="B12" s="79">
        <v>9.6710999999999997E-4</v>
      </c>
      <c r="C12" s="80">
        <v>137.21</v>
      </c>
      <c r="D12" s="80">
        <v>233.92</v>
      </c>
      <c r="E12" s="81">
        <v>0.46855000000000002</v>
      </c>
      <c r="F12" s="81"/>
      <c r="G12" s="28"/>
      <c r="H12" s="28"/>
    </row>
    <row r="13" spans="1:8" ht="18.75" customHeight="1" x14ac:dyDescent="0.25">
      <c r="A13" s="87">
        <v>40</v>
      </c>
      <c r="B13" s="79">
        <v>9.6907000000000004E-4</v>
      </c>
      <c r="C13" s="80">
        <v>156.99</v>
      </c>
      <c r="D13" s="80">
        <v>253.9</v>
      </c>
      <c r="E13" s="81">
        <v>0.53283999999999998</v>
      </c>
      <c r="F13" s="81"/>
      <c r="G13" s="28"/>
      <c r="H13" s="28"/>
    </row>
    <row r="14" spans="1:8" ht="18.75" customHeight="1" x14ac:dyDescent="0.25">
      <c r="A14" s="87">
        <v>45</v>
      </c>
      <c r="B14" s="79">
        <v>9.7114E-4</v>
      </c>
      <c r="C14" s="80">
        <v>176.79</v>
      </c>
      <c r="D14" s="80">
        <v>273.89999999999998</v>
      </c>
      <c r="E14" s="81">
        <v>0.59619999999999995</v>
      </c>
      <c r="F14" s="81"/>
      <c r="G14" s="28"/>
      <c r="H14" s="28"/>
    </row>
    <row r="15" spans="1:8" ht="18.75" customHeight="1" x14ac:dyDescent="0.25">
      <c r="A15" s="87">
        <v>50</v>
      </c>
      <c r="B15" s="79">
        <v>9.7329999999999997E-4</v>
      </c>
      <c r="C15" s="80">
        <v>196.59</v>
      </c>
      <c r="D15" s="80">
        <v>293.92</v>
      </c>
      <c r="E15" s="81">
        <v>0.65864999999999996</v>
      </c>
      <c r="F15" s="81"/>
      <c r="G15" s="28"/>
      <c r="H15" s="28"/>
    </row>
    <row r="16" spans="1:8" ht="18.75" customHeight="1" x14ac:dyDescent="0.25">
      <c r="A16" s="87">
        <v>55</v>
      </c>
      <c r="B16" s="79">
        <v>9.7557000000000004E-4</v>
      </c>
      <c r="C16" s="80">
        <v>216.41</v>
      </c>
      <c r="D16" s="80">
        <v>313.97000000000003</v>
      </c>
      <c r="E16" s="81">
        <v>0.72021000000000002</v>
      </c>
      <c r="F16" s="81"/>
      <c r="G16" s="28"/>
      <c r="H16" s="28"/>
    </row>
    <row r="17" spans="1:8" ht="18.75" customHeight="1" x14ac:dyDescent="0.25">
      <c r="A17" s="87">
        <v>60</v>
      </c>
      <c r="B17" s="79">
        <v>9.7794000000000006E-4</v>
      </c>
      <c r="C17" s="80">
        <v>236.24</v>
      </c>
      <c r="D17" s="80">
        <v>334.03</v>
      </c>
      <c r="E17" s="81">
        <v>0.78088999999999997</v>
      </c>
      <c r="F17" s="81"/>
      <c r="G17" s="28"/>
      <c r="H17" s="28"/>
    </row>
    <row r="18" spans="1:8" ht="18.75" customHeight="1" x14ac:dyDescent="0.25">
      <c r="A18" s="87">
        <v>65</v>
      </c>
      <c r="B18" s="79">
        <v>9.8039999999999998E-4</v>
      </c>
      <c r="C18" s="80">
        <v>256.07</v>
      </c>
      <c r="D18" s="80">
        <v>354.11</v>
      </c>
      <c r="E18" s="81">
        <v>0.84072999999999998</v>
      </c>
      <c r="F18" s="81"/>
      <c r="G18" s="28"/>
      <c r="H18" s="28"/>
    </row>
    <row r="19" spans="1:8" ht="18.75" customHeight="1" x14ac:dyDescent="0.25">
      <c r="A19" s="87">
        <v>70</v>
      </c>
      <c r="B19" s="79">
        <v>9.8295000000000001E-4</v>
      </c>
      <c r="C19" s="80">
        <v>275.91000000000003</v>
      </c>
      <c r="D19" s="80">
        <v>374.21</v>
      </c>
      <c r="E19" s="81">
        <v>0.89973000000000003</v>
      </c>
      <c r="F19" s="81"/>
      <c r="G19" s="28"/>
      <c r="H19" s="28"/>
    </row>
    <row r="20" spans="1:8" ht="18.75" customHeight="1" x14ac:dyDescent="0.25">
      <c r="A20" s="87">
        <v>75</v>
      </c>
      <c r="B20" s="79">
        <v>9.856000000000001E-4</v>
      </c>
      <c r="C20" s="80">
        <v>295.77</v>
      </c>
      <c r="D20" s="80">
        <v>394.33</v>
      </c>
      <c r="E20" s="81">
        <v>0.95791999999999999</v>
      </c>
      <c r="F20" s="81"/>
      <c r="G20" s="28"/>
      <c r="H20" s="28"/>
    </row>
    <row r="21" spans="1:8" ht="18.75" customHeight="1" x14ac:dyDescent="0.25">
      <c r="A21" s="87">
        <v>80</v>
      </c>
      <c r="B21" s="79">
        <v>9.8835000000000004E-4</v>
      </c>
      <c r="C21" s="80">
        <v>315.62</v>
      </c>
      <c r="D21" s="80">
        <v>414.45</v>
      </c>
      <c r="E21" s="82">
        <v>1.0153000000000001</v>
      </c>
      <c r="F21" s="82"/>
      <c r="G21" s="28"/>
      <c r="H21" s="28"/>
    </row>
    <row r="22" spans="1:8" ht="18.75" customHeight="1" x14ac:dyDescent="0.25">
      <c r="A22" s="87">
        <v>85</v>
      </c>
      <c r="B22" s="79">
        <v>9.9117999999999993E-4</v>
      </c>
      <c r="C22" s="80">
        <v>335.48</v>
      </c>
      <c r="D22" s="80">
        <v>434.6</v>
      </c>
      <c r="E22" s="82">
        <v>1.0720000000000001</v>
      </c>
      <c r="F22" s="82"/>
      <c r="G22" s="28"/>
      <c r="H22" s="28"/>
    </row>
    <row r="23" spans="1:8" ht="18.75" customHeight="1" x14ac:dyDescent="0.25">
      <c r="A23" s="87">
        <v>90</v>
      </c>
      <c r="B23" s="79">
        <v>9.9411000000000009E-4</v>
      </c>
      <c r="C23" s="80">
        <v>355.34</v>
      </c>
      <c r="D23" s="80">
        <v>454.75</v>
      </c>
      <c r="E23" s="82">
        <v>1.1278999999999999</v>
      </c>
      <c r="F23" s="82"/>
      <c r="G23" s="28"/>
      <c r="H23" s="28"/>
    </row>
    <row r="24" spans="1:8" ht="18.75" customHeight="1" x14ac:dyDescent="0.25">
      <c r="A24" s="87">
        <v>95</v>
      </c>
      <c r="B24" s="79">
        <v>9.9712999999999993E-4</v>
      </c>
      <c r="C24" s="80">
        <v>375.21</v>
      </c>
      <c r="D24" s="80">
        <v>474.92</v>
      </c>
      <c r="E24" s="82">
        <v>1.1830000000000001</v>
      </c>
      <c r="F24" s="82"/>
      <c r="G24" s="28"/>
      <c r="H24" s="28"/>
    </row>
    <row r="25" spans="1:8" ht="18.75" customHeight="1" x14ac:dyDescent="0.25">
      <c r="A25" s="87">
        <v>100</v>
      </c>
      <c r="B25" s="79">
        <v>1.0002399999999999E-3</v>
      </c>
      <c r="C25" s="80">
        <v>395.09</v>
      </c>
      <c r="D25" s="80">
        <v>495.11</v>
      </c>
      <c r="E25" s="82">
        <v>1.2375</v>
      </c>
      <c r="F25" s="82"/>
      <c r="G25" s="28"/>
      <c r="H25" s="28"/>
    </row>
    <row r="26" spans="1:8" ht="18.75" customHeight="1" x14ac:dyDescent="0.25">
      <c r="A26" s="87">
        <v>105</v>
      </c>
      <c r="B26" s="79">
        <v>1.00344E-3</v>
      </c>
      <c r="C26" s="80">
        <v>414.97</v>
      </c>
      <c r="D26" s="80">
        <v>515.30999999999995</v>
      </c>
      <c r="E26" s="82">
        <v>1.2912999999999999</v>
      </c>
      <c r="F26" s="82"/>
      <c r="G26" s="28"/>
      <c r="H26" s="28"/>
    </row>
    <row r="27" spans="1:8" ht="18.75" customHeight="1" x14ac:dyDescent="0.25">
      <c r="A27" s="87">
        <v>110</v>
      </c>
      <c r="B27" s="79">
        <v>1.00673E-3</v>
      </c>
      <c r="C27" s="80">
        <v>434.86</v>
      </c>
      <c r="D27" s="80">
        <v>535.53</v>
      </c>
      <c r="E27" s="82">
        <v>1.3444</v>
      </c>
      <c r="F27" s="82"/>
      <c r="G27" s="28"/>
      <c r="H27" s="28"/>
    </row>
    <row r="28" spans="1:8" ht="18.75" customHeight="1" x14ac:dyDescent="0.25">
      <c r="A28" s="87">
        <v>115</v>
      </c>
      <c r="B28" s="79">
        <v>1.01012E-3</v>
      </c>
      <c r="C28" s="80">
        <v>454.75</v>
      </c>
      <c r="D28" s="80">
        <v>555.76</v>
      </c>
      <c r="E28" s="82">
        <v>1.3968</v>
      </c>
      <c r="F28" s="82"/>
      <c r="G28" s="28"/>
      <c r="H28" s="28"/>
    </row>
    <row r="29" spans="1:8" ht="18.75" customHeight="1" x14ac:dyDescent="0.25">
      <c r="A29" s="87">
        <v>120</v>
      </c>
      <c r="B29" s="79">
        <v>1.0135999999999999E-3</v>
      </c>
      <c r="C29" s="80">
        <v>474.65</v>
      </c>
      <c r="D29" s="80">
        <v>576.01</v>
      </c>
      <c r="E29" s="82">
        <v>1.4487000000000001</v>
      </c>
      <c r="F29" s="82"/>
      <c r="G29" s="28"/>
      <c r="H29" s="28"/>
    </row>
    <row r="30" spans="1:8" ht="18.75" customHeight="1" x14ac:dyDescent="0.25">
      <c r="A30" s="87">
        <v>125</v>
      </c>
      <c r="B30" s="79">
        <v>1.01717E-3</v>
      </c>
      <c r="C30" s="80">
        <v>494.55</v>
      </c>
      <c r="D30" s="80">
        <v>596.27</v>
      </c>
      <c r="E30" s="82">
        <v>1.4999</v>
      </c>
      <c r="F30" s="82"/>
      <c r="G30" s="28"/>
      <c r="H30" s="28"/>
    </row>
    <row r="31" spans="1:8" ht="18.75" customHeight="1" x14ac:dyDescent="0.25">
      <c r="A31" s="87">
        <v>130</v>
      </c>
      <c r="B31" s="79">
        <v>1.0208299999999999E-3</v>
      </c>
      <c r="C31" s="80">
        <v>514.48</v>
      </c>
      <c r="D31" s="80">
        <v>616.55999999999995</v>
      </c>
      <c r="E31" s="82">
        <v>1.5505</v>
      </c>
      <c r="F31" s="82"/>
      <c r="G31" s="28"/>
      <c r="H31" s="28"/>
    </row>
    <row r="32" spans="1:8" ht="18.75" customHeight="1" x14ac:dyDescent="0.25">
      <c r="A32" s="87">
        <v>135</v>
      </c>
      <c r="B32" s="79">
        <v>1.0245899999999999E-3</v>
      </c>
      <c r="C32" s="80">
        <v>534.41</v>
      </c>
      <c r="D32" s="80">
        <v>636.87</v>
      </c>
      <c r="E32" s="82">
        <v>1.6006</v>
      </c>
      <c r="F32" s="82"/>
      <c r="G32" s="28"/>
      <c r="H32" s="28"/>
    </row>
    <row r="33" spans="1:8" ht="18.75" customHeight="1" x14ac:dyDescent="0.25">
      <c r="A33" s="87">
        <v>140</v>
      </c>
      <c r="B33" s="79">
        <v>1.02844E-3</v>
      </c>
      <c r="C33" s="80">
        <v>554.36</v>
      </c>
      <c r="D33" s="80">
        <v>657.2</v>
      </c>
      <c r="E33" s="82">
        <v>1.6500999999999999</v>
      </c>
      <c r="F33" s="82"/>
      <c r="G33" s="28"/>
      <c r="H33" s="28"/>
    </row>
    <row r="34" spans="1:8" ht="18.75" customHeight="1" x14ac:dyDescent="0.25">
      <c r="A34" s="87">
        <v>145</v>
      </c>
      <c r="B34" s="79">
        <v>1.03239E-3</v>
      </c>
      <c r="C34" s="80">
        <v>574.30999999999995</v>
      </c>
      <c r="D34" s="80">
        <v>677.55</v>
      </c>
      <c r="E34" s="82">
        <v>1.6991000000000001</v>
      </c>
      <c r="F34" s="82"/>
      <c r="G34" s="28"/>
      <c r="H34" s="28"/>
    </row>
    <row r="35" spans="1:8" ht="18.75" customHeight="1" x14ac:dyDescent="0.25">
      <c r="A35" s="87">
        <v>150</v>
      </c>
      <c r="B35" s="79">
        <v>1.0364300000000001E-3</v>
      </c>
      <c r="C35" s="80">
        <v>594.29</v>
      </c>
      <c r="D35" s="80">
        <v>697.93</v>
      </c>
      <c r="E35" s="82">
        <v>1.7475000000000001</v>
      </c>
      <c r="F35" s="82"/>
      <c r="G35" s="28"/>
      <c r="H35" s="28"/>
    </row>
    <row r="36" spans="1:8" ht="18.75" customHeight="1" x14ac:dyDescent="0.25">
      <c r="A36" s="87">
        <v>155</v>
      </c>
      <c r="B36" s="79">
        <v>1.0405799999999999E-3</v>
      </c>
      <c r="C36" s="80">
        <v>614.27</v>
      </c>
      <c r="D36" s="80">
        <v>718.33</v>
      </c>
      <c r="E36" s="82">
        <v>1.7954000000000001</v>
      </c>
      <c r="F36" s="82"/>
      <c r="G36" s="28"/>
      <c r="H36" s="28"/>
    </row>
    <row r="37" spans="1:8" ht="18.75" customHeight="1" x14ac:dyDescent="0.25">
      <c r="A37" s="87">
        <v>160</v>
      </c>
      <c r="B37" s="79">
        <v>1.0448199999999999E-3</v>
      </c>
      <c r="C37" s="80">
        <v>634.28</v>
      </c>
      <c r="D37" s="80">
        <v>738.76</v>
      </c>
      <c r="E37" s="82">
        <v>1.8429</v>
      </c>
      <c r="F37" s="82"/>
      <c r="G37" s="28"/>
      <c r="H37" s="28"/>
    </row>
    <row r="38" spans="1:8" ht="18.75" customHeight="1" x14ac:dyDescent="0.25">
      <c r="A38" s="87">
        <v>165</v>
      </c>
      <c r="B38" s="79">
        <v>1.0491599999999999E-3</v>
      </c>
      <c r="C38" s="80">
        <v>654.30999999999995</v>
      </c>
      <c r="D38" s="80">
        <v>759.23</v>
      </c>
      <c r="E38" s="82">
        <v>1.8897999999999999</v>
      </c>
      <c r="F38" s="82"/>
      <c r="G38" s="28"/>
      <c r="H38" s="28"/>
    </row>
    <row r="39" spans="1:8" ht="18.75" customHeight="1" x14ac:dyDescent="0.25">
      <c r="A39" s="87">
        <v>170</v>
      </c>
      <c r="B39" s="79">
        <v>1.05361E-3</v>
      </c>
      <c r="C39" s="80">
        <v>674.36</v>
      </c>
      <c r="D39" s="80">
        <v>779.72</v>
      </c>
      <c r="E39" s="82">
        <v>1.9363999999999999</v>
      </c>
      <c r="F39" s="82"/>
      <c r="G39" s="28"/>
      <c r="H39" s="28"/>
    </row>
    <row r="40" spans="1:8" ht="18.75" customHeight="1" x14ac:dyDescent="0.25">
      <c r="A40" s="87">
        <v>175</v>
      </c>
      <c r="B40" s="79">
        <v>1.05816E-3</v>
      </c>
      <c r="C40" s="80">
        <v>694.42</v>
      </c>
      <c r="D40" s="80">
        <v>800.24</v>
      </c>
      <c r="E40" s="82">
        <v>1.9823999999999999</v>
      </c>
      <c r="F40" s="82"/>
      <c r="G40" s="28"/>
      <c r="H40" s="28"/>
    </row>
    <row r="41" spans="1:8" ht="18.75" customHeight="1" x14ac:dyDescent="0.25">
      <c r="A41" s="87">
        <v>180</v>
      </c>
      <c r="B41" s="79">
        <v>1.0628199999999999E-3</v>
      </c>
      <c r="C41" s="80">
        <v>714.52</v>
      </c>
      <c r="D41" s="80">
        <v>820.8</v>
      </c>
      <c r="E41" s="82">
        <v>2.028</v>
      </c>
      <c r="F41" s="82"/>
      <c r="G41" s="28"/>
      <c r="H41" s="28"/>
    </row>
    <row r="42" spans="1:8" ht="18.75" customHeight="1" x14ac:dyDescent="0.25">
      <c r="A42" s="87">
        <v>185</v>
      </c>
      <c r="B42" s="79">
        <v>1.06758E-3</v>
      </c>
      <c r="C42" s="80">
        <v>734.63</v>
      </c>
      <c r="D42" s="80">
        <v>841.39</v>
      </c>
      <c r="E42" s="82">
        <v>2.0731999999999999</v>
      </c>
      <c r="F42" s="82"/>
      <c r="G42" s="28"/>
      <c r="H42" s="28"/>
    </row>
    <row r="43" spans="1:8" ht="18.75" customHeight="1" x14ac:dyDescent="0.25">
      <c r="A43" s="87">
        <v>190</v>
      </c>
      <c r="B43" s="79">
        <v>1.0724599999999999E-3</v>
      </c>
      <c r="C43" s="80">
        <v>754.77</v>
      </c>
      <c r="D43" s="80">
        <v>862.02</v>
      </c>
      <c r="E43" s="82">
        <v>2.1179999999999999</v>
      </c>
      <c r="F43" s="82"/>
      <c r="G43" s="28"/>
      <c r="H43" s="28"/>
    </row>
    <row r="44" spans="1:8" ht="18.75" customHeight="1" x14ac:dyDescent="0.25">
      <c r="A44" s="87">
        <v>195</v>
      </c>
      <c r="B44" s="79">
        <v>1.07745E-3</v>
      </c>
      <c r="C44" s="80">
        <v>774.95</v>
      </c>
      <c r="D44" s="80">
        <v>882.69</v>
      </c>
      <c r="E44" s="82">
        <v>2.1623999999999999</v>
      </c>
      <c r="F44" s="82"/>
      <c r="G44" s="28"/>
      <c r="H44" s="28"/>
    </row>
    <row r="45" spans="1:8" ht="18.75" customHeight="1" x14ac:dyDescent="0.25">
      <c r="A45" s="87">
        <v>200</v>
      </c>
      <c r="B45" s="79">
        <v>1.08256E-3</v>
      </c>
      <c r="C45" s="80">
        <v>795.14</v>
      </c>
      <c r="D45" s="80">
        <v>903.4</v>
      </c>
      <c r="E45" s="82">
        <v>2.2063999999999999</v>
      </c>
      <c r="F45" s="82"/>
      <c r="G45" s="28"/>
      <c r="H45" s="28"/>
    </row>
    <row r="46" spans="1:8" ht="18.75" customHeight="1" x14ac:dyDescent="0.25">
      <c r="A46" s="87">
        <v>210</v>
      </c>
      <c r="B46" s="79">
        <v>1.0931300000000001E-3</v>
      </c>
      <c r="C46" s="80">
        <v>835.63</v>
      </c>
      <c r="D46" s="80">
        <v>944.94</v>
      </c>
      <c r="E46" s="82">
        <v>2.2932999999999999</v>
      </c>
      <c r="F46" s="82"/>
      <c r="G46" s="28"/>
      <c r="H46" s="28"/>
    </row>
    <row r="47" spans="1:8" ht="18.75" customHeight="1" x14ac:dyDescent="0.25">
      <c r="A47" s="87">
        <v>220</v>
      </c>
      <c r="B47" s="79">
        <v>1.1042000000000001E-3</v>
      </c>
      <c r="C47" s="80">
        <v>876.26</v>
      </c>
      <c r="D47" s="80">
        <v>986.68</v>
      </c>
      <c r="E47" s="82">
        <v>2.3788</v>
      </c>
      <c r="F47" s="82"/>
      <c r="G47" s="28"/>
      <c r="H47" s="28"/>
    </row>
    <row r="48" spans="1:8" ht="18.75" customHeight="1" x14ac:dyDescent="0.25">
      <c r="A48" s="87">
        <v>230</v>
      </c>
      <c r="B48" s="79">
        <v>1.11579E-3</v>
      </c>
      <c r="C48" s="80">
        <v>917.02</v>
      </c>
      <c r="D48" s="83">
        <v>1028.5999999999999</v>
      </c>
      <c r="E48" s="82">
        <v>2.4628999999999999</v>
      </c>
      <c r="F48" s="82"/>
      <c r="G48" s="28"/>
      <c r="H48" s="28"/>
    </row>
    <row r="49" spans="1:8" ht="18.75" customHeight="1" x14ac:dyDescent="0.25">
      <c r="A49" s="87">
        <v>240</v>
      </c>
      <c r="B49" s="79">
        <v>1.12795E-3</v>
      </c>
      <c r="C49" s="80">
        <v>958.01</v>
      </c>
      <c r="D49" s="83">
        <v>1070.8</v>
      </c>
      <c r="E49" s="82">
        <v>2.5459000000000001</v>
      </c>
      <c r="F49" s="82"/>
      <c r="G49" s="28"/>
      <c r="H49" s="28"/>
    </row>
    <row r="50" spans="1:8" ht="18.75" customHeight="1" x14ac:dyDescent="0.25">
      <c r="A50" s="87">
        <v>250</v>
      </c>
      <c r="B50" s="79">
        <v>1.14069E-3</v>
      </c>
      <c r="C50" s="80">
        <v>999.03</v>
      </c>
      <c r="D50" s="83">
        <v>1113.0999999999999</v>
      </c>
      <c r="E50" s="82">
        <v>2.6276999999999999</v>
      </c>
      <c r="F50" s="82"/>
      <c r="G50" s="28"/>
      <c r="H50" s="28"/>
    </row>
    <row r="51" spans="1:8" ht="18.75" customHeight="1" x14ac:dyDescent="0.25">
      <c r="A51" s="87">
        <v>260</v>
      </c>
      <c r="B51" s="79">
        <v>1.1540700000000001E-3</v>
      </c>
      <c r="C51" s="83">
        <v>1040.4000000000001</v>
      </c>
      <c r="D51" s="83">
        <v>1155.8</v>
      </c>
      <c r="E51" s="82">
        <v>2.7084000000000001</v>
      </c>
      <c r="F51" s="82"/>
      <c r="G51" s="28"/>
      <c r="H51" s="28"/>
    </row>
    <row r="52" spans="1:8" ht="18.75" customHeight="1" x14ac:dyDescent="0.25">
      <c r="A52" s="87">
        <v>270</v>
      </c>
      <c r="B52" s="79">
        <v>1.1681199999999999E-3</v>
      </c>
      <c r="C52" s="83">
        <v>1081.8</v>
      </c>
      <c r="D52" s="83">
        <v>1198.5999999999999</v>
      </c>
      <c r="E52" s="82">
        <v>2.7881</v>
      </c>
      <c r="F52" s="82"/>
      <c r="G52" s="28"/>
      <c r="H52" s="28"/>
    </row>
    <row r="53" spans="1:8" ht="18.75" customHeight="1" x14ac:dyDescent="0.25">
      <c r="A53" s="86">
        <v>280</v>
      </c>
      <c r="B53" s="219">
        <v>1.18289E-3</v>
      </c>
      <c r="C53" s="220">
        <v>1123.5</v>
      </c>
      <c r="D53" s="220">
        <v>1241.8</v>
      </c>
      <c r="E53" s="210">
        <v>2.8668999999999998</v>
      </c>
      <c r="F53" s="82"/>
      <c r="G53" s="82"/>
      <c r="H53" s="28"/>
    </row>
    <row r="54" spans="1:8" ht="18.75" customHeight="1" x14ac:dyDescent="0.25">
      <c r="A54" s="86">
        <v>290</v>
      </c>
      <c r="B54" s="219">
        <v>1.1984400000000001E-3</v>
      </c>
      <c r="C54" s="220">
        <v>1165.5</v>
      </c>
      <c r="D54" s="220">
        <v>1285.3</v>
      </c>
      <c r="E54" s="210">
        <v>2.9447999999999999</v>
      </c>
      <c r="F54" s="82"/>
      <c r="G54" s="82"/>
      <c r="H54" s="28"/>
    </row>
    <row r="55" spans="1:8" ht="18.75" customHeight="1" x14ac:dyDescent="0.25">
      <c r="A55" s="86">
        <v>300</v>
      </c>
      <c r="B55" s="219">
        <v>1.2148E-3</v>
      </c>
      <c r="C55" s="220">
        <v>1207.5999999999999</v>
      </c>
      <c r="D55" s="220">
        <v>1329.1</v>
      </c>
      <c r="E55" s="210">
        <v>3.0219</v>
      </c>
      <c r="F55" s="82"/>
      <c r="G55" s="82"/>
      <c r="H55" s="28"/>
    </row>
    <row r="56" spans="1:8" ht="18.75" customHeight="1" x14ac:dyDescent="0.25">
      <c r="A56" s="86">
        <v>310</v>
      </c>
      <c r="B56" s="219">
        <v>1.2321000000000001E-3</v>
      </c>
      <c r="C56" s="220">
        <v>1250.0999999999999</v>
      </c>
      <c r="D56" s="220">
        <v>1373.3</v>
      </c>
      <c r="E56" s="210">
        <v>3.0983000000000001</v>
      </c>
      <c r="F56" s="82"/>
      <c r="G56" s="82"/>
      <c r="H56" s="28"/>
    </row>
    <row r="57" spans="1:8" ht="18.75" customHeight="1" x14ac:dyDescent="0.25">
      <c r="A57" s="86">
        <v>320</v>
      </c>
      <c r="B57" s="219">
        <v>1.2503E-3</v>
      </c>
      <c r="C57" s="220">
        <v>1292.8</v>
      </c>
      <c r="D57" s="220">
        <v>1417.8</v>
      </c>
      <c r="E57" s="210">
        <v>3.1739999999999999</v>
      </c>
      <c r="F57" s="82"/>
      <c r="G57" s="82"/>
      <c r="H57" s="28"/>
    </row>
    <row r="58" spans="1:8" ht="18.75" customHeight="1" x14ac:dyDescent="0.25">
      <c r="A58" s="86">
        <v>330</v>
      </c>
      <c r="B58" s="219">
        <v>1.2696000000000001E-3</v>
      </c>
      <c r="C58" s="220">
        <v>1335.8</v>
      </c>
      <c r="D58" s="220">
        <v>1462.8</v>
      </c>
      <c r="E58" s="210">
        <v>3.2492000000000001</v>
      </c>
      <c r="F58" s="82"/>
      <c r="G58" s="82"/>
      <c r="H58" s="28"/>
    </row>
    <row r="59" spans="1:8" ht="18.75" customHeight="1" x14ac:dyDescent="0.25">
      <c r="A59" s="86">
        <v>340</v>
      </c>
      <c r="B59" s="219">
        <v>1.2901E-3</v>
      </c>
      <c r="C59" s="220">
        <v>1379.2</v>
      </c>
      <c r="D59" s="220">
        <v>1508.2</v>
      </c>
      <c r="E59" s="210">
        <v>3.3237999999999999</v>
      </c>
      <c r="F59" s="82"/>
      <c r="G59" s="82"/>
      <c r="H59" s="28"/>
    </row>
    <row r="60" spans="1:8" ht="18.75" customHeight="1" x14ac:dyDescent="0.25">
      <c r="A60" s="86">
        <v>350</v>
      </c>
      <c r="B60" s="219">
        <v>1.3117999999999999E-3</v>
      </c>
      <c r="C60" s="220">
        <v>1422.8</v>
      </c>
      <c r="D60" s="220">
        <v>1554</v>
      </c>
      <c r="E60" s="210">
        <v>3.3978999999999999</v>
      </c>
      <c r="F60" s="82"/>
      <c r="G60" s="82"/>
      <c r="H60" s="28"/>
    </row>
    <row r="61" spans="1:8" ht="18.75" customHeight="1" x14ac:dyDescent="0.25">
      <c r="A61" s="86">
        <v>360</v>
      </c>
      <c r="B61" s="219">
        <v>1.3347999999999999E-3</v>
      </c>
      <c r="C61" s="220">
        <v>1466.8</v>
      </c>
      <c r="D61" s="220">
        <v>1600.3</v>
      </c>
      <c r="E61" s="210">
        <v>3.4716999999999998</v>
      </c>
      <c r="F61" s="82"/>
      <c r="G61" s="82"/>
      <c r="H61" s="28"/>
    </row>
    <row r="62" spans="1:8" ht="18.75" customHeight="1" x14ac:dyDescent="0.25">
      <c r="A62" s="86">
        <v>370</v>
      </c>
      <c r="B62" s="219">
        <v>1.3592999999999999E-3</v>
      </c>
      <c r="C62" s="220">
        <v>1511.2</v>
      </c>
      <c r="D62" s="220">
        <v>1647.1</v>
      </c>
      <c r="E62" s="210">
        <v>3.5451000000000001</v>
      </c>
      <c r="F62" s="82"/>
      <c r="G62" s="82"/>
      <c r="H62" s="28"/>
    </row>
    <row r="63" spans="1:8" ht="18.75" customHeight="1" x14ac:dyDescent="0.25">
      <c r="A63" s="86">
        <v>380</v>
      </c>
      <c r="B63" s="219">
        <v>1.3854E-3</v>
      </c>
      <c r="C63" s="220">
        <v>1556</v>
      </c>
      <c r="D63" s="220">
        <v>1694.5</v>
      </c>
      <c r="E63" s="210">
        <v>3.6181999999999999</v>
      </c>
      <c r="F63" s="82"/>
      <c r="G63" s="82"/>
      <c r="H63" s="28"/>
    </row>
    <row r="64" spans="1:8" ht="18.75" customHeight="1" x14ac:dyDescent="0.25">
      <c r="A64" s="86">
        <v>390</v>
      </c>
      <c r="B64" s="219">
        <v>1.4132999999999999E-3</v>
      </c>
      <c r="C64" s="220">
        <v>1601.2</v>
      </c>
      <c r="D64" s="220">
        <v>1742.5</v>
      </c>
      <c r="E64" s="210">
        <v>3.6911</v>
      </c>
      <c r="F64" s="82"/>
      <c r="G64" s="82"/>
      <c r="H64" s="28"/>
    </row>
    <row r="65" spans="1:8" ht="18.75" customHeight="1" x14ac:dyDescent="0.25">
      <c r="A65" s="86">
        <v>400</v>
      </c>
      <c r="B65" s="219">
        <v>1.4430999999999999E-3</v>
      </c>
      <c r="C65" s="220">
        <v>1646.8</v>
      </c>
      <c r="D65" s="220">
        <v>1791.1</v>
      </c>
      <c r="E65" s="210">
        <v>3.7639</v>
      </c>
      <c r="F65" s="82"/>
      <c r="G65" s="82"/>
      <c r="H65" s="28"/>
    </row>
    <row r="66" spans="1:8" ht="18.75" customHeight="1" x14ac:dyDescent="0.25">
      <c r="A66" s="86">
        <v>410</v>
      </c>
      <c r="B66" s="219">
        <v>1.4751E-3</v>
      </c>
      <c r="C66" s="220">
        <v>1692.9</v>
      </c>
      <c r="D66" s="220">
        <v>1840.4</v>
      </c>
      <c r="E66" s="210">
        <v>3.8365</v>
      </c>
      <c r="F66" s="82"/>
      <c r="G66" s="82"/>
      <c r="H66" s="28"/>
    </row>
    <row r="67" spans="1:8" ht="18.75" customHeight="1" x14ac:dyDescent="0.25">
      <c r="A67" s="86">
        <v>420</v>
      </c>
      <c r="B67" s="219">
        <v>1.5093999999999999E-3</v>
      </c>
      <c r="C67" s="220">
        <v>1739.5</v>
      </c>
      <c r="D67" s="220">
        <v>1890.4</v>
      </c>
      <c r="E67" s="210">
        <v>3.9091</v>
      </c>
      <c r="F67" s="82"/>
      <c r="G67" s="82"/>
      <c r="H67" s="28"/>
    </row>
    <row r="68" spans="1:8" ht="18.75" customHeight="1" x14ac:dyDescent="0.25">
      <c r="A68" s="86">
        <v>430</v>
      </c>
      <c r="B68" s="219">
        <v>1.5462E-3</v>
      </c>
      <c r="C68" s="220">
        <v>1786.5</v>
      </c>
      <c r="D68" s="220">
        <v>1941.1</v>
      </c>
      <c r="E68" s="210">
        <v>3.9817999999999998</v>
      </c>
      <c r="F68" s="82"/>
      <c r="G68" s="82"/>
      <c r="H68" s="28"/>
    </row>
    <row r="69" spans="1:8" ht="18.75" customHeight="1" x14ac:dyDescent="0.25">
      <c r="A69" s="86">
        <v>440</v>
      </c>
      <c r="B69" s="219">
        <v>1.5857E-3</v>
      </c>
      <c r="C69" s="220">
        <v>1833.9</v>
      </c>
      <c r="D69" s="220">
        <v>1992.5</v>
      </c>
      <c r="E69" s="210">
        <v>4.0544000000000002</v>
      </c>
      <c r="F69" s="82"/>
      <c r="G69" s="82"/>
      <c r="H69" s="28"/>
    </row>
    <row r="70" spans="1:8" ht="18.75" customHeight="1" x14ac:dyDescent="0.25">
      <c r="A70" s="86">
        <v>450</v>
      </c>
      <c r="B70" s="219">
        <v>1.6282E-3</v>
      </c>
      <c r="C70" s="220">
        <v>1881.9</v>
      </c>
      <c r="D70" s="220">
        <v>2044.7</v>
      </c>
      <c r="E70" s="210">
        <v>4.1271000000000004</v>
      </c>
      <c r="F70" s="82"/>
      <c r="G70" s="82"/>
      <c r="H70" s="28"/>
    </row>
    <row r="71" spans="1:8" ht="18.75" customHeight="1" x14ac:dyDescent="0.25">
      <c r="A71" s="86">
        <v>460</v>
      </c>
      <c r="B71" s="219">
        <v>1.6739999999999999E-3</v>
      </c>
      <c r="C71" s="220">
        <v>1930.3</v>
      </c>
      <c r="D71" s="220">
        <v>2097.6999999999998</v>
      </c>
      <c r="E71" s="210">
        <v>4.1997999999999998</v>
      </c>
      <c r="F71" s="82"/>
      <c r="G71" s="82"/>
      <c r="H71" s="28"/>
    </row>
    <row r="72" spans="1:8" ht="18.75" customHeight="1" x14ac:dyDescent="0.25">
      <c r="A72" s="86">
        <v>470</v>
      </c>
      <c r="B72" s="219">
        <v>1.7232E-3</v>
      </c>
      <c r="C72" s="220">
        <v>1979.1</v>
      </c>
      <c r="D72" s="220">
        <v>2151.4</v>
      </c>
      <c r="E72" s="210">
        <v>4.2725</v>
      </c>
      <c r="F72" s="82"/>
      <c r="G72" s="82"/>
      <c r="H72" s="28"/>
    </row>
    <row r="73" spans="1:8" ht="18.75" customHeight="1" x14ac:dyDescent="0.25">
      <c r="A73" s="86">
        <v>480</v>
      </c>
      <c r="B73" s="219">
        <v>1.776E-3</v>
      </c>
      <c r="C73" s="220">
        <v>2028.1</v>
      </c>
      <c r="D73" s="220">
        <v>2205.6999999999998</v>
      </c>
      <c r="E73" s="210">
        <v>4.3452000000000002</v>
      </c>
      <c r="F73" s="82"/>
      <c r="G73" s="82"/>
      <c r="H73" s="28"/>
    </row>
    <row r="74" spans="1:8" ht="18.75" customHeight="1" x14ac:dyDescent="0.25">
      <c r="A74" s="86">
        <v>490</v>
      </c>
      <c r="B74" s="219">
        <v>1.8326E-3</v>
      </c>
      <c r="C74" s="220">
        <v>2077.4</v>
      </c>
      <c r="D74" s="220">
        <v>2260.6999999999998</v>
      </c>
      <c r="E74" s="210">
        <v>4.4177</v>
      </c>
      <c r="F74" s="82"/>
      <c r="G74" s="82"/>
      <c r="H74" s="28"/>
    </row>
    <row r="75" spans="1:8" ht="18.75" customHeight="1" x14ac:dyDescent="0.25">
      <c r="A75" s="86">
        <v>500</v>
      </c>
      <c r="B75" s="219">
        <v>1.8929999999999999E-3</v>
      </c>
      <c r="C75" s="220">
        <v>2126.9</v>
      </c>
      <c r="D75" s="220">
        <v>2316.1999999999998</v>
      </c>
      <c r="E75" s="210">
        <v>4.49</v>
      </c>
      <c r="F75" s="82"/>
      <c r="G75" s="82"/>
      <c r="H75" s="28"/>
    </row>
    <row r="76" spans="1:8" ht="18.75" customHeight="1" x14ac:dyDescent="0.25">
      <c r="A76" s="86">
        <v>520</v>
      </c>
      <c r="B76" s="219">
        <v>2.0251000000000002E-3</v>
      </c>
      <c r="C76" s="220">
        <v>2225.6</v>
      </c>
      <c r="D76" s="220">
        <v>2428.1</v>
      </c>
      <c r="E76" s="210">
        <v>4.6329000000000002</v>
      </c>
      <c r="F76" s="82"/>
      <c r="G76" s="82"/>
      <c r="H76" s="28"/>
    </row>
    <row r="77" spans="1:8" ht="18.75" customHeight="1" x14ac:dyDescent="0.25">
      <c r="A77" s="86">
        <v>540</v>
      </c>
      <c r="B77" s="219">
        <v>2.1714999999999998E-3</v>
      </c>
      <c r="C77" s="220">
        <v>2323.1</v>
      </c>
      <c r="D77" s="220">
        <v>2540.1999999999998</v>
      </c>
      <c r="E77" s="210">
        <v>4.7724000000000002</v>
      </c>
      <c r="F77" s="82"/>
      <c r="G77" s="82"/>
      <c r="H77" s="28"/>
    </row>
    <row r="78" spans="1:8" ht="18.75" customHeight="1" x14ac:dyDescent="0.25">
      <c r="A78" s="86">
        <v>560</v>
      </c>
      <c r="B78" s="219">
        <v>2.3300999999999999E-3</v>
      </c>
      <c r="C78" s="220">
        <v>2418.1999999999998</v>
      </c>
      <c r="D78" s="220">
        <v>2651.2</v>
      </c>
      <c r="E78" s="210">
        <v>4.9073000000000002</v>
      </c>
      <c r="F78" s="82"/>
      <c r="G78" s="82"/>
      <c r="H78" s="28"/>
    </row>
    <row r="79" spans="1:8" ht="18.75" customHeight="1" x14ac:dyDescent="0.25">
      <c r="A79" s="86">
        <v>580</v>
      </c>
      <c r="B79" s="219">
        <v>2.4981999999999999E-3</v>
      </c>
      <c r="C79" s="220">
        <v>2510</v>
      </c>
      <c r="D79" s="220">
        <v>2759.8</v>
      </c>
      <c r="E79" s="210">
        <v>5.0361000000000002</v>
      </c>
      <c r="F79" s="82"/>
      <c r="G79" s="82"/>
      <c r="H79" s="28"/>
    </row>
    <row r="80" spans="1:8" ht="18.75" customHeight="1" x14ac:dyDescent="0.25">
      <c r="A80" s="86">
        <v>600</v>
      </c>
      <c r="B80" s="219">
        <v>2.6722999999999998E-3</v>
      </c>
      <c r="C80" s="220">
        <v>2597.9</v>
      </c>
      <c r="D80" s="220">
        <v>2865.1</v>
      </c>
      <c r="E80" s="210">
        <v>5.1581000000000001</v>
      </c>
      <c r="F80" s="82"/>
      <c r="G80" s="82"/>
      <c r="H80" s="28"/>
    </row>
    <row r="81" spans="1:8" ht="18.75" customHeight="1" x14ac:dyDescent="0.25">
      <c r="A81" s="86">
        <v>620</v>
      </c>
      <c r="B81" s="219">
        <v>2.8494000000000002E-3</v>
      </c>
      <c r="C81" s="220">
        <v>2681.5</v>
      </c>
      <c r="D81" s="220">
        <v>2966.4</v>
      </c>
      <c r="E81" s="210">
        <v>5.2728000000000002</v>
      </c>
      <c r="F81" s="82"/>
      <c r="G81" s="82"/>
      <c r="H81" s="28"/>
    </row>
    <row r="82" spans="1:8" ht="18.75" customHeight="1" x14ac:dyDescent="0.25">
      <c r="A82" s="86">
        <v>640</v>
      </c>
      <c r="B82" s="219">
        <v>3.0268999999999999E-3</v>
      </c>
      <c r="C82" s="220">
        <v>2760.8</v>
      </c>
      <c r="D82" s="220">
        <v>3063.5</v>
      </c>
      <c r="E82" s="210">
        <v>5.3803000000000001</v>
      </c>
      <c r="F82" s="82"/>
      <c r="G82" s="82"/>
      <c r="H82" s="28"/>
    </row>
    <row r="83" spans="1:8" ht="18.75" customHeight="1" x14ac:dyDescent="0.25">
      <c r="A83" s="86">
        <v>660</v>
      </c>
      <c r="B83" s="219">
        <v>3.2028E-3</v>
      </c>
      <c r="C83" s="220">
        <v>2836.1</v>
      </c>
      <c r="D83" s="220">
        <v>3156.4</v>
      </c>
      <c r="E83" s="210">
        <v>5.4809999999999999</v>
      </c>
      <c r="F83" s="82"/>
      <c r="G83" s="82"/>
      <c r="H83" s="28"/>
    </row>
    <row r="84" spans="1:8" ht="18.75" customHeight="1" x14ac:dyDescent="0.25">
      <c r="A84" s="86">
        <v>680</v>
      </c>
      <c r="B84" s="219">
        <v>3.3760000000000001E-3</v>
      </c>
      <c r="C84" s="220">
        <v>2907.7</v>
      </c>
      <c r="D84" s="220">
        <v>3245.3</v>
      </c>
      <c r="E84" s="210">
        <v>5.5753000000000004</v>
      </c>
      <c r="F84" s="82"/>
      <c r="G84" s="82"/>
      <c r="H84" s="28"/>
    </row>
    <row r="85" spans="1:8" ht="18.75" customHeight="1" x14ac:dyDescent="0.25">
      <c r="A85" s="86">
        <v>700</v>
      </c>
      <c r="B85" s="219">
        <v>3.5455999999999999E-3</v>
      </c>
      <c r="C85" s="220">
        <v>2976.1</v>
      </c>
      <c r="D85" s="220">
        <v>3330.7</v>
      </c>
      <c r="E85" s="210">
        <v>5.6638999999999999</v>
      </c>
      <c r="F85" s="82"/>
      <c r="G85" s="82"/>
      <c r="H85" s="28"/>
    </row>
    <row r="86" spans="1:8" ht="18.75" customHeight="1" x14ac:dyDescent="0.25">
      <c r="A86" s="86">
        <v>720</v>
      </c>
      <c r="B86" s="219">
        <v>3.7114000000000001E-3</v>
      </c>
      <c r="C86" s="220">
        <v>3041.6</v>
      </c>
      <c r="D86" s="220">
        <v>3412.7</v>
      </c>
      <c r="E86" s="210">
        <v>5.7473999999999998</v>
      </c>
      <c r="F86" s="82"/>
      <c r="G86" s="82"/>
      <c r="H86" s="28"/>
    </row>
    <row r="87" spans="1:8" ht="18.75" customHeight="1" x14ac:dyDescent="0.25">
      <c r="A87" s="86">
        <v>740</v>
      </c>
      <c r="B87" s="219">
        <v>3.8731999999999998E-3</v>
      </c>
      <c r="C87" s="220">
        <v>3104.6</v>
      </c>
      <c r="D87" s="220">
        <v>3491.9</v>
      </c>
      <c r="E87" s="210">
        <v>5.8262999999999998</v>
      </c>
      <c r="F87" s="82"/>
      <c r="G87" s="82"/>
      <c r="H87" s="28"/>
    </row>
    <row r="88" spans="1:8" ht="18.75" customHeight="1" x14ac:dyDescent="0.25">
      <c r="A88" s="86">
        <v>760</v>
      </c>
      <c r="B88" s="219">
        <v>4.0311000000000001E-3</v>
      </c>
      <c r="C88" s="220">
        <v>3165.4</v>
      </c>
      <c r="D88" s="220">
        <v>3568.5</v>
      </c>
      <c r="E88" s="210">
        <v>5.9012000000000002</v>
      </c>
      <c r="F88" s="82"/>
      <c r="G88" s="82"/>
      <c r="H88" s="28"/>
    </row>
    <row r="89" spans="1:8" ht="18.75" customHeight="1" x14ac:dyDescent="0.25">
      <c r="A89" s="86">
        <v>780</v>
      </c>
      <c r="B89" s="219">
        <v>4.1852E-3</v>
      </c>
      <c r="C89" s="220">
        <v>3224.3</v>
      </c>
      <c r="D89" s="220">
        <v>3642.8</v>
      </c>
      <c r="E89" s="210">
        <v>5.9725000000000001</v>
      </c>
      <c r="F89" s="82"/>
      <c r="G89" s="82"/>
      <c r="H89" s="28"/>
    </row>
    <row r="90" spans="1:8" ht="18.75" customHeight="1" x14ac:dyDescent="0.25">
      <c r="A90" s="86">
        <v>800</v>
      </c>
      <c r="B90" s="219">
        <v>4.3357999999999999E-3</v>
      </c>
      <c r="C90" s="220">
        <v>3281.7</v>
      </c>
      <c r="D90" s="220">
        <v>3715.3</v>
      </c>
      <c r="E90" s="210">
        <v>6.0406000000000004</v>
      </c>
      <c r="F90" s="82"/>
      <c r="G90" s="82"/>
      <c r="H90" s="28"/>
    </row>
    <row r="91" spans="1:8" ht="18.75" customHeight="1" x14ac:dyDescent="0.25">
      <c r="A91" s="86">
        <v>820</v>
      </c>
      <c r="B91" s="219">
        <v>4.4828999999999997E-3</v>
      </c>
      <c r="C91" s="220">
        <v>3337.7</v>
      </c>
      <c r="D91" s="220">
        <v>3786</v>
      </c>
      <c r="E91" s="210">
        <v>6.1059000000000001</v>
      </c>
      <c r="F91" s="82"/>
      <c r="G91" s="82"/>
      <c r="H91" s="28"/>
    </row>
    <row r="92" spans="1:8" ht="18.75" customHeight="1" x14ac:dyDescent="0.25">
      <c r="A92" s="86">
        <v>840</v>
      </c>
      <c r="B92" s="219">
        <v>4.627E-3</v>
      </c>
      <c r="C92" s="220">
        <v>3392.5</v>
      </c>
      <c r="D92" s="220">
        <v>3855.2</v>
      </c>
      <c r="E92" s="210">
        <v>6.1685999999999996</v>
      </c>
      <c r="F92" s="82"/>
      <c r="G92" s="82"/>
      <c r="H92" s="28"/>
    </row>
    <row r="93" spans="1:8" ht="18.75" customHeight="1" x14ac:dyDescent="0.25">
      <c r="A93" s="86">
        <v>860</v>
      </c>
      <c r="B93" s="219">
        <v>4.7680999999999999E-3</v>
      </c>
      <c r="C93" s="220">
        <v>3446.3</v>
      </c>
      <c r="D93" s="220">
        <v>3923.1</v>
      </c>
      <c r="E93" s="210">
        <v>6.2290999999999999</v>
      </c>
      <c r="F93" s="82"/>
      <c r="G93" s="82"/>
      <c r="H93" s="28"/>
    </row>
    <row r="94" spans="1:8" ht="18.75" customHeight="1" x14ac:dyDescent="0.25">
      <c r="A94" s="86">
        <v>880</v>
      </c>
      <c r="B94" s="219">
        <v>4.9065000000000003E-3</v>
      </c>
      <c r="C94" s="220">
        <v>3499.3</v>
      </c>
      <c r="D94" s="220">
        <v>3989.9</v>
      </c>
      <c r="E94" s="210">
        <v>6.2874999999999996</v>
      </c>
      <c r="F94" s="82"/>
      <c r="G94" s="82"/>
      <c r="H94" s="28"/>
    </row>
    <row r="95" spans="1:8" ht="18.75" customHeight="1" x14ac:dyDescent="0.25">
      <c r="A95" s="86">
        <v>900</v>
      </c>
      <c r="B95" s="219">
        <v>5.0423999999999998E-3</v>
      </c>
      <c r="C95" s="220">
        <v>3551.4</v>
      </c>
      <c r="D95" s="220">
        <v>4055.6</v>
      </c>
      <c r="E95" s="210">
        <v>6.3440000000000003</v>
      </c>
      <c r="F95" s="82"/>
      <c r="G95" s="82"/>
      <c r="H95" s="28"/>
    </row>
    <row r="96" spans="1:8" ht="18.75" customHeight="1" x14ac:dyDescent="0.25">
      <c r="A96" s="86">
        <v>920</v>
      </c>
      <c r="B96" s="219">
        <v>5.176E-3</v>
      </c>
      <c r="C96" s="220">
        <v>3602.9</v>
      </c>
      <c r="D96" s="220">
        <v>4120.5</v>
      </c>
      <c r="E96" s="210">
        <v>6.3987999999999996</v>
      </c>
      <c r="F96" s="82"/>
      <c r="G96" s="82"/>
      <c r="H96" s="28"/>
    </row>
    <row r="97" spans="1:8" ht="18.75" customHeight="1" x14ac:dyDescent="0.25">
      <c r="A97" s="86">
        <v>940</v>
      </c>
      <c r="B97" s="219">
        <v>5.3074000000000003E-3</v>
      </c>
      <c r="C97" s="220">
        <v>3653.8</v>
      </c>
      <c r="D97" s="220">
        <v>4184.5</v>
      </c>
      <c r="E97" s="210">
        <v>6.4520999999999997</v>
      </c>
      <c r="F97" s="82"/>
      <c r="G97" s="82"/>
      <c r="H97" s="28"/>
    </row>
    <row r="98" spans="1:8" ht="18.75" customHeight="1" x14ac:dyDescent="0.25">
      <c r="A98" s="86">
        <v>960</v>
      </c>
      <c r="B98" s="219">
        <v>5.4368000000000003E-3</v>
      </c>
      <c r="C98" s="220">
        <v>3704.2</v>
      </c>
      <c r="D98" s="220">
        <v>4247.8999999999996</v>
      </c>
      <c r="E98" s="210">
        <v>6.5038999999999998</v>
      </c>
      <c r="F98" s="82"/>
      <c r="G98" s="82"/>
      <c r="H98" s="28"/>
    </row>
    <row r="99" spans="1:8" ht="18.75" customHeight="1" x14ac:dyDescent="0.25">
      <c r="A99" s="86">
        <v>980</v>
      </c>
      <c r="B99" s="219">
        <v>5.5642E-3</v>
      </c>
      <c r="C99" s="220">
        <v>3754.3</v>
      </c>
      <c r="D99" s="220">
        <v>4310.7</v>
      </c>
      <c r="E99" s="210">
        <v>6.5545</v>
      </c>
      <c r="F99" s="82"/>
      <c r="G99" s="82"/>
      <c r="H99" s="28"/>
    </row>
    <row r="100" spans="1:8" ht="18.75" customHeight="1" x14ac:dyDescent="0.25">
      <c r="A100" s="86">
        <v>1000</v>
      </c>
      <c r="B100" s="219">
        <v>5.6899999999999997E-3</v>
      </c>
      <c r="C100" s="220">
        <v>3804</v>
      </c>
      <c r="D100" s="220">
        <v>4373</v>
      </c>
      <c r="E100" s="210">
        <v>6.6037999999999997</v>
      </c>
      <c r="F100" s="82"/>
      <c r="G100" s="82"/>
      <c r="H100" s="28"/>
    </row>
  </sheetData>
  <mergeCells count="1"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83</vt:i4>
      </vt:variant>
      <vt:variant>
        <vt:lpstr>Named Ranges</vt:lpstr>
      </vt:variant>
      <vt:variant>
        <vt:i4>3</vt:i4>
      </vt:variant>
    </vt:vector>
  </HeadingPairs>
  <TitlesOfParts>
    <vt:vector size="86" baseType="lpstr">
      <vt:lpstr>Mainsheet</vt:lpstr>
      <vt:lpstr>Sat_T_based</vt:lpstr>
      <vt:lpstr>Sat_P_based</vt:lpstr>
      <vt:lpstr>10</vt:lpstr>
      <vt:lpstr>20</vt:lpstr>
      <vt:lpstr>30</vt:lpstr>
      <vt:lpstr>40</vt:lpstr>
      <vt:lpstr>50</vt:lpstr>
      <vt:lpstr>60</vt:lpstr>
      <vt:lpstr>70</vt:lpstr>
      <vt:lpstr>80</vt:lpstr>
      <vt:lpstr>90</vt:lpstr>
      <vt:lpstr>100</vt:lpstr>
      <vt:lpstr>110</vt:lpstr>
      <vt:lpstr>120</vt:lpstr>
      <vt:lpstr>130</vt:lpstr>
      <vt:lpstr>140</vt:lpstr>
      <vt:lpstr>150</vt:lpstr>
      <vt:lpstr>160</vt:lpstr>
      <vt:lpstr>180</vt:lpstr>
      <vt:lpstr>200</vt:lpstr>
      <vt:lpstr>220</vt:lpstr>
      <vt:lpstr>240</vt:lpstr>
      <vt:lpstr>260</vt:lpstr>
      <vt:lpstr>280</vt:lpstr>
      <vt:lpstr>300</vt:lpstr>
      <vt:lpstr>350</vt:lpstr>
      <vt:lpstr>400</vt:lpstr>
      <vt:lpstr>450</vt:lpstr>
      <vt:lpstr>500</vt:lpstr>
      <vt:lpstr>550</vt:lpstr>
      <vt:lpstr>600</vt:lpstr>
      <vt:lpstr>650</vt:lpstr>
      <vt:lpstr>700</vt:lpstr>
      <vt:lpstr>750</vt:lpstr>
      <vt:lpstr>800</vt:lpstr>
      <vt:lpstr>900</vt:lpstr>
      <vt:lpstr>1000</vt:lpstr>
      <vt:lpstr>1100</vt:lpstr>
      <vt:lpstr>1200</vt:lpstr>
      <vt:lpstr>1300</vt:lpstr>
      <vt:lpstr>1400</vt:lpstr>
      <vt:lpstr>1500</vt:lpstr>
      <vt:lpstr>1600</vt:lpstr>
      <vt:lpstr>1800</vt:lpstr>
      <vt:lpstr>2000</vt:lpstr>
      <vt:lpstr> 2200</vt:lpstr>
      <vt:lpstr>2500</vt:lpstr>
      <vt:lpstr>3000</vt:lpstr>
      <vt:lpstr>3500</vt:lpstr>
      <vt:lpstr>4000</vt:lpstr>
      <vt:lpstr>4500</vt:lpstr>
      <vt:lpstr>5000</vt:lpstr>
      <vt:lpstr>5500</vt:lpstr>
      <vt:lpstr>6000</vt:lpstr>
      <vt:lpstr>6500</vt:lpstr>
      <vt:lpstr>7000</vt:lpstr>
      <vt:lpstr>7500</vt:lpstr>
      <vt:lpstr>8000</vt:lpstr>
      <vt:lpstr>9000</vt:lpstr>
      <vt:lpstr>10000</vt:lpstr>
      <vt:lpstr>11000</vt:lpstr>
      <vt:lpstr>12000</vt:lpstr>
      <vt:lpstr>13000</vt:lpstr>
      <vt:lpstr>14000</vt:lpstr>
      <vt:lpstr>15000</vt:lpstr>
      <vt:lpstr>16000</vt:lpstr>
      <vt:lpstr>17000</vt:lpstr>
      <vt:lpstr>18000</vt:lpstr>
      <vt:lpstr>19000</vt:lpstr>
      <vt:lpstr>20000</vt:lpstr>
      <vt:lpstr>22000</vt:lpstr>
      <vt:lpstr>25000</vt:lpstr>
      <vt:lpstr>30000</vt:lpstr>
      <vt:lpstr>35000</vt:lpstr>
      <vt:lpstr>40000</vt:lpstr>
      <vt:lpstr>45000</vt:lpstr>
      <vt:lpstr>50000</vt:lpstr>
      <vt:lpstr>60000</vt:lpstr>
      <vt:lpstr>70000</vt:lpstr>
      <vt:lpstr>80000</vt:lpstr>
      <vt:lpstr>90000</vt:lpstr>
      <vt:lpstr>100000</vt:lpstr>
      <vt:lpstr>Hf</vt:lpstr>
      <vt:lpstr>Hg</vt:lpstr>
      <vt:lpstr>vf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Alpish</dc:creator>
  <cp:lastModifiedBy>Alpish</cp:lastModifiedBy>
  <dcterms:created xsi:type="dcterms:W3CDTF">2019-06-25T02:56:15Z</dcterms:created>
  <dcterms:modified xsi:type="dcterms:W3CDTF">2019-07-31T11:13:57Z</dcterms:modified>
</cp:coreProperties>
</file>