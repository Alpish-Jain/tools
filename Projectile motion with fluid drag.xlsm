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macrosheets/sheet1.xml" ContentType="application/vnd.ms-excel.macro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F:\$1_Teaching\Fall 2018_Fluid Mechanics\TOOLS\"/>
    </mc:Choice>
  </mc:AlternateContent>
  <bookViews>
    <workbookView xWindow="0" yWindow="0" windowWidth="20490" windowHeight="7620"/>
  </bookViews>
  <sheets>
    <sheet name="Main Sheet" sheetId="1" r:id="rId1"/>
    <sheet name="Computed Data" sheetId="2" r:id="rId2"/>
    <sheet name="Projectile Data" sheetId="3" r:id="rId3"/>
    <sheet name="Disclaimer" sheetId="4" r:id="rId4"/>
    <sheet name="Program Modules" sheetId="5" state="veryHidden" r:id=""/>
    <sheet name="Tech Details (1)" sheetId="10" r:id="rId5"/>
    <sheet name="Tech Details (2)" sheetId="7" r:id="rId6"/>
    <sheet name="Tech Details (3)" sheetId="9" r:id="rId7"/>
  </sheets>
  <functionGroups builtInGroupCount="18"/>
  <definedNames>
    <definedName name="Amass">'Computed Data'!$C$3</definedName>
    <definedName name="Angle">'Main Sheet'!$H$35</definedName>
    <definedName name="Bgrav">'Computed Data'!$C$4</definedName>
    <definedName name="Ccoef">'Computed Data'!$C$5</definedName>
    <definedName name="Delay">'Main Sheet'!$L$21</definedName>
    <definedName name="DeltaT">'Main Sheet'!$H$45</definedName>
    <definedName name="Diameter">'Main Sheet'!$H$37</definedName>
    <definedName name="ggrav">'Main Sheet'!$H$44</definedName>
    <definedName name="kinvis">'Main Sheet'!$H$43</definedName>
    <definedName name="rhobar">'Computed Data'!$C$2</definedName>
    <definedName name="rhofluid">'Main Sheet'!$H$42</definedName>
    <definedName name="Rhoproj">'Main Sheet'!$H$38</definedName>
    <definedName name="Ufluid">'Main Sheet'!$H$39</definedName>
    <definedName name="Velinit">'Main Sheet'!$H$36</definedName>
    <definedName name="Xmax">'Main Sheet'!$L$16</definedName>
    <definedName name="Ymax">'Main Sheet'!$L$18</definedName>
  </definedNames>
  <calcPr calcId="162913"/>
</workbook>
</file>

<file path=xl/calcChain.xml><?xml version="1.0" encoding="utf-8"?>
<calcChain xmlns="http://schemas.openxmlformats.org/spreadsheetml/2006/main">
  <c r="I5" i="2" l="1"/>
  <c r="H5" i="2"/>
  <c r="C2" i="2"/>
  <c r="C3" i="2" s="1"/>
  <c r="E8" i="3"/>
  <c r="E18" i="3"/>
  <c r="F18" i="3"/>
  <c r="E17" i="3"/>
  <c r="F17" i="3" s="1"/>
  <c r="E16" i="3"/>
  <c r="F16" i="3"/>
  <c r="E15" i="3"/>
  <c r="F15" i="3" s="1"/>
  <c r="E14" i="3"/>
  <c r="F14" i="3" s="1"/>
  <c r="E13" i="3"/>
  <c r="F13" i="3" s="1"/>
  <c r="E12" i="3"/>
  <c r="F12" i="3"/>
  <c r="E11" i="3"/>
  <c r="F11" i="3" s="1"/>
  <c r="E10" i="3"/>
  <c r="F10" i="3"/>
  <c r="E9" i="3"/>
  <c r="F9" i="3" s="1"/>
  <c r="F8" i="3"/>
  <c r="E7" i="3"/>
  <c r="F7" i="3"/>
  <c r="C4" i="2" l="1"/>
  <c r="C5" i="2"/>
</calcChain>
</file>

<file path=xl/comments1.xml><?xml version="1.0" encoding="utf-8"?>
<comments xmlns="http://schemas.openxmlformats.org/spreadsheetml/2006/main">
  <authors>
    <author>Robert J. Ribando</author>
    <author>A satisfied Microsoft Office user</author>
    <author>University of Virginia SEAS</author>
  </authors>
  <commentList>
    <comment ref="H1" authorId="0" shapeId="0">
      <text>
        <r>
          <rPr>
            <b/>
            <sz val="8"/>
            <color indexed="81"/>
            <rFont val="Tahoma"/>
            <family val="2"/>
          </rPr>
          <t xml:space="preserve">Based on Program 1.4 in Chuen-Yen Chow, An Introduction to Computational Fluid Dynamics, Seminole Publishing Company, Boulder, 1983.  To see the code implementing this algorithm, click on Tools, Macro, Visual Basic Editor (earlier versions of Excel).   For more recent versions click on DEVELOPER tab (which you may have to add to the toolbar) and then on Visual Basic.
</t>
        </r>
      </text>
    </comment>
    <comment ref="L16" authorId="1" shapeId="0">
      <text>
        <r>
          <rPr>
            <b/>
            <sz val="8"/>
            <color indexed="81"/>
            <rFont val="Tahoma"/>
            <family val="2"/>
          </rPr>
          <t>You must click the button for this scaling to be activated</t>
        </r>
      </text>
    </comment>
    <comment ref="L18" authorId="1" shapeId="0">
      <text>
        <r>
          <rPr>
            <b/>
            <sz val="8"/>
            <color indexed="81"/>
            <rFont val="Tahoma"/>
            <family val="2"/>
          </rPr>
          <t>You must click the button for this scaling to be activated</t>
        </r>
      </text>
    </comment>
    <comment ref="L21" authorId="2" shapeId="0">
      <text>
        <r>
          <rPr>
            <b/>
            <sz val="8"/>
            <color indexed="81"/>
            <rFont val="Tahoma"/>
            <family val="2"/>
          </rPr>
          <t>Use this delay so that you can watch the projectile "in-flight."</t>
        </r>
      </text>
    </comment>
  </commentList>
</comments>
</file>

<file path=xl/comments2.xml><?xml version="1.0" encoding="utf-8"?>
<comments xmlns="http://schemas.openxmlformats.org/spreadsheetml/2006/main">
  <authors>
    <author>rjr</author>
  </authors>
  <commentList>
    <comment ref="G2" authorId="0" shapeId="0">
      <text>
        <r>
          <rPr>
            <b/>
            <sz val="9"/>
            <color indexed="81"/>
            <rFont val="Tahoma"/>
            <family val="2"/>
          </rPr>
          <t>rjr:</t>
        </r>
        <r>
          <rPr>
            <sz val="9"/>
            <color indexed="81"/>
            <rFont val="Tahoma"/>
            <family val="2"/>
          </rPr>
          <t xml:space="preserve">
</t>
        </r>
        <r>
          <rPr>
            <b/>
            <sz val="9"/>
            <color indexed="81"/>
            <rFont val="Tahoma"/>
            <family val="2"/>
          </rPr>
          <t>This is what is plotted on the Main Sheet</t>
        </r>
      </text>
    </comment>
  </commentList>
</comments>
</file>

<file path=xl/comments3.xml><?xml version="1.0" encoding="utf-8"?>
<comments xmlns="http://schemas.openxmlformats.org/spreadsheetml/2006/main">
  <authors>
    <author>A satisfied Microsoft Office user</author>
  </authors>
  <commentList>
    <comment ref="B11" authorId="0" shapeId="0">
      <text>
        <r>
          <rPr>
            <sz val="8"/>
            <color indexed="81"/>
            <rFont val="Tahoma"/>
            <family val="2"/>
          </rPr>
          <t xml:space="preserve">This corresponds to a #5 soccerball
</t>
        </r>
      </text>
    </comment>
    <comment ref="B16" authorId="0" shapeId="0">
      <text>
        <r>
          <rPr>
            <sz val="8"/>
            <color indexed="81"/>
            <rFont val="Tahoma"/>
            <family val="2"/>
          </rPr>
          <t>This is just a nominal value.</t>
        </r>
      </text>
    </comment>
    <comment ref="B18" authorId="0" shapeId="0">
      <text>
        <r>
          <rPr>
            <sz val="8"/>
            <color indexed="81"/>
            <rFont val="Tahoma"/>
            <family val="2"/>
          </rPr>
          <t>This corresponds to a 15 lb. shotput</t>
        </r>
      </text>
    </comment>
  </commentList>
</comments>
</file>

<file path=xl/sharedStrings.xml><?xml version="1.0" encoding="utf-8"?>
<sst xmlns="http://schemas.openxmlformats.org/spreadsheetml/2006/main" count="80" uniqueCount="77">
  <si>
    <t>Computer Modeling of Projectile Motion</t>
  </si>
  <si>
    <t>Plot Scaling</t>
  </si>
  <si>
    <t>Frequent User Inputs</t>
  </si>
  <si>
    <t>Launch Angle (degrees)</t>
  </si>
  <si>
    <t>Launch Velocity (m/s)</t>
  </si>
  <si>
    <t>Less Frequent User Inputs</t>
  </si>
  <si>
    <t>Timestep (sec)</t>
  </si>
  <si>
    <t>Computed Results</t>
  </si>
  <si>
    <t>Rhobar</t>
  </si>
  <si>
    <t>Time</t>
  </si>
  <si>
    <t>Position</t>
  </si>
  <si>
    <t>Velocity</t>
  </si>
  <si>
    <t>Amass</t>
  </si>
  <si>
    <t>X</t>
  </si>
  <si>
    <t>Y</t>
  </si>
  <si>
    <t>Horizontal</t>
  </si>
  <si>
    <t>Vertical</t>
  </si>
  <si>
    <t>Bgrav</t>
  </si>
  <si>
    <t>(sec)</t>
  </si>
  <si>
    <t>(m)</t>
  </si>
  <si>
    <t>(m/s)</t>
  </si>
  <si>
    <t>Ccoef</t>
  </si>
  <si>
    <t>Sample Data for Alternative Projectiles</t>
  </si>
  <si>
    <t>Type</t>
  </si>
  <si>
    <t>Mass</t>
  </si>
  <si>
    <t>Diameter</t>
  </si>
  <si>
    <t>Volume</t>
  </si>
  <si>
    <t>Density</t>
  </si>
  <si>
    <t>(kg)</t>
  </si>
  <si>
    <t>(m^3)</t>
  </si>
  <si>
    <t>(kg/m^3)</t>
  </si>
  <si>
    <t>Beach Ball</t>
  </si>
  <si>
    <t>Nerf Ball</t>
  </si>
  <si>
    <t>Kickball</t>
  </si>
  <si>
    <t>Ping Pong Ball</t>
  </si>
  <si>
    <t>Soccer Ball</t>
  </si>
  <si>
    <t>Basketball</t>
  </si>
  <si>
    <t>Tennis Ball</t>
  </si>
  <si>
    <t>Softball</t>
  </si>
  <si>
    <t>Baseball</t>
  </si>
  <si>
    <t>Water Balloon</t>
  </si>
  <si>
    <t>Golf Ball</t>
  </si>
  <si>
    <t>Shotput</t>
  </si>
  <si>
    <t xml:space="preserve">Most of these are not exactly smooth spheres, and some are deformable. </t>
  </si>
  <si>
    <t>This collection of worksheets was developed for the</t>
  </si>
  <si>
    <t>Session on Projectile Motion and Computer Modeling,</t>
  </si>
  <si>
    <t xml:space="preserve">presented at the 1997 Summer Institute of the </t>
  </si>
  <si>
    <t>Southeastern Consortium for Minorities in Engineering, Inc.</t>
  </si>
  <si>
    <t>held at the University of Virginia June 15 - June 26, 1997.</t>
  </si>
  <si>
    <t>It is based on Program 1.4 in An Introduction to Computational</t>
  </si>
  <si>
    <t>Fluid Dynamics by Chuen-Yen Chow, Wiley (1979)</t>
  </si>
  <si>
    <t>R.J.Ribando, 310 MEC, Univ. of Virginia, June 1997</t>
  </si>
  <si>
    <t>Copyright 1997, All rights reserved.</t>
  </si>
  <si>
    <t>This program may be distributed freely for instructional purposes</t>
  </si>
  <si>
    <t xml:space="preserve">only providing that:  </t>
  </si>
  <si>
    <t xml:space="preserve">(1) The file be distributed in its entirety including disclaimer </t>
  </si>
  <si>
    <t xml:space="preserve">     and copyright notices. </t>
  </si>
  <si>
    <t>(2) No part of it may be incorporated into any commercial product.</t>
  </si>
  <si>
    <t>DISCLAIMER</t>
  </si>
  <si>
    <t>The author shall not be responsible for losses of any kind</t>
  </si>
  <si>
    <t>resulting from the use of the program or of any documentation</t>
  </si>
  <si>
    <t>and can in no way provide compensation for any losses sustained</t>
  </si>
  <si>
    <t>including but not limited to any obligation, liability, right,</t>
  </si>
  <si>
    <t>or remedy for tort nor any business expense, machine downtime</t>
  </si>
  <si>
    <t>or damages caused to the user by any deficiency, defect or</t>
  </si>
  <si>
    <t>error in the program or in any such documentation or any</t>
  </si>
  <si>
    <t>malfunction of the program or for any incidental or consequential</t>
  </si>
  <si>
    <t>losses, damages or costs, however caused.</t>
  </si>
  <si>
    <t xml:space="preserve">Delay = </t>
  </si>
  <si>
    <t>Intermediate Variables</t>
  </si>
  <si>
    <t>Diameter of Projectile [m]</t>
  </si>
  <si>
    <r>
      <t>Density of Projectile [kg/m</t>
    </r>
    <r>
      <rPr>
        <b/>
        <sz val="10"/>
        <rFont val="Calibri"/>
        <family val="2"/>
      </rPr>
      <t>³</t>
    </r>
    <r>
      <rPr>
        <b/>
        <sz val="10"/>
        <rFont val="Arial"/>
        <family val="2"/>
      </rPr>
      <t>]</t>
    </r>
  </si>
  <si>
    <t>Fluid (Wind) Velocity [m/s]</t>
  </si>
  <si>
    <r>
      <t>Density of Fluid (Air) [kg/m</t>
    </r>
    <r>
      <rPr>
        <b/>
        <sz val="10"/>
        <rFont val="Calibri"/>
        <family val="2"/>
      </rPr>
      <t>³</t>
    </r>
    <r>
      <rPr>
        <b/>
        <sz val="10"/>
        <rFont val="Arial"/>
        <family val="2"/>
      </rPr>
      <t>]</t>
    </r>
  </si>
  <si>
    <r>
      <t>Kinematic Viscosity of Fluid (Air) [m</t>
    </r>
    <r>
      <rPr>
        <b/>
        <sz val="10"/>
        <rFont val="Tahoma"/>
        <family val="2"/>
      </rPr>
      <t>²</t>
    </r>
    <r>
      <rPr>
        <b/>
        <sz val="10"/>
        <rFont val="Arial"/>
        <family val="2"/>
      </rPr>
      <t>/s]</t>
    </r>
  </si>
  <si>
    <r>
      <t>Acceleration of Gravity [m/s</t>
    </r>
    <r>
      <rPr>
        <b/>
        <sz val="10"/>
        <rFont val="Tahoma"/>
        <family val="2"/>
      </rPr>
      <t>²</t>
    </r>
    <r>
      <rPr>
        <b/>
        <sz val="10"/>
        <rFont val="Arial"/>
        <family val="2"/>
      </rPr>
      <t>]</t>
    </r>
  </si>
  <si>
    <t>All diameters and masses are very approximate!   Some were just guessed!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</si>
</sst>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
    <numFmt numFmtId="165" formatCode="0.000"/>
    <numFmt numFmtId="166" formatCode="0.0000000"/>
  </numFmts>
  <fonts count="21" x14ac:knownFonts="1">
    <font>
      <sz val="10"/>
      <name val="Arial"/>
    </font>
    <font>
      <b/>
      <sz val="10"/>
      <name val="Arial"/>
      <family val="2"/>
    </font>
    <font>
      <sz val="10"/>
      <name val="Arial"/>
      <family val="2"/>
    </font>
    <font>
      <b/>
      <sz val="10"/>
      <name val="Arial"/>
      <family val="2"/>
    </font>
    <font>
      <b/>
      <sz val="12"/>
      <name val="Arial"/>
      <family val="2"/>
    </font>
    <font>
      <b/>
      <sz val="14"/>
      <name val="Arial"/>
      <family val="2"/>
    </font>
    <font>
      <sz val="10"/>
      <color indexed="12"/>
      <name val="Arial"/>
      <family val="2"/>
    </font>
    <font>
      <sz val="8"/>
      <name val="Arial"/>
      <family val="2"/>
    </font>
    <font>
      <b/>
      <u/>
      <sz val="11"/>
      <name val="Arial"/>
      <family val="2"/>
    </font>
    <font>
      <sz val="8"/>
      <color indexed="81"/>
      <name val="Tahoma"/>
      <family val="2"/>
    </font>
    <font>
      <b/>
      <sz val="8"/>
      <color indexed="81"/>
      <name val="Tahoma"/>
      <family val="2"/>
    </font>
    <font>
      <b/>
      <sz val="11"/>
      <name val="Arial"/>
      <family val="2"/>
    </font>
    <font>
      <sz val="9"/>
      <color indexed="81"/>
      <name val="Tahoma"/>
      <family val="2"/>
    </font>
    <font>
      <b/>
      <sz val="9"/>
      <color indexed="81"/>
      <name val="Tahoma"/>
      <family val="2"/>
    </font>
    <font>
      <b/>
      <sz val="16"/>
      <name val="Arial"/>
      <family val="2"/>
    </font>
    <font>
      <b/>
      <sz val="10"/>
      <name val="Calibri"/>
      <family val="2"/>
    </font>
    <font>
      <b/>
      <sz val="10"/>
      <name val="Tahoma"/>
      <family val="2"/>
    </font>
    <font>
      <b/>
      <sz val="12"/>
      <color rgb="FF000000"/>
      <name val="Arial"/>
      <family val="2"/>
    </font>
    <font>
      <sz val="10"/>
      <color rgb="FF000000"/>
      <name val="Arial"/>
      <family val="2"/>
    </font>
    <font>
      <b/>
      <sz val="11"/>
      <color rgb="FF000000"/>
      <name val="Arial"/>
      <family val="2"/>
    </font>
    <font>
      <sz val="12"/>
      <name val="Arial"/>
      <family val="2"/>
    </font>
  </fonts>
  <fills count="6">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indexed="10"/>
        <bgColor indexed="64"/>
      </patternFill>
    </fill>
    <fill>
      <patternFill patternType="solid">
        <fgColor theme="9" tint="0.59999389629810485"/>
        <bgColor indexed="64"/>
      </patternFill>
    </fill>
  </fills>
  <borders count="44">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medium">
        <color indexed="64"/>
      </right>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style="hair">
        <color indexed="64"/>
      </left>
      <right style="hair">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hair">
        <color indexed="64"/>
      </left>
      <right style="thin">
        <color indexed="64"/>
      </right>
      <top/>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medium">
        <color indexed="64"/>
      </bottom>
      <diagonal/>
    </border>
    <border>
      <left style="medium">
        <color indexed="64"/>
      </left>
      <right/>
      <top/>
      <bottom/>
      <diagonal/>
    </border>
    <border>
      <left style="hair">
        <color indexed="64"/>
      </left>
      <right/>
      <top/>
      <bottom/>
      <diagonal/>
    </border>
    <border>
      <left style="hair">
        <color indexed="64"/>
      </left>
      <right style="medium">
        <color indexed="64"/>
      </right>
      <top/>
      <bottom/>
      <diagonal/>
    </border>
    <border>
      <left style="thin">
        <color indexed="64"/>
      </left>
      <right style="hair">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s>
  <cellStyleXfs count="1">
    <xf numFmtId="0" fontId="0" fillId="0" borderId="0"/>
  </cellStyleXfs>
  <cellXfs count="97">
    <xf numFmtId="0" fontId="0" fillId="0" borderId="0" xfId="0"/>
    <xf numFmtId="0" fontId="0" fillId="0" borderId="0" xfId="0" applyAlignment="1">
      <alignment horizontal="centerContinuous"/>
    </xf>
    <xf numFmtId="0" fontId="4" fillId="0" borderId="0" xfId="0" applyFont="1" applyAlignment="1">
      <alignment horizontal="centerContinuous"/>
    </xf>
    <xf numFmtId="0" fontId="0" fillId="2" borderId="1" xfId="0" applyFill="1" applyBorder="1" applyAlignment="1"/>
    <xf numFmtId="0" fontId="0" fillId="2" borderId="2" xfId="0" applyFill="1" applyBorder="1" applyAlignment="1"/>
    <xf numFmtId="0" fontId="1" fillId="2" borderId="3" xfId="0" applyFont="1" applyFill="1" applyBorder="1"/>
    <xf numFmtId="0" fontId="0" fillId="2" borderId="4" xfId="0" applyFill="1" applyBorder="1"/>
    <xf numFmtId="0" fontId="1" fillId="2" borderId="5" xfId="0" applyFont="1" applyFill="1" applyBorder="1"/>
    <xf numFmtId="0" fontId="0" fillId="2" borderId="6" xfId="0" applyFill="1" applyBorder="1"/>
    <xf numFmtId="0" fontId="1" fillId="2" borderId="7" xfId="0" applyFont="1" applyFill="1" applyBorder="1"/>
    <xf numFmtId="0" fontId="0" fillId="2" borderId="8" xfId="0" applyFill="1" applyBorder="1"/>
    <xf numFmtId="0" fontId="0" fillId="0" borderId="0" xfId="0" applyBorder="1" applyAlignment="1">
      <alignment horizontal="center"/>
    </xf>
    <xf numFmtId="0" fontId="1" fillId="0" borderId="0" xfId="0" applyFont="1" applyFill="1" applyBorder="1"/>
    <xf numFmtId="0" fontId="0" fillId="0" borderId="0" xfId="0" applyFill="1" applyBorder="1"/>
    <xf numFmtId="0" fontId="0" fillId="2" borderId="2" xfId="0" applyFill="1" applyBorder="1" applyAlignment="1">
      <alignment horizontal="centerContinuous"/>
    </xf>
    <xf numFmtId="0" fontId="5" fillId="0" borderId="0" xfId="0" applyFont="1" applyAlignment="1">
      <alignment horizontal="centerContinuous"/>
    </xf>
    <xf numFmtId="0" fontId="6" fillId="0" borderId="10" xfId="0" applyFont="1" applyBorder="1" applyAlignment="1">
      <alignment horizontal="center"/>
    </xf>
    <xf numFmtId="0" fontId="6" fillId="0" borderId="11" xfId="0" applyFont="1" applyBorder="1" applyAlignment="1">
      <alignment horizontal="center"/>
    </xf>
    <xf numFmtId="0" fontId="4" fillId="2" borderId="9" xfId="0" applyFont="1" applyFill="1" applyBorder="1" applyAlignment="1"/>
    <xf numFmtId="0" fontId="2" fillId="2" borderId="2" xfId="0" applyFont="1" applyFill="1" applyBorder="1"/>
    <xf numFmtId="0" fontId="0" fillId="2" borderId="12" xfId="0" applyFill="1" applyBorder="1"/>
    <xf numFmtId="0" fontId="0" fillId="2" borderId="13" xfId="0" applyFill="1" applyBorder="1"/>
    <xf numFmtId="0" fontId="0" fillId="2" borderId="14" xfId="0" applyFill="1" applyBorder="1"/>
    <xf numFmtId="0" fontId="0" fillId="2" borderId="10" xfId="0" applyFill="1" applyBorder="1"/>
    <xf numFmtId="0" fontId="0" fillId="2" borderId="15" xfId="0" applyFill="1" applyBorder="1"/>
    <xf numFmtId="0" fontId="0" fillId="2" borderId="11" xfId="0" applyFill="1" applyBorder="1"/>
    <xf numFmtId="0" fontId="0" fillId="2" borderId="16" xfId="0" applyFill="1" applyBorder="1" applyAlignment="1">
      <alignment horizontal="centerContinuous"/>
    </xf>
    <xf numFmtId="0" fontId="0" fillId="2" borderId="13" xfId="0" applyFill="1" applyBorder="1" applyAlignment="1">
      <alignment horizontal="center"/>
    </xf>
    <xf numFmtId="0" fontId="0" fillId="2" borderId="17" xfId="0" applyFill="1" applyBorder="1" applyAlignment="1">
      <alignment horizontal="centerContinuous"/>
    </xf>
    <xf numFmtId="0" fontId="0" fillId="2" borderId="18" xfId="0" applyFill="1" applyBorder="1" applyAlignment="1">
      <alignment horizontal="center"/>
    </xf>
    <xf numFmtId="0" fontId="0" fillId="2" borderId="19" xfId="0" applyFill="1" applyBorder="1" applyAlignment="1">
      <alignment horizontal="center"/>
    </xf>
    <xf numFmtId="0" fontId="0" fillId="2" borderId="20" xfId="0" applyFill="1" applyBorder="1" applyAlignment="1">
      <alignment horizontal="center"/>
    </xf>
    <xf numFmtId="0" fontId="0" fillId="2" borderId="21" xfId="0" applyFill="1" applyBorder="1" applyAlignment="1">
      <alignment horizontal="center"/>
    </xf>
    <xf numFmtId="0" fontId="0" fillId="2" borderId="22" xfId="0" applyFill="1" applyBorder="1"/>
    <xf numFmtId="0" fontId="0" fillId="2" borderId="23" xfId="0" applyFill="1" applyBorder="1" applyAlignment="1">
      <alignment horizontal="center"/>
    </xf>
    <xf numFmtId="0" fontId="0" fillId="2" borderId="24" xfId="0" applyFill="1" applyBorder="1" applyAlignment="1">
      <alignment horizontal="centerContinuous"/>
    </xf>
    <xf numFmtId="0" fontId="0" fillId="2" borderId="25" xfId="0" applyFill="1" applyBorder="1" applyAlignment="1">
      <alignment horizontal="center"/>
    </xf>
    <xf numFmtId="0" fontId="0" fillId="2" borderId="26" xfId="0" applyFill="1" applyBorder="1" applyAlignment="1">
      <alignment horizontal="center"/>
    </xf>
    <xf numFmtId="2" fontId="0" fillId="0" borderId="0" xfId="0" applyNumberFormat="1" applyAlignment="1">
      <alignment horizontal="center"/>
    </xf>
    <xf numFmtId="2" fontId="0" fillId="0" borderId="3" xfId="0" applyNumberFormat="1" applyBorder="1" applyAlignment="1">
      <alignment horizontal="center"/>
    </xf>
    <xf numFmtId="2" fontId="0" fillId="0" borderId="27" xfId="0" applyNumberFormat="1" applyBorder="1" applyAlignment="1">
      <alignment horizontal="center"/>
    </xf>
    <xf numFmtId="0" fontId="6" fillId="0" borderId="15" xfId="0" applyFont="1" applyBorder="1" applyAlignment="1">
      <alignment horizontal="center"/>
    </xf>
    <xf numFmtId="11" fontId="6" fillId="0" borderId="15" xfId="0" applyNumberFormat="1" applyFont="1" applyBorder="1" applyAlignment="1">
      <alignment horizontal="center"/>
    </xf>
    <xf numFmtId="164" fontId="0" fillId="0" borderId="28" xfId="0" applyNumberFormat="1" applyBorder="1"/>
    <xf numFmtId="164" fontId="0" fillId="0" borderId="29" xfId="0" applyNumberFormat="1" applyBorder="1"/>
    <xf numFmtId="164" fontId="0" fillId="0" borderId="0" xfId="0" applyNumberFormat="1"/>
    <xf numFmtId="164" fontId="0" fillId="0" borderId="30" xfId="0" applyNumberFormat="1" applyBorder="1"/>
    <xf numFmtId="0" fontId="0" fillId="0" borderId="30" xfId="0" applyBorder="1"/>
    <xf numFmtId="164" fontId="0" fillId="0" borderId="16" xfId="0" applyNumberFormat="1" applyBorder="1"/>
    <xf numFmtId="0" fontId="0" fillId="0" borderId="27" xfId="0" applyBorder="1"/>
    <xf numFmtId="0" fontId="0" fillId="0" borderId="0" xfId="0" applyBorder="1" applyAlignment="1">
      <alignment horizontal="centerContinuous"/>
    </xf>
    <xf numFmtId="0" fontId="0" fillId="0" borderId="0" xfId="0" applyBorder="1"/>
    <xf numFmtId="0" fontId="8" fillId="0" borderId="0" xfId="0" applyFont="1"/>
    <xf numFmtId="0" fontId="6" fillId="0" borderId="0" xfId="0" applyFont="1" applyBorder="1" applyAlignment="1">
      <alignment horizontal="center"/>
    </xf>
    <xf numFmtId="0" fontId="6" fillId="0" borderId="0" xfId="0" applyFont="1" applyFill="1" applyBorder="1" applyAlignment="1">
      <alignment horizontal="center"/>
    </xf>
    <xf numFmtId="0" fontId="1" fillId="0" borderId="0" xfId="0" applyFont="1"/>
    <xf numFmtId="166" fontId="0" fillId="0" borderId="4" xfId="0" applyNumberFormat="1" applyBorder="1"/>
    <xf numFmtId="0" fontId="1" fillId="2" borderId="31" xfId="0" applyFont="1" applyFill="1" applyBorder="1" applyAlignment="1">
      <alignment horizontal="center"/>
    </xf>
    <xf numFmtId="0" fontId="1" fillId="2" borderId="23" xfId="0" applyFont="1" applyFill="1" applyBorder="1"/>
    <xf numFmtId="0" fontId="1" fillId="2" borderId="13" xfId="0" applyFont="1" applyFill="1" applyBorder="1" applyAlignment="1">
      <alignment horizontal="center"/>
    </xf>
    <xf numFmtId="0" fontId="1" fillId="2" borderId="32" xfId="0" applyFont="1" applyFill="1" applyBorder="1"/>
    <xf numFmtId="0" fontId="1" fillId="2" borderId="33" xfId="0" applyFont="1" applyFill="1" applyBorder="1"/>
    <xf numFmtId="0" fontId="1" fillId="2" borderId="34" xfId="0" applyFont="1" applyFill="1" applyBorder="1"/>
    <xf numFmtId="166" fontId="0" fillId="0" borderId="35" xfId="0" applyNumberFormat="1" applyBorder="1"/>
    <xf numFmtId="165" fontId="0" fillId="0" borderId="36" xfId="0" applyNumberFormat="1" applyFill="1" applyBorder="1"/>
    <xf numFmtId="165" fontId="0" fillId="0" borderId="37" xfId="0" applyNumberFormat="1" applyFill="1" applyBorder="1"/>
    <xf numFmtId="164" fontId="0" fillId="0" borderId="39" xfId="0" applyNumberFormat="1" applyBorder="1"/>
    <xf numFmtId="164" fontId="0" fillId="0" borderId="40" xfId="0" applyNumberFormat="1" applyFill="1" applyBorder="1"/>
    <xf numFmtId="164" fontId="0" fillId="0" borderId="35" xfId="0" applyNumberFormat="1" applyBorder="1"/>
    <xf numFmtId="164" fontId="0" fillId="0" borderId="35" xfId="0" applyNumberFormat="1" applyFill="1" applyBorder="1"/>
    <xf numFmtId="0" fontId="1" fillId="2" borderId="41" xfId="0" applyFont="1" applyFill="1" applyBorder="1" applyAlignment="1">
      <alignment horizontal="center"/>
    </xf>
    <xf numFmtId="0" fontId="1" fillId="2" borderId="39" xfId="0" applyFont="1" applyFill="1" applyBorder="1" applyAlignment="1">
      <alignment horizontal="center"/>
    </xf>
    <xf numFmtId="0" fontId="1" fillId="2" borderId="12" xfId="0" applyFont="1" applyFill="1" applyBorder="1" applyAlignment="1">
      <alignment horizontal="center"/>
    </xf>
    <xf numFmtId="0" fontId="0" fillId="3" borderId="10" xfId="0" applyFill="1" applyBorder="1"/>
    <xf numFmtId="0" fontId="0" fillId="3" borderId="43" xfId="0" applyFill="1" applyBorder="1"/>
    <xf numFmtId="0" fontId="0" fillId="3" borderId="11" xfId="0" applyFill="1" applyBorder="1"/>
    <xf numFmtId="0" fontId="0" fillId="4" borderId="10" xfId="0" applyFill="1" applyBorder="1"/>
    <xf numFmtId="0" fontId="0" fillId="3" borderId="10" xfId="0" applyFill="1" applyBorder="1" applyAlignment="1"/>
    <xf numFmtId="0" fontId="0" fillId="3" borderId="43" xfId="0" applyFill="1" applyBorder="1" applyAlignment="1"/>
    <xf numFmtId="0" fontId="0" fillId="3" borderId="11" xfId="0" applyFill="1" applyBorder="1" applyAlignment="1"/>
    <xf numFmtId="0" fontId="6" fillId="0" borderId="0" xfId="0" applyFont="1" applyAlignment="1">
      <alignment horizontal="center"/>
    </xf>
    <xf numFmtId="0" fontId="11" fillId="0" borderId="0" xfId="0" applyFont="1"/>
    <xf numFmtId="0" fontId="3" fillId="2" borderId="9" xfId="0" applyFont="1" applyFill="1" applyBorder="1" applyAlignment="1">
      <alignment horizontal="left"/>
    </xf>
    <xf numFmtId="164" fontId="0" fillId="5" borderId="35" xfId="0" applyNumberFormat="1" applyFill="1" applyBorder="1"/>
    <xf numFmtId="166" fontId="0" fillId="5" borderId="35" xfId="0" applyNumberFormat="1" applyFill="1" applyBorder="1"/>
    <xf numFmtId="165" fontId="0" fillId="5" borderId="37" xfId="0" applyNumberFormat="1" applyFill="1" applyBorder="1"/>
    <xf numFmtId="164" fontId="0" fillId="5" borderId="41" xfId="0" applyNumberFormat="1" applyFill="1" applyBorder="1"/>
    <xf numFmtId="164" fontId="0" fillId="5" borderId="42" xfId="0" applyNumberFormat="1" applyFill="1" applyBorder="1"/>
    <xf numFmtId="166" fontId="0" fillId="5" borderId="8" xfId="0" applyNumberFormat="1" applyFill="1" applyBorder="1"/>
    <xf numFmtId="165" fontId="0" fillId="5" borderId="38" xfId="0" applyNumberFormat="1" applyFill="1" applyBorder="1"/>
    <xf numFmtId="0" fontId="14" fillId="0" borderId="0" xfId="0" applyFont="1"/>
    <xf numFmtId="0" fontId="3" fillId="2" borderId="5" xfId="0" applyFont="1" applyFill="1" applyBorder="1"/>
    <xf numFmtId="0" fontId="3" fillId="2" borderId="3" xfId="0" applyFont="1" applyFill="1" applyBorder="1"/>
    <xf numFmtId="0" fontId="3" fillId="2" borderId="7" xfId="0" applyFont="1" applyFill="1" applyBorder="1"/>
    <xf numFmtId="0" fontId="4" fillId="2" borderId="9" xfId="0" applyFont="1" applyFill="1" applyBorder="1" applyAlignment="1">
      <alignment horizontal="centerContinuous"/>
    </xf>
    <xf numFmtId="0" fontId="20" fillId="2" borderId="1" xfId="0" applyFont="1" applyFill="1" applyBorder="1" applyAlignment="1">
      <alignment horizontal="centerContinuous"/>
    </xf>
    <xf numFmtId="0" fontId="5" fillId="0" borderId="0" xfId="0" applyFont="1" applyAlignment="1">
      <alignment horizontal="center"/>
    </xf>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microsoft.com/office/2006/relationships/xlMacrosheet" Target="macrosheets/sheet1.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Location of Spherical Projectile</a:t>
            </a:r>
          </a:p>
        </c:rich>
      </c:tx>
      <c:layout>
        <c:manualLayout>
          <c:xMode val="edge"/>
          <c:yMode val="edge"/>
          <c:x val="0.33168370282156112"/>
          <c:y val="3.0927835051546393E-2"/>
        </c:manualLayout>
      </c:layout>
      <c:overlay val="0"/>
      <c:spPr>
        <a:noFill/>
        <a:ln w="25400">
          <a:noFill/>
        </a:ln>
      </c:spPr>
    </c:title>
    <c:autoTitleDeleted val="0"/>
    <c:plotArea>
      <c:layout>
        <c:manualLayout>
          <c:layoutTarget val="inner"/>
          <c:xMode val="edge"/>
          <c:yMode val="edge"/>
          <c:x val="0.11221140194958286"/>
          <c:y val="0.12371134020618557"/>
          <c:w val="0.74587578942958022"/>
          <c:h val="0.78350515463917525"/>
        </c:manualLayout>
      </c:layout>
      <c:scatterChart>
        <c:scatterStyle val="lineMarker"/>
        <c:varyColors val="0"/>
        <c:ser>
          <c:idx val="0"/>
          <c:order val="0"/>
          <c:spPr>
            <a:ln w="19050">
              <a:noFill/>
            </a:ln>
          </c:spPr>
          <c:marker>
            <c:symbol val="circle"/>
            <c:size val="5"/>
            <c:spPr>
              <a:solidFill>
                <a:srgbClr val="FF0000"/>
              </a:solidFill>
              <a:ln>
                <a:solidFill>
                  <a:srgbClr val="FF0000"/>
                </a:solidFill>
                <a:prstDash val="solid"/>
              </a:ln>
            </c:spPr>
          </c:marker>
          <c:xVal>
            <c:numRef>
              <c:f>'Computed Data'!$F$5:$F$500</c:f>
              <c:numCache>
                <c:formatCode>0.0000</c:formatCode>
                <c:ptCount val="496"/>
                <c:pt idx="0">
                  <c:v>0</c:v>
                </c:pt>
                <c:pt idx="1">
                  <c:v>0.99860968295444286</c:v>
                </c:pt>
                <c:pt idx="2">
                  <c:v>1.9945177418976461</c:v>
                </c:pt>
                <c:pt idx="3">
                  <c:v>2.987840042923509</c:v>
                </c:pt>
                <c:pt idx="4">
                  <c:v>3.9786887591377802</c:v>
                </c:pt>
                <c:pt idx="5">
                  <c:v>4.9671721346035964</c:v>
                </c:pt>
                <c:pt idx="6">
                  <c:v>5.953394200246982</c:v>
                </c:pt>
                <c:pt idx="7">
                  <c:v>6.9374544363798076</c:v>
                </c:pt>
                <c:pt idx="8">
                  <c:v>7.9194473769385159</c:v>
                </c:pt>
                <c:pt idx="9">
                  <c:v>8.8994621517246557</c:v>
                </c:pt>
                <c:pt idx="10">
                  <c:v>9.8775819652141834</c:v>
                </c:pt>
                <c:pt idx="11">
                  <c:v>10.853883514266734</c:v>
                </c:pt>
                <c:pt idx="12">
                  <c:v>11.828436352665001</c:v>
                </c:pt>
                <c:pt idx="13">
                  <c:v>12.801302218001034</c:v>
                </c:pt>
                <c:pt idx="14">
                  <c:v>13.772534345713645</c:v>
                </c:pt>
                <c:pt idx="15">
                  <c:v>14.742176805067277</c:v>
                </c:pt>
                <c:pt idx="16">
                  <c:v>15.710263900658607</c:v>
                </c:pt>
                <c:pt idx="17">
                  <c:v>16.676819688019123</c:v>
                </c:pt>
                <c:pt idx="18">
                  <c:v>17.64185765035759</c:v>
                </c:pt>
                <c:pt idx="19">
                  <c:v>18.605380573822224</c:v>
                </c:pt>
                <c:pt idx="20">
                  <c:v>19.567380641405329</c:v>
                </c:pt>
                <c:pt idx="21">
                  <c:v>20.527839743862241</c:v>
                </c:pt>
                <c:pt idx="22">
                  <c:v>21.486729984564953</c:v>
                </c:pt>
                <c:pt idx="23">
                  <c:v>22.444014338750922</c:v>
                </c:pt>
                <c:pt idx="24">
                  <c:v>23.399647419007124</c:v>
                </c:pt>
                <c:pt idx="25">
                  <c:v>24.353576298314401</c:v>
                </c:pt>
                <c:pt idx="26">
                  <c:v>25.305741347733719</c:v>
                </c:pt>
                <c:pt idx="27">
                  <c:v>26.256077055074382</c:v>
                </c:pt>
                <c:pt idx="28">
                  <c:v>27.204512801046924</c:v>
                </c:pt>
                <c:pt idx="29">
                  <c:v>28.150973578660565</c:v>
                </c:pt>
                <c:pt idx="30">
                  <c:v>29.095380649063088</c:v>
                </c:pt>
                <c:pt idx="31">
                  <c:v>30.037652132423311</c:v>
                </c:pt>
                <c:pt idx="32">
                  <c:v>30.977703536022858</c:v>
                </c:pt>
                <c:pt idx="33">
                  <c:v>31.915448223830033</c:v>
                </c:pt>
                <c:pt idx="34">
                  <c:v>32.850797832874406</c:v>
                </c:pt>
                <c:pt idx="35">
                  <c:v>33.783662642072635</c:v>
                </c:pt>
              </c:numCache>
            </c:numRef>
          </c:xVal>
          <c:yVal>
            <c:numRef>
              <c:f>'Computed Data'!$G$5:$G$500</c:f>
              <c:numCache>
                <c:formatCode>0.0000</c:formatCode>
                <c:ptCount val="496"/>
                <c:pt idx="0">
                  <c:v>0</c:v>
                </c:pt>
                <c:pt idx="1">
                  <c:v>1.6810925785423274</c:v>
                </c:pt>
                <c:pt idx="2">
                  <c:v>3.2605268395653848</c:v>
                </c:pt>
                <c:pt idx="3">
                  <c:v>4.7386724378656195</c:v>
                </c:pt>
                <c:pt idx="4">
                  <c:v>6.1158760621581338</c:v>
                </c:pt>
                <c:pt idx="5">
                  <c:v>7.3924620058163244</c:v>
                </c:pt>
                <c:pt idx="6">
                  <c:v>8.5687327731780059</c:v>
                </c:pt>
                <c:pt idx="7">
                  <c:v>9.6449697362596538</c:v>
                </c:pt>
                <c:pt idx="8">
                  <c:v>10.621433859827601</c:v>
                </c:pt>
                <c:pt idx="9">
                  <c:v>11.49836651621685</c:v>
                </c:pt>
                <c:pt idx="10">
                  <c:v>12.275990414808447</c:v>
                </c:pt>
                <c:pt idx="11">
                  <c:v>12.954510674184958</c:v>
                </c:pt>
                <c:pt idx="12">
                  <c:v>13.53411606687478</c:v>
                </c:pt>
                <c:pt idx="13">
                  <c:v>14.014980466108462</c:v>
                </c:pt>
                <c:pt idx="14">
                  <c:v>14.397264519703311</c:v>
                </c:pt>
                <c:pt idx="15">
                  <c:v>14.681117566636004</c:v>
                </c:pt>
                <c:pt idx="16">
                  <c:v>14.866679796198584</c:v>
                </c:pt>
                <c:pt idx="17">
                  <c:v>14.95408462833648</c:v>
                </c:pt>
                <c:pt idx="18">
                  <c:v>14.943461269283643</c:v>
                </c:pt>
                <c:pt idx="19">
                  <c:v>14.834937373363429</c:v>
                </c:pt>
                <c:pt idx="20">
                  <c:v>14.628641725187977</c:v>
                </c:pt>
                <c:pt idx="21">
                  <c:v>14.324706850890953</c:v>
                </c:pt>
                <c:pt idx="22">
                  <c:v>13.92327147407293</c:v>
                </c:pt>
                <c:pt idx="23">
                  <c:v>13.424482749868487</c:v>
                </c:pt>
                <c:pt idx="24">
                  <c:v>12.828498234322982</c:v>
                </c:pt>
                <c:pt idx="25">
                  <c:v>12.135487570714552</c:v>
                </c:pt>
                <c:pt idx="26">
                  <c:v>11.345633895300393</c:v>
                </c:pt>
                <c:pt idx="27">
                  <c:v>10.459134979969921</c:v>
                </c:pt>
                <c:pt idx="28">
                  <c:v>9.4762041381600071</c:v>
                </c:pt>
                <c:pt idx="29">
                  <c:v>8.3970709241024597</c:v>
                </c:pt>
                <c:pt idx="30">
                  <c:v>7.2219816555095671</c:v>
                </c:pt>
                <c:pt idx="31">
                  <c:v>5.9511997876005642</c:v>
                </c:pt>
                <c:pt idx="32">
                  <c:v>4.5850061630675665</c:v>
                </c:pt>
                <c:pt idx="33">
                  <c:v>3.1236991589484173</c:v>
                </c:pt>
                <c:pt idx="34">
                  <c:v>1.567594747877427</c:v>
                </c:pt>
                <c:pt idx="35">
                  <c:v>-8.2973511943538858E-2</c:v>
                </c:pt>
              </c:numCache>
            </c:numRef>
          </c:yVal>
          <c:smooth val="0"/>
          <c:extLst>
            <c:ext xmlns:c16="http://schemas.microsoft.com/office/drawing/2014/chart" uri="{C3380CC4-5D6E-409C-BE32-E72D297353CC}">
              <c16:uniqueId val="{00000000-EC2E-4945-8B87-BB9B48E7CE0F}"/>
            </c:ext>
          </c:extLst>
        </c:ser>
        <c:dLbls>
          <c:showLegendKey val="0"/>
          <c:showVal val="0"/>
          <c:showCatName val="0"/>
          <c:showSerName val="0"/>
          <c:showPercent val="0"/>
          <c:showBubbleSize val="0"/>
        </c:dLbls>
        <c:axId val="526942648"/>
        <c:axId val="526941864"/>
      </c:scatterChart>
      <c:valAx>
        <c:axId val="526942648"/>
        <c:scaling>
          <c:orientation val="minMax"/>
          <c:max val="200"/>
        </c:scaling>
        <c:delete val="0"/>
        <c:axPos val="b"/>
        <c:majorGridlines>
          <c:spPr>
            <a:ln w="3175">
              <a:solidFill>
                <a:srgbClr val="000000"/>
              </a:solidFill>
              <a:prstDash val="solid"/>
            </a:ln>
          </c:spPr>
        </c:majorGridlines>
        <c:minorGridlines>
          <c:spPr>
            <a:ln w="3175">
              <a:solidFill>
                <a:srgbClr val="969696"/>
              </a:solidFill>
              <a:prstDash val="solid"/>
            </a:ln>
          </c:spPr>
        </c:minorGridlines>
        <c:title>
          <c:tx>
            <c:rich>
              <a:bodyPr/>
              <a:lstStyle/>
              <a:p>
                <a:pPr>
                  <a:defRPr sz="800" b="1" i="0" u="none" strike="noStrike" baseline="0">
                    <a:solidFill>
                      <a:srgbClr val="000000"/>
                    </a:solidFill>
                    <a:latin typeface="Arial"/>
                    <a:ea typeface="Arial"/>
                    <a:cs typeface="Arial"/>
                  </a:defRPr>
                </a:pPr>
                <a:r>
                  <a:rPr lang="en-US"/>
                  <a:t>X-Position [m]</a:t>
                </a:r>
              </a:p>
            </c:rich>
          </c:tx>
          <c:layout>
            <c:manualLayout>
              <c:xMode val="edge"/>
              <c:yMode val="edge"/>
              <c:x val="0.41749242195947744"/>
              <c:y val="0.927835051546391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26941864"/>
        <c:crossesAt val="0"/>
        <c:crossBetween val="midCat"/>
      </c:valAx>
      <c:valAx>
        <c:axId val="526941864"/>
        <c:scaling>
          <c:orientation val="minMax"/>
          <c:max val="50"/>
          <c:min val="-5"/>
        </c:scaling>
        <c:delete val="0"/>
        <c:axPos val="l"/>
        <c:majorGridlines>
          <c:spPr>
            <a:ln w="3175">
              <a:solidFill>
                <a:srgbClr val="000000"/>
              </a:solidFill>
              <a:prstDash val="solid"/>
            </a:ln>
          </c:spPr>
        </c:majorGridlines>
        <c:minorGridlines>
          <c:spPr>
            <a:ln w="3175">
              <a:solidFill>
                <a:srgbClr val="969696"/>
              </a:solidFill>
              <a:prstDash val="solid"/>
            </a:ln>
          </c:spPr>
        </c:minorGridlines>
        <c:title>
          <c:tx>
            <c:rich>
              <a:bodyPr/>
              <a:lstStyle/>
              <a:p>
                <a:pPr>
                  <a:defRPr sz="800" b="1" i="0" u="none" strike="noStrike" baseline="0">
                    <a:solidFill>
                      <a:srgbClr val="000000"/>
                    </a:solidFill>
                    <a:latin typeface="Arial"/>
                    <a:ea typeface="Arial"/>
                    <a:cs typeface="Arial"/>
                  </a:defRPr>
                </a:pPr>
                <a:r>
                  <a:rPr lang="en-US"/>
                  <a:t>Y-Position [m]</a:t>
                </a:r>
              </a:p>
            </c:rich>
          </c:tx>
          <c:layout>
            <c:manualLayout>
              <c:xMode val="edge"/>
              <c:yMode val="edge"/>
              <c:x val="2.6402682811666557E-2"/>
              <c:y val="0.4309278350515464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26942648"/>
        <c:crossesAt val="0"/>
        <c:crossBetween val="midCat"/>
        <c:majorUnit val="5"/>
        <c:minorUnit val="1"/>
      </c:valAx>
      <c:spPr>
        <a:solidFill>
          <a:srgbClr val="C0C0C0"/>
        </a:solidFill>
        <a:ln w="25400">
          <a:solidFill>
            <a:srgbClr val="FF0000"/>
          </a:solidFill>
          <a:prstDash val="solid"/>
        </a:ln>
      </c:spPr>
    </c:plotArea>
    <c:plotVisOnly val="1"/>
    <c:dispBlanksAs val="gap"/>
    <c:showDLblsOverMax val="0"/>
  </c:chart>
  <c:spPr>
    <a:solidFill>
      <a:srgbClr val="FFFFFF"/>
    </a:solidFill>
    <a:ln w="6350">
      <a:solidFill>
        <a:srgbClr val="000000"/>
      </a:solid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 r="0.75" t="1" header="0.5" footer="0.5"/>
    <c:pageSetup orientation="landscape" horizontalDpi="-4"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xdr:from>
      <xdr:col>0</xdr:col>
      <xdr:colOff>247650</xdr:colOff>
      <xdr:row>2</xdr:row>
      <xdr:rowOff>19050</xdr:rowOff>
    </xdr:from>
    <xdr:to>
      <xdr:col>9</xdr:col>
      <xdr:colOff>533400</xdr:colOff>
      <xdr:row>30</xdr:row>
      <xdr:rowOff>47625</xdr:rowOff>
    </xdr:to>
    <xdr:graphicFrame macro="">
      <xdr:nvGraphicFramePr>
        <xdr:cNvPr id="102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609600</xdr:colOff>
          <xdr:row>7</xdr:row>
          <xdr:rowOff>9525</xdr:rowOff>
        </xdr:from>
        <xdr:to>
          <xdr:col>12</xdr:col>
          <xdr:colOff>104775</xdr:colOff>
          <xdr:row>10</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Compute &amp;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600075</xdr:colOff>
          <xdr:row>15</xdr:row>
          <xdr:rowOff>0</xdr:rowOff>
        </xdr:from>
        <xdr:to>
          <xdr:col>11</xdr:col>
          <xdr:colOff>0</xdr:colOff>
          <xdr:row>16</xdr:row>
          <xdr:rowOff>28575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Xmax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600075</xdr:colOff>
          <xdr:row>16</xdr:row>
          <xdr:rowOff>142875</xdr:rowOff>
        </xdr:from>
        <xdr:to>
          <xdr:col>10</xdr:col>
          <xdr:colOff>600075</xdr:colOff>
          <xdr:row>18</xdr:row>
          <xdr:rowOff>9525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Ymax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476250</xdr:colOff>
          <xdr:row>33</xdr:row>
          <xdr:rowOff>190500</xdr:rowOff>
        </xdr:from>
        <xdr:to>
          <xdr:col>11</xdr:col>
          <xdr:colOff>352425</xdr:colOff>
          <xdr:row>35</xdr:row>
          <xdr:rowOff>95250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9525</xdr:colOff>
      <xdr:row>2</xdr:row>
      <xdr:rowOff>104775</xdr:rowOff>
    </xdr:from>
    <xdr:to>
      <xdr:col>11</xdr:col>
      <xdr:colOff>447675</xdr:colOff>
      <xdr:row>47</xdr:row>
      <xdr:rowOff>19050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28725" y="428625"/>
          <a:ext cx="5924550" cy="7200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10</xdr:col>
      <xdr:colOff>0</xdr:colOff>
      <xdr:row>47</xdr:row>
      <xdr:rowOff>123825</xdr:rowOff>
    </xdr:to>
    <xdr:pic>
      <xdr:nvPicPr>
        <xdr:cNvPr id="3073"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0"/>
          <a:ext cx="5486400" cy="7734300"/>
        </a:xfrm>
        <a:prstGeom prst="rect">
          <a:avLst/>
        </a:prstGeom>
        <a:noFill/>
        <a:ln>
          <a:noFill/>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12</xdr:col>
      <xdr:colOff>57150</xdr:colOff>
      <xdr:row>45</xdr:row>
      <xdr:rowOff>19050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9600" y="323850"/>
          <a:ext cx="6762750" cy="6981825"/>
        </a:xfrm>
        <a:prstGeom prst="rect">
          <a:avLst/>
        </a:prstGeom>
      </xdr:spPr>
    </xdr:pic>
    <xdr:clientData/>
  </xdr:twoCellAnchor>
</xdr:wsDr>
</file>

<file path=xl/macrosheets/_rels/sheet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mc:Ignorable="x14ac">
  <dimension ref="B1:B30"/>
  <sheetViews>
    <sheetView showFormulas="1" showGridLines="0" showRowColHeaders="0" workbookViewId="0">
      <selection activeCell="E11" sqref="E11"/>
    </sheetView>
  </sheetViews>
  <sheetFormatPr defaultRowHeight="12.75" x14ac:dyDescent="0.2"/>
  <cols>
    <col min="2" max="2" width="27.28515625" customWidth="1"/>
  </cols>
  <sheetData>
    <row r="1" spans="2:2" ht="13.5" thickBot="1" x14ac:dyDescent="0.25"/>
    <row r="2" spans="2:2" x14ac:dyDescent="0.2">
      <c r="B2" s="77" t="s">
        <v>44</v>
      </c>
    </row>
    <row r="3" spans="2:2" x14ac:dyDescent="0.2">
      <c r="B3" s="78" t="s">
        <v>45</v>
      </c>
    </row>
    <row r="4" spans="2:2" x14ac:dyDescent="0.2">
      <c r="B4" s="78" t="s">
        <v>46</v>
      </c>
    </row>
    <row r="5" spans="2:2" x14ac:dyDescent="0.2">
      <c r="B5" s="78" t="s">
        <v>47</v>
      </c>
    </row>
    <row r="6" spans="2:2" ht="13.5" thickBot="1" x14ac:dyDescent="0.25">
      <c r="B6" s="79" t="s">
        <v>48</v>
      </c>
    </row>
    <row r="7" spans="2:2" ht="13.5" thickBot="1" x14ac:dyDescent="0.25"/>
    <row r="8" spans="2:2" x14ac:dyDescent="0.2">
      <c r="B8" s="73" t="s">
        <v>49</v>
      </c>
    </row>
    <row r="9" spans="2:2" ht="13.5" thickBot="1" x14ac:dyDescent="0.25">
      <c r="B9" s="75" t="s">
        <v>50</v>
      </c>
    </row>
    <row r="10" spans="2:2" ht="13.5" thickBot="1" x14ac:dyDescent="0.25"/>
    <row r="11" spans="2:2" x14ac:dyDescent="0.2">
      <c r="B11" s="73" t="s">
        <v>51</v>
      </c>
    </row>
    <row r="12" spans="2:2" ht="13.5" thickBot="1" x14ac:dyDescent="0.25">
      <c r="B12" s="75" t="s">
        <v>52</v>
      </c>
    </row>
    <row r="13" spans="2:2" ht="13.5" thickBot="1" x14ac:dyDescent="0.25"/>
    <row r="14" spans="2:2" x14ac:dyDescent="0.2">
      <c r="B14" s="73" t="s">
        <v>53</v>
      </c>
    </row>
    <row r="15" spans="2:2" x14ac:dyDescent="0.2">
      <c r="B15" s="74" t="s">
        <v>54</v>
      </c>
    </row>
    <row r="16" spans="2:2" x14ac:dyDescent="0.2">
      <c r="B16" s="74" t="s">
        <v>55</v>
      </c>
    </row>
    <row r="17" spans="2:2" x14ac:dyDescent="0.2">
      <c r="B17" s="74" t="s">
        <v>56</v>
      </c>
    </row>
    <row r="18" spans="2:2" ht="13.5" thickBot="1" x14ac:dyDescent="0.25">
      <c r="B18" s="75" t="s">
        <v>57</v>
      </c>
    </row>
    <row r="20" spans="2:2" ht="13.5" thickBot="1" x14ac:dyDescent="0.25"/>
    <row r="21" spans="2:2" x14ac:dyDescent="0.2">
      <c r="B21" s="76" t="s">
        <v>58</v>
      </c>
    </row>
    <row r="22" spans="2:2" x14ac:dyDescent="0.2">
      <c r="B22" s="74" t="s">
        <v>59</v>
      </c>
    </row>
    <row r="23" spans="2:2" x14ac:dyDescent="0.2">
      <c r="B23" s="74" t="s">
        <v>60</v>
      </c>
    </row>
    <row r="24" spans="2:2" x14ac:dyDescent="0.2">
      <c r="B24" s="74" t="s">
        <v>61</v>
      </c>
    </row>
    <row r="25" spans="2:2" x14ac:dyDescent="0.2">
      <c r="B25" s="74" t="s">
        <v>62</v>
      </c>
    </row>
    <row r="26" spans="2:2" x14ac:dyDescent="0.2">
      <c r="B26" s="74" t="s">
        <v>63</v>
      </c>
    </row>
    <row r="27" spans="2:2" x14ac:dyDescent="0.2">
      <c r="B27" s="74" t="s">
        <v>64</v>
      </c>
    </row>
    <row r="28" spans="2:2" x14ac:dyDescent="0.2">
      <c r="B28" s="74" t="s">
        <v>65</v>
      </c>
    </row>
    <row r="29" spans="2:2" x14ac:dyDescent="0.2">
      <c r="B29" s="74" t="s">
        <v>66</v>
      </c>
    </row>
    <row r="30" spans="2:2" ht="13.5" thickBot="1" x14ac:dyDescent="0.25">
      <c r="B30" s="75" t="s">
        <v>67</v>
      </c>
    </row>
  </sheetData>
  <sheetProtection password="DF43" sheet="1" objects="1" scenarios="1"/>
  <phoneticPr fontId="7" type="noConversion"/>
  <pageMargins left="0.75" right="0.75" top="1" bottom="1" header="0.5" footer="0.5"/>
  <pageSetup orientation="portrait" horizontalDpi="300" verticalDpi="300" r:id="rId1"/>
  <headerFooter alignWithMargins="0">
    <oddHeader>&amp;A</oddHeader>
    <oddFooter>Page &amp;P</oddFooter>
  </headerFooter>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46"/>
  <sheetViews>
    <sheetView showGridLines="0" showRowColHeaders="0" tabSelected="1" topLeftCell="A4" workbookViewId="0">
      <selection activeCell="O30" sqref="O30"/>
    </sheetView>
  </sheetViews>
  <sheetFormatPr defaultRowHeight="12.75" x14ac:dyDescent="0.2"/>
  <cols>
    <col min="13" max="13" width="10.7109375" customWidth="1"/>
  </cols>
  <sheetData>
    <row r="1" spans="1:12" ht="18" x14ac:dyDescent="0.25">
      <c r="A1" s="15" t="s">
        <v>0</v>
      </c>
      <c r="B1" s="1"/>
      <c r="C1" s="1"/>
      <c r="D1" s="1"/>
      <c r="E1" s="1"/>
      <c r="F1" s="1"/>
      <c r="G1" s="1"/>
      <c r="H1" s="1"/>
      <c r="I1" s="1"/>
      <c r="J1" s="1"/>
    </row>
    <row r="2" spans="1:12" ht="15.75" x14ac:dyDescent="0.25">
      <c r="C2" s="2"/>
      <c r="D2" s="1"/>
      <c r="E2" s="1"/>
      <c r="F2" s="1"/>
      <c r="G2" s="1"/>
      <c r="H2" s="1"/>
      <c r="I2" s="1"/>
      <c r="J2" s="50"/>
      <c r="K2" s="51"/>
    </row>
    <row r="14" spans="1:12" ht="15" x14ac:dyDescent="0.25">
      <c r="K14" s="52" t="s">
        <v>1</v>
      </c>
    </row>
    <row r="16" spans="1:12" x14ac:dyDescent="0.2">
      <c r="L16" s="53">
        <v>200</v>
      </c>
    </row>
    <row r="18" spans="3:12" x14ac:dyDescent="0.2">
      <c r="L18" s="54">
        <v>50</v>
      </c>
    </row>
    <row r="21" spans="3:12" ht="15" x14ac:dyDescent="0.25">
      <c r="K21" s="81" t="s">
        <v>68</v>
      </c>
      <c r="L21" s="80">
        <v>0.2</v>
      </c>
    </row>
    <row r="32" spans="3:12" ht="15.75" x14ac:dyDescent="0.25">
      <c r="C32" s="2"/>
      <c r="D32" s="1"/>
      <c r="E32" s="1"/>
      <c r="F32" s="1"/>
      <c r="G32" s="1"/>
      <c r="H32" s="1"/>
      <c r="I32" s="1"/>
      <c r="J32" s="50"/>
    </row>
    <row r="33" spans="3:15" ht="16.5" thickBot="1" x14ac:dyDescent="0.3">
      <c r="C33" s="2"/>
      <c r="D33" s="1"/>
      <c r="E33" s="1"/>
      <c r="F33" s="1"/>
      <c r="G33" s="1"/>
      <c r="H33" s="1"/>
      <c r="I33" s="1"/>
      <c r="J33" s="50"/>
    </row>
    <row r="34" spans="3:15" ht="16.5" thickBot="1" x14ac:dyDescent="0.3">
      <c r="C34" s="18" t="s">
        <v>2</v>
      </c>
      <c r="D34" s="3"/>
      <c r="E34" s="3"/>
      <c r="F34" s="3"/>
      <c r="G34" s="3"/>
      <c r="H34" s="4"/>
      <c r="I34" s="1"/>
      <c r="J34" s="50"/>
    </row>
    <row r="35" spans="3:15" x14ac:dyDescent="0.2">
      <c r="C35" s="5" t="s">
        <v>3</v>
      </c>
      <c r="D35" s="6"/>
      <c r="E35" s="6"/>
      <c r="F35" s="6"/>
      <c r="G35" s="6"/>
      <c r="H35" s="16">
        <v>60</v>
      </c>
      <c r="J35" s="51"/>
    </row>
    <row r="36" spans="3:15" x14ac:dyDescent="0.2">
      <c r="C36" s="7" t="s">
        <v>4</v>
      </c>
      <c r="D36" s="8"/>
      <c r="E36" s="8"/>
      <c r="F36" s="8"/>
      <c r="G36" s="8"/>
      <c r="H36" s="41">
        <v>20</v>
      </c>
      <c r="J36" s="51"/>
    </row>
    <row r="37" spans="3:15" x14ac:dyDescent="0.2">
      <c r="C37" s="91" t="s">
        <v>70</v>
      </c>
      <c r="D37" s="8"/>
      <c r="E37" s="8"/>
      <c r="F37" s="8"/>
      <c r="G37" s="8"/>
      <c r="H37" s="41">
        <v>0.05</v>
      </c>
      <c r="J37" s="51"/>
    </row>
    <row r="38" spans="3:15" x14ac:dyDescent="0.2">
      <c r="C38" s="91" t="s">
        <v>71</v>
      </c>
      <c r="D38" s="8"/>
      <c r="E38" s="8"/>
      <c r="F38" s="8"/>
      <c r="G38" s="8"/>
      <c r="H38" s="41">
        <v>8000</v>
      </c>
      <c r="J38" s="51"/>
    </row>
    <row r="39" spans="3:15" ht="13.5" thickBot="1" x14ac:dyDescent="0.25">
      <c r="C39" s="93" t="s">
        <v>72</v>
      </c>
      <c r="D39" s="10"/>
      <c r="E39" s="10"/>
      <c r="F39" s="10"/>
      <c r="G39" s="10"/>
      <c r="H39" s="17">
        <v>-2</v>
      </c>
      <c r="J39" s="51"/>
    </row>
    <row r="40" spans="3:15" ht="13.5" thickBot="1" x14ac:dyDescent="0.25">
      <c r="C40" s="12"/>
      <c r="D40" s="13"/>
      <c r="E40" s="13"/>
      <c r="F40" s="13"/>
      <c r="G40" s="13"/>
      <c r="H40" s="11"/>
      <c r="J40" s="51"/>
    </row>
    <row r="41" spans="3:15" ht="16.5" thickBot="1" x14ac:dyDescent="0.3">
      <c r="C41" s="18" t="s">
        <v>5</v>
      </c>
      <c r="D41" s="3"/>
      <c r="E41" s="3"/>
      <c r="F41" s="3"/>
      <c r="G41" s="3"/>
      <c r="H41" s="4"/>
      <c r="J41" s="51"/>
    </row>
    <row r="42" spans="3:15" x14ac:dyDescent="0.2">
      <c r="C42" s="92" t="s">
        <v>73</v>
      </c>
      <c r="D42" s="6"/>
      <c r="E42" s="6"/>
      <c r="F42" s="6"/>
      <c r="G42" s="6"/>
      <c r="H42" s="16">
        <v>1.19</v>
      </c>
      <c r="J42" s="51"/>
    </row>
    <row r="43" spans="3:15" x14ac:dyDescent="0.2">
      <c r="C43" s="91" t="s">
        <v>74</v>
      </c>
      <c r="D43" s="8"/>
      <c r="E43" s="8"/>
      <c r="F43" s="8"/>
      <c r="G43" s="8"/>
      <c r="H43" s="42">
        <v>1.5400000000000002E-5</v>
      </c>
      <c r="J43" s="51"/>
    </row>
    <row r="44" spans="3:15" x14ac:dyDescent="0.2">
      <c r="C44" s="91" t="s">
        <v>75</v>
      </c>
      <c r="D44" s="8"/>
      <c r="E44" s="8"/>
      <c r="F44" s="8"/>
      <c r="G44" s="8"/>
      <c r="H44" s="41">
        <v>9.8000000000000007</v>
      </c>
      <c r="J44" s="51"/>
    </row>
    <row r="45" spans="3:15" ht="13.5" thickBot="1" x14ac:dyDescent="0.25">
      <c r="C45" s="9" t="s">
        <v>6</v>
      </c>
      <c r="D45" s="10"/>
      <c r="E45" s="10"/>
      <c r="F45" s="10"/>
      <c r="G45" s="10"/>
      <c r="H45" s="17">
        <v>0.1</v>
      </c>
      <c r="J45" s="51"/>
      <c r="O45" s="38"/>
    </row>
    <row r="46" spans="3:15" x14ac:dyDescent="0.2">
      <c r="J46" s="51"/>
    </row>
  </sheetData>
  <phoneticPr fontId="7" type="noConversion"/>
  <printOptions horizontalCentered="1"/>
  <pageMargins left="0.75" right="0.75" top="1" bottom="1" header="0.5" footer="0.5"/>
  <pageSetup orientation="portrait" horizontalDpi="300" verticalDpi="300" r:id="rId1"/>
  <headerFooter alignWithMargins="0">
    <oddHeader>&amp;CProjectile Motion</oddHeader>
    <oddFooter xml:space="preserve">&amp;CPrepared by G.W. O'Leary and R.J. Ribando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Line="0" autoPict="0" macro="[0]!KUTTA">
                <anchor moveWithCells="1" sizeWithCells="1">
                  <from>
                    <xdr:col>9</xdr:col>
                    <xdr:colOff>609600</xdr:colOff>
                    <xdr:row>7</xdr:row>
                    <xdr:rowOff>9525</xdr:rowOff>
                  </from>
                  <to>
                    <xdr:col>12</xdr:col>
                    <xdr:colOff>104775</xdr:colOff>
                    <xdr:row>10</xdr:row>
                    <xdr:rowOff>9525</xdr:rowOff>
                  </to>
                </anchor>
              </controlPr>
            </control>
          </mc:Choice>
        </mc:AlternateContent>
        <mc:AlternateContent xmlns:mc="http://schemas.openxmlformats.org/markup-compatibility/2006">
          <mc:Choice Requires="x14">
            <control shapeId="1034" r:id="rId5" name="Button 10">
              <controlPr defaultSize="0" print="0" autoFill="0" autoLine="0" autoPict="0" macro="[0]!SetXmax">
                <anchor moveWithCells="1" sizeWithCells="1">
                  <from>
                    <xdr:col>9</xdr:col>
                    <xdr:colOff>600075</xdr:colOff>
                    <xdr:row>15</xdr:row>
                    <xdr:rowOff>0</xdr:rowOff>
                  </from>
                  <to>
                    <xdr:col>11</xdr:col>
                    <xdr:colOff>0</xdr:colOff>
                    <xdr:row>16</xdr:row>
                    <xdr:rowOff>28575</xdr:rowOff>
                  </to>
                </anchor>
              </controlPr>
            </control>
          </mc:Choice>
        </mc:AlternateContent>
        <mc:AlternateContent xmlns:mc="http://schemas.openxmlformats.org/markup-compatibility/2006">
          <mc:Choice Requires="x14">
            <control shapeId="1035" r:id="rId6" name="Button 11">
              <controlPr defaultSize="0" print="0" autoFill="0" autoLine="0" autoPict="0" macro="[0]!SetYmax">
                <anchor moveWithCells="1" sizeWithCells="1">
                  <from>
                    <xdr:col>9</xdr:col>
                    <xdr:colOff>600075</xdr:colOff>
                    <xdr:row>16</xdr:row>
                    <xdr:rowOff>142875</xdr:rowOff>
                  </from>
                  <to>
                    <xdr:col>10</xdr:col>
                    <xdr:colOff>600075</xdr:colOff>
                    <xdr:row>18</xdr:row>
                    <xdr:rowOff>9525</xdr:rowOff>
                  </to>
                </anchor>
              </controlPr>
            </control>
          </mc:Choice>
        </mc:AlternateContent>
        <mc:AlternateContent xmlns:mc="http://schemas.openxmlformats.org/markup-compatibility/2006">
          <mc:Choice Requires="x14">
            <control shapeId="1040" r:id="rId7" name="Button 16">
              <controlPr defaultSize="0" print="0" autoFill="0" autoPict="0" macro="[0]!Defaults">
                <anchor moveWithCells="1" sizeWithCells="1">
                  <from>
                    <xdr:col>9</xdr:col>
                    <xdr:colOff>476250</xdr:colOff>
                    <xdr:row>33</xdr:row>
                    <xdr:rowOff>190500</xdr:rowOff>
                  </from>
                  <to>
                    <xdr:col>11</xdr:col>
                    <xdr:colOff>352425</xdr:colOff>
                    <xdr:row>35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I521"/>
  <sheetViews>
    <sheetView showGridLines="0" showRowColHeaders="0" workbookViewId="0">
      <pane ySplit="5" topLeftCell="A6" activePane="bottomLeft" state="frozen"/>
      <selection pane="bottomLeft" activeCell="K12" sqref="K12"/>
    </sheetView>
  </sheetViews>
  <sheetFormatPr defaultRowHeight="12.75" x14ac:dyDescent="0.2"/>
  <sheetData>
    <row r="1" spans="2:9" ht="16.5" thickBot="1" x14ac:dyDescent="0.3">
      <c r="B1" s="82" t="s">
        <v>69</v>
      </c>
      <c r="C1" s="19"/>
      <c r="E1" s="94" t="s">
        <v>7</v>
      </c>
      <c r="F1" s="95"/>
      <c r="G1" s="95"/>
      <c r="H1" s="95"/>
      <c r="I1" s="14"/>
    </row>
    <row r="2" spans="2:9" x14ac:dyDescent="0.2">
      <c r="B2" s="23" t="s">
        <v>8</v>
      </c>
      <c r="C2" s="20">
        <f>rhofluid/Rhoproj</f>
        <v>1.4874999999999998E-4</v>
      </c>
      <c r="E2" s="32" t="s">
        <v>9</v>
      </c>
      <c r="F2" s="28" t="s">
        <v>10</v>
      </c>
      <c r="G2" s="35"/>
      <c r="H2" s="28" t="s">
        <v>11</v>
      </c>
      <c r="I2" s="26"/>
    </row>
    <row r="3" spans="2:9" x14ac:dyDescent="0.2">
      <c r="B3" s="24" t="s">
        <v>12</v>
      </c>
      <c r="C3" s="22">
        <f>1+0.5*rhobar</f>
        <v>1.0000743750000001</v>
      </c>
      <c r="E3" s="33"/>
      <c r="F3" s="30" t="s">
        <v>13</v>
      </c>
      <c r="G3" s="36" t="s">
        <v>14</v>
      </c>
      <c r="H3" s="30" t="s">
        <v>15</v>
      </c>
      <c r="I3" s="31" t="s">
        <v>16</v>
      </c>
    </row>
    <row r="4" spans="2:9" ht="13.5" thickBot="1" x14ac:dyDescent="0.25">
      <c r="B4" s="24" t="s">
        <v>17</v>
      </c>
      <c r="C4" s="22">
        <f>(1-rhobar)*ggrav</f>
        <v>9.7985422500000006</v>
      </c>
      <c r="E4" s="34" t="s">
        <v>18</v>
      </c>
      <c r="F4" s="29" t="s">
        <v>19</v>
      </c>
      <c r="G4" s="37" t="s">
        <v>19</v>
      </c>
      <c r="H4" s="29" t="s">
        <v>20</v>
      </c>
      <c r="I4" s="27" t="s">
        <v>20</v>
      </c>
    </row>
    <row r="5" spans="2:9" ht="13.5" thickBot="1" x14ac:dyDescent="0.25">
      <c r="B5" s="25" t="s">
        <v>21</v>
      </c>
      <c r="C5" s="21">
        <f>0.75*rhobar/Diameter</f>
        <v>2.2312499999999993E-3</v>
      </c>
      <c r="E5" s="39">
        <v>0</v>
      </c>
      <c r="F5" s="46">
        <v>0</v>
      </c>
      <c r="G5" s="43">
        <v>0</v>
      </c>
      <c r="H5" s="46">
        <f>Velinit*COS(Angle*PI()/180)</f>
        <v>10.000000000000002</v>
      </c>
      <c r="I5" s="44">
        <f>Velinit*SIN(Angle*PI()/180)</f>
        <v>17.320508075688771</v>
      </c>
    </row>
    <row r="6" spans="2:9" x14ac:dyDescent="0.2">
      <c r="E6" s="40">
        <v>0.1</v>
      </c>
      <c r="F6" s="46">
        <v>0.99860968295444286</v>
      </c>
      <c r="G6" s="45">
        <v>1.6810925785423274</v>
      </c>
      <c r="H6" s="46">
        <v>9.9723926219194539</v>
      </c>
      <c r="I6" s="48">
        <v>16.301998696601597</v>
      </c>
    </row>
    <row r="7" spans="2:9" x14ac:dyDescent="0.2">
      <c r="E7" s="40">
        <v>0.2</v>
      </c>
      <c r="F7" s="46">
        <v>1.9945177418976461</v>
      </c>
      <c r="G7" s="45">
        <v>3.2605268395653848</v>
      </c>
      <c r="H7" s="46">
        <v>9.9459616922014416</v>
      </c>
      <c r="I7" s="48">
        <v>15.287302534687148</v>
      </c>
    </row>
    <row r="8" spans="2:9" x14ac:dyDescent="0.2">
      <c r="E8" s="40">
        <v>0.30000000000000004</v>
      </c>
      <c r="F8" s="46">
        <v>2.987840042923509</v>
      </c>
      <c r="G8" s="45">
        <v>4.7386724378656195</v>
      </c>
      <c r="H8" s="46">
        <v>9.9206713144931982</v>
      </c>
      <c r="I8" s="48">
        <v>14.276187162404138</v>
      </c>
    </row>
    <row r="9" spans="2:9" x14ac:dyDescent="0.2">
      <c r="E9" s="40">
        <v>0.4</v>
      </c>
      <c r="F9" s="46">
        <v>3.9786887591377802</v>
      </c>
      <c r="G9" s="45">
        <v>6.1158760621581338</v>
      </c>
      <c r="H9" s="46">
        <v>9.8964834542113245</v>
      </c>
      <c r="I9" s="48">
        <v>13.268425724350017</v>
      </c>
    </row>
    <row r="10" spans="2:9" x14ac:dyDescent="0.2">
      <c r="E10" s="40">
        <v>0.5</v>
      </c>
      <c r="F10" s="46">
        <v>4.9671721346035964</v>
      </c>
      <c r="G10" s="45">
        <v>7.3924620058163244</v>
      </c>
      <c r="H10" s="46">
        <v>9.8733574850287305</v>
      </c>
      <c r="I10" s="48">
        <v>12.263797227998955</v>
      </c>
    </row>
    <row r="11" spans="2:9" x14ac:dyDescent="0.2">
      <c r="E11" s="40">
        <v>0.6</v>
      </c>
      <c r="F11" s="46">
        <v>5.953394200246982</v>
      </c>
      <c r="G11" s="45">
        <v>8.5687327731780059</v>
      </c>
      <c r="H11" s="46">
        <v>9.8512496815034734</v>
      </c>
      <c r="I11" s="48">
        <v>11.262086968744542</v>
      </c>
    </row>
    <row r="12" spans="2:9" x14ac:dyDescent="0.2">
      <c r="E12" s="40">
        <v>0.7</v>
      </c>
      <c r="F12" s="46">
        <v>6.9374544363798076</v>
      </c>
      <c r="G12" s="45">
        <v>9.6449697362596538</v>
      </c>
      <c r="H12" s="46">
        <v>9.8301126594959634</v>
      </c>
      <c r="I12" s="48">
        <v>10.263087118210994</v>
      </c>
    </row>
    <row r="13" spans="2:9" x14ac:dyDescent="0.2">
      <c r="E13" s="40">
        <v>0.79999999999999993</v>
      </c>
      <c r="F13" s="46">
        <v>7.9194473769385159</v>
      </c>
      <c r="G13" s="45">
        <v>10.621433859827601</v>
      </c>
      <c r="H13" s="46">
        <v>9.8098947719980227</v>
      </c>
      <c r="I13" s="48">
        <v>9.2665975088514028</v>
      </c>
    </row>
    <row r="14" spans="2:9" x14ac:dyDescent="0.2">
      <c r="E14" s="40">
        <v>0.89999999999999991</v>
      </c>
      <c r="F14" s="46">
        <v>8.8994621517246557</v>
      </c>
      <c r="G14" s="45">
        <v>11.49836651621685</v>
      </c>
      <c r="H14" s="46">
        <v>9.7905394770857974</v>
      </c>
      <c r="I14" s="48">
        <v>8.2724266502352108</v>
      </c>
    </row>
    <row r="15" spans="2:9" x14ac:dyDescent="0.2">
      <c r="E15" s="40">
        <v>0.99999999999999989</v>
      </c>
      <c r="F15" s="46">
        <v>9.8775819652141834</v>
      </c>
      <c r="G15" s="45">
        <v>12.275990414808447</v>
      </c>
      <c r="H15" s="46">
        <v>9.7719847075638935</v>
      </c>
      <c r="I15" s="48">
        <v>7.2803930112237696</v>
      </c>
    </row>
    <row r="16" spans="2:9" x14ac:dyDescent="0.2">
      <c r="E16" s="40">
        <v>1.0999999999999999</v>
      </c>
      <c r="F16" s="46">
        <v>10.853883514266734</v>
      </c>
      <c r="G16" s="45">
        <v>12.954510674184958</v>
      </c>
      <c r="H16" s="46">
        <v>9.7541622886258672</v>
      </c>
      <c r="I16" s="48">
        <v>6.2903265946714075</v>
      </c>
    </row>
    <row r="17" spans="5:9" x14ac:dyDescent="0.2">
      <c r="E17" s="40">
        <v>1.2</v>
      </c>
      <c r="F17" s="46">
        <v>11.828436352665001</v>
      </c>
      <c r="G17" s="45">
        <v>13.53411606687478</v>
      </c>
      <c r="H17" s="46">
        <v>9.7369974694742751</v>
      </c>
      <c r="I17" s="48">
        <v>5.3020708138941597</v>
      </c>
    </row>
    <row r="18" spans="5:9" x14ac:dyDescent="0.2">
      <c r="E18" s="40">
        <v>1.3</v>
      </c>
      <c r="F18" s="46">
        <v>12.801302218001034</v>
      </c>
      <c r="G18" s="45">
        <v>14.014980466108462</v>
      </c>
      <c r="H18" s="46">
        <v>9.7204086542527222</v>
      </c>
      <c r="I18" s="48">
        <v>4.3154846494731345</v>
      </c>
    </row>
    <row r="19" spans="5:9" x14ac:dyDescent="0.2">
      <c r="E19" s="40">
        <v>1.4000000000000001</v>
      </c>
      <c r="F19" s="46">
        <v>13.772534345713645</v>
      </c>
      <c r="G19" s="45">
        <v>14.397264519703311</v>
      </c>
      <c r="H19" s="46">
        <v>9.7043074310444446</v>
      </c>
      <c r="I19" s="48">
        <v>3.3304450192253858</v>
      </c>
    </row>
    <row r="20" spans="5:9" x14ac:dyDescent="0.2">
      <c r="E20" s="40">
        <v>1.5000000000000002</v>
      </c>
      <c r="F20" s="46">
        <v>14.742176805067277</v>
      </c>
      <c r="G20" s="45">
        <v>14.681117566636004</v>
      </c>
      <c r="H20" s="46">
        <v>9.6885989967406854</v>
      </c>
      <c r="I20" s="48">
        <v>2.3468492358343105</v>
      </c>
    </row>
    <row r="21" spans="5:9" x14ac:dyDescent="0.2">
      <c r="E21" s="40">
        <v>1.6000000000000003</v>
      </c>
      <c r="F21" s="46">
        <v>15.710263900658607</v>
      </c>
      <c r="G21" s="45">
        <v>14.866679796198584</v>
      </c>
      <c r="H21" s="46">
        <v>9.6731830514288433</v>
      </c>
      <c r="I21" s="48">
        <v>1.3646173650549549</v>
      </c>
    </row>
    <row r="22" spans="5:9" x14ac:dyDescent="0.2">
      <c r="E22" s="40">
        <v>1.7000000000000004</v>
      </c>
      <c r="F22" s="46">
        <v>16.676819688019123</v>
      </c>
      <c r="G22" s="45">
        <v>14.95408462833648</v>
      </c>
      <c r="H22" s="46">
        <v>9.657955183636119</v>
      </c>
      <c r="I22" s="48">
        <v>0.38369424970723054</v>
      </c>
    </row>
    <row r="23" spans="5:9" x14ac:dyDescent="0.2">
      <c r="E23" s="40">
        <v>1.8000000000000005</v>
      </c>
      <c r="F23" s="46">
        <v>17.64185765035759</v>
      </c>
      <c r="G23" s="45">
        <v>14.943461269283643</v>
      </c>
      <c r="H23" s="46">
        <v>9.6428086917102345</v>
      </c>
      <c r="I23" s="48">
        <v>-0.59594904790736059</v>
      </c>
    </row>
    <row r="24" spans="5:9" x14ac:dyDescent="0.2">
      <c r="E24" s="40">
        <v>1.9000000000000006</v>
      </c>
      <c r="F24" s="46">
        <v>18.605380573822224</v>
      </c>
      <c r="G24" s="45">
        <v>14.834937373363429</v>
      </c>
      <c r="H24" s="46">
        <v>9.6276367036222421</v>
      </c>
      <c r="I24" s="48">
        <v>-1.5743145934916614</v>
      </c>
    </row>
    <row r="25" spans="5:9" x14ac:dyDescent="0.2">
      <c r="E25" s="40">
        <v>2.0000000000000004</v>
      </c>
      <c r="F25" s="46">
        <v>19.567380641405329</v>
      </c>
      <c r="G25" s="45">
        <v>14.628641725187977</v>
      </c>
      <c r="H25" s="46">
        <v>9.6123343930553116</v>
      </c>
      <c r="I25" s="48">
        <v>-2.5513778348666687</v>
      </c>
    </row>
    <row r="26" spans="5:9" x14ac:dyDescent="0.2">
      <c r="E26" s="40">
        <v>2.1000000000000005</v>
      </c>
      <c r="F26" s="46">
        <v>20.527839743862241</v>
      </c>
      <c r="G26" s="45">
        <v>14.324706850890953</v>
      </c>
      <c r="H26" s="46">
        <v>9.5968010671583297</v>
      </c>
      <c r="I26" s="48">
        <v>-3.5270887551577044</v>
      </c>
    </row>
    <row r="27" spans="5:9" x14ac:dyDescent="0.2">
      <c r="E27" s="40">
        <v>2.2000000000000006</v>
      </c>
      <c r="F27" s="46">
        <v>21.486729984564953</v>
      </c>
      <c r="G27" s="45">
        <v>13.92327147407293</v>
      </c>
      <c r="H27" s="46">
        <v>9.5809419296415737</v>
      </c>
      <c r="I27" s="48">
        <v>-4.5013737951177744</v>
      </c>
    </row>
    <row r="28" spans="5:9" x14ac:dyDescent="0.2">
      <c r="E28" s="40">
        <v>2.3000000000000007</v>
      </c>
      <c r="F28" s="46">
        <v>22.444014338750922</v>
      </c>
      <c r="G28" s="45">
        <v>13.424482749868487</v>
      </c>
      <c r="H28" s="46">
        <v>9.5646693911925293</v>
      </c>
      <c r="I28" s="48">
        <v>-5.4741383279502882</v>
      </c>
    </row>
    <row r="29" spans="5:9" x14ac:dyDescent="0.2">
      <c r="E29" s="40">
        <v>2.4000000000000008</v>
      </c>
      <c r="F29" s="46">
        <v>23.399647419007124</v>
      </c>
      <c r="G29" s="45">
        <v>12.828498234322982</v>
      </c>
      <c r="H29" s="46">
        <v>9.5479038831878533</v>
      </c>
      <c r="I29" s="48">
        <v>-6.445269436934324</v>
      </c>
    </row>
    <row r="30" spans="5:9" x14ac:dyDescent="0.2">
      <c r="E30" s="40">
        <v>2.5000000000000009</v>
      </c>
      <c r="F30" s="46">
        <v>24.353576298314401</v>
      </c>
      <c r="G30" s="45">
        <v>12.135487570714552</v>
      </c>
      <c r="H30" s="46">
        <v>9.530574205190435</v>
      </c>
      <c r="I30" s="48">
        <v>-7.4146387638487488</v>
      </c>
    </row>
    <row r="31" spans="5:9" x14ac:dyDescent="0.2">
      <c r="E31" s="40">
        <v>2.600000000000001</v>
      </c>
      <c r="F31" s="46">
        <v>25.305741347733719</v>
      </c>
      <c r="G31" s="45">
        <v>11.345633895300393</v>
      </c>
      <c r="H31" s="46">
        <v>9.5126174860943067</v>
      </c>
      <c r="I31" s="48">
        <v>-8.3821052470319817</v>
      </c>
    </row>
    <row r="32" spans="5:9" x14ac:dyDescent="0.2">
      <c r="E32" s="40">
        <v>2.7000000000000011</v>
      </c>
      <c r="F32" s="46">
        <v>26.256077055074382</v>
      </c>
      <c r="G32" s="45">
        <v>10.459134979969921</v>
      </c>
      <c r="H32" s="46">
        <v>9.4939788598096122</v>
      </c>
      <c r="I32" s="48">
        <v>-9.3475176305484915</v>
      </c>
    </row>
    <row r="33" spans="5:9" x14ac:dyDescent="0.2">
      <c r="E33" s="40">
        <v>2.8000000000000012</v>
      </c>
      <c r="F33" s="46">
        <v>27.204512801046924</v>
      </c>
      <c r="G33" s="45">
        <v>9.4762041381600071</v>
      </c>
      <c r="H33" s="46">
        <v>9.4746109548216477</v>
      </c>
      <c r="I33" s="48">
        <v>-10.31071668380565</v>
      </c>
    </row>
    <row r="34" spans="5:9" x14ac:dyDescent="0.2">
      <c r="E34" s="40">
        <v>2.9000000000000012</v>
      </c>
      <c r="F34" s="46">
        <v>28.150973578660565</v>
      </c>
      <c r="G34" s="45">
        <v>8.3970709241024597</v>
      </c>
      <c r="H34" s="46">
        <v>9.4544732819439634</v>
      </c>
      <c r="I34" s="48">
        <v>-11.271537115437894</v>
      </c>
    </row>
    <row r="35" spans="5:9" x14ac:dyDescent="0.2">
      <c r="E35" s="40">
        <v>3.0000000000000013</v>
      </c>
      <c r="F35" s="46">
        <v>29.095380649063088</v>
      </c>
      <c r="G35" s="45">
        <v>7.2219816555095671</v>
      </c>
      <c r="H35" s="46">
        <v>9.4335315843844345</v>
      </c>
      <c r="I35" s="48">
        <v>-12.229809194491654</v>
      </c>
    </row>
    <row r="36" spans="5:9" x14ac:dyDescent="0.2">
      <c r="E36" s="40">
        <v>3.1000000000000014</v>
      </c>
      <c r="F36" s="46">
        <v>30.037652132423311</v>
      </c>
      <c r="G36" s="45">
        <v>5.9511997876005642</v>
      </c>
      <c r="H36" s="46">
        <v>9.4117571944205665</v>
      </c>
      <c r="I36" s="48">
        <v>-13.185360108035457</v>
      </c>
    </row>
    <row r="37" spans="5:9" x14ac:dyDescent="0.2">
      <c r="E37" s="40">
        <v>3.2000000000000015</v>
      </c>
      <c r="F37" s="46">
        <v>30.977703536022858</v>
      </c>
      <c r="G37" s="45">
        <v>4.5850061630675665</v>
      </c>
      <c r="H37" s="46">
        <v>9.3891264243628232</v>
      </c>
      <c r="I37" s="48">
        <v>-14.138015090874628</v>
      </c>
    </row>
    <row r="38" spans="5:9" x14ac:dyDescent="0.2">
      <c r="E38" s="40">
        <v>3.3000000000000016</v>
      </c>
      <c r="F38" s="46">
        <v>31.915448223830033</v>
      </c>
      <c r="G38" s="45">
        <v>3.1236991589484173</v>
      </c>
      <c r="H38" s="46">
        <v>9.3656200069281539</v>
      </c>
      <c r="I38" s="48">
        <v>-15.087598363556511</v>
      </c>
    </row>
    <row r="39" spans="5:9" x14ac:dyDescent="0.2">
      <c r="E39" s="40">
        <v>3.4000000000000017</v>
      </c>
      <c r="F39" s="46">
        <v>32.850797832874406</v>
      </c>
      <c r="G39" s="45">
        <v>1.567594747877427</v>
      </c>
      <c r="H39" s="46">
        <v>9.3412225913966722</v>
      </c>
      <c r="I39" s="48">
        <v>-16.033933912032275</v>
      </c>
    </row>
    <row r="40" spans="5:9" x14ac:dyDescent="0.2">
      <c r="E40" s="40">
        <v>3.5000000000000018</v>
      </c>
      <c r="F40" s="46">
        <v>33.783662642072635</v>
      </c>
      <c r="G40" s="45">
        <v>-8.2973511943538858E-2</v>
      </c>
      <c r="H40" s="46">
        <v>9.3159222962644055</v>
      </c>
      <c r="I40" s="48">
        <v>-16.976846138044738</v>
      </c>
    </row>
    <row r="41" spans="5:9" x14ac:dyDescent="0.2">
      <c r="E41" s="40"/>
      <c r="F41" s="46"/>
      <c r="G41" s="45"/>
      <c r="H41" s="46"/>
      <c r="I41" s="48"/>
    </row>
    <row r="42" spans="5:9" x14ac:dyDescent="0.2">
      <c r="E42" s="40"/>
      <c r="F42" s="46"/>
      <c r="G42" s="45"/>
      <c r="H42" s="46"/>
      <c r="I42" s="48"/>
    </row>
    <row r="43" spans="5:9" x14ac:dyDescent="0.2">
      <c r="E43" s="40"/>
      <c r="F43" s="46"/>
      <c r="G43" s="45"/>
      <c r="H43" s="46"/>
      <c r="I43" s="48"/>
    </row>
    <row r="44" spans="5:9" x14ac:dyDescent="0.2">
      <c r="E44" s="40"/>
      <c r="F44" s="46"/>
      <c r="G44" s="45"/>
      <c r="H44" s="46"/>
      <c r="I44" s="48"/>
    </row>
    <row r="45" spans="5:9" x14ac:dyDescent="0.2">
      <c r="E45" s="40"/>
      <c r="F45" s="46"/>
      <c r="G45" s="45"/>
      <c r="H45" s="46"/>
      <c r="I45" s="48"/>
    </row>
    <row r="46" spans="5:9" x14ac:dyDescent="0.2">
      <c r="E46" s="40"/>
      <c r="F46" s="46"/>
      <c r="G46" s="45"/>
      <c r="H46" s="46"/>
      <c r="I46" s="48"/>
    </row>
    <row r="47" spans="5:9" x14ac:dyDescent="0.2">
      <c r="E47" s="40"/>
      <c r="F47" s="46"/>
      <c r="G47" s="45"/>
      <c r="H47" s="46"/>
      <c r="I47" s="48"/>
    </row>
    <row r="48" spans="5:9" x14ac:dyDescent="0.2">
      <c r="E48" s="40"/>
      <c r="F48" s="46"/>
      <c r="G48" s="45"/>
      <c r="H48" s="46"/>
      <c r="I48" s="48"/>
    </row>
    <row r="49" spans="5:9" x14ac:dyDescent="0.2">
      <c r="E49" s="40"/>
      <c r="F49" s="46"/>
      <c r="G49" s="45"/>
      <c r="H49" s="46"/>
      <c r="I49" s="48"/>
    </row>
    <row r="50" spans="5:9" x14ac:dyDescent="0.2">
      <c r="E50" s="40"/>
      <c r="F50" s="46"/>
      <c r="G50" s="45"/>
      <c r="H50" s="46"/>
      <c r="I50" s="48"/>
    </row>
    <row r="51" spans="5:9" x14ac:dyDescent="0.2">
      <c r="E51" s="40"/>
      <c r="F51" s="46"/>
      <c r="G51" s="45"/>
      <c r="H51" s="46"/>
      <c r="I51" s="48"/>
    </row>
    <row r="52" spans="5:9" x14ac:dyDescent="0.2">
      <c r="E52" s="40"/>
      <c r="F52" s="46"/>
      <c r="G52" s="45"/>
      <c r="H52" s="46"/>
      <c r="I52" s="48"/>
    </row>
    <row r="53" spans="5:9" x14ac:dyDescent="0.2">
      <c r="E53" s="40"/>
      <c r="F53" s="46"/>
      <c r="G53" s="45"/>
      <c r="H53" s="46"/>
      <c r="I53" s="48"/>
    </row>
    <row r="54" spans="5:9" x14ac:dyDescent="0.2">
      <c r="E54" s="40"/>
      <c r="F54" s="46"/>
      <c r="G54" s="45"/>
      <c r="H54" s="46"/>
      <c r="I54" s="48"/>
    </row>
    <row r="55" spans="5:9" x14ac:dyDescent="0.2">
      <c r="E55" s="40"/>
      <c r="F55" s="46"/>
      <c r="G55" s="45"/>
      <c r="H55" s="46"/>
      <c r="I55" s="48"/>
    </row>
    <row r="56" spans="5:9" x14ac:dyDescent="0.2">
      <c r="E56" s="40"/>
      <c r="F56" s="46"/>
      <c r="G56" s="45"/>
      <c r="H56" s="46"/>
      <c r="I56" s="48"/>
    </row>
    <row r="57" spans="5:9" x14ac:dyDescent="0.2">
      <c r="E57" s="40"/>
      <c r="F57" s="46"/>
      <c r="G57" s="45"/>
      <c r="H57" s="46"/>
      <c r="I57" s="48"/>
    </row>
    <row r="58" spans="5:9" x14ac:dyDescent="0.2">
      <c r="E58" s="40"/>
      <c r="F58" s="46"/>
      <c r="G58" s="45"/>
      <c r="H58" s="46"/>
      <c r="I58" s="48"/>
    </row>
    <row r="59" spans="5:9" x14ac:dyDescent="0.2">
      <c r="E59" s="40"/>
      <c r="F59" s="46"/>
      <c r="G59" s="45"/>
      <c r="H59" s="46"/>
      <c r="I59" s="48"/>
    </row>
    <row r="60" spans="5:9" x14ac:dyDescent="0.2">
      <c r="E60" s="40"/>
      <c r="F60" s="46"/>
      <c r="G60" s="45"/>
      <c r="H60" s="46"/>
      <c r="I60" s="48"/>
    </row>
    <row r="61" spans="5:9" x14ac:dyDescent="0.2">
      <c r="E61" s="40"/>
      <c r="F61" s="46"/>
      <c r="G61" s="45"/>
      <c r="H61" s="46"/>
      <c r="I61" s="48"/>
    </row>
    <row r="62" spans="5:9" x14ac:dyDescent="0.2">
      <c r="E62" s="40"/>
      <c r="F62" s="46"/>
      <c r="G62" s="45"/>
      <c r="H62" s="46"/>
      <c r="I62" s="48"/>
    </row>
    <row r="63" spans="5:9" x14ac:dyDescent="0.2">
      <c r="E63" s="40"/>
      <c r="F63" s="46"/>
      <c r="G63" s="45"/>
      <c r="H63" s="46"/>
      <c r="I63" s="48"/>
    </row>
    <row r="64" spans="5:9" x14ac:dyDescent="0.2">
      <c r="E64" s="40"/>
      <c r="F64" s="46"/>
      <c r="G64" s="45"/>
      <c r="H64" s="46"/>
      <c r="I64" s="48"/>
    </row>
    <row r="65" spans="5:9" x14ac:dyDescent="0.2">
      <c r="E65" s="40"/>
      <c r="F65" s="46"/>
      <c r="G65" s="45"/>
      <c r="H65" s="46"/>
      <c r="I65" s="48"/>
    </row>
    <row r="66" spans="5:9" x14ac:dyDescent="0.2">
      <c r="E66" s="40"/>
      <c r="F66" s="46"/>
      <c r="G66" s="45"/>
      <c r="H66" s="46"/>
      <c r="I66" s="48"/>
    </row>
    <row r="67" spans="5:9" x14ac:dyDescent="0.2">
      <c r="E67" s="40"/>
      <c r="F67" s="46"/>
      <c r="G67" s="45"/>
      <c r="H67" s="46"/>
      <c r="I67" s="48"/>
    </row>
    <row r="68" spans="5:9" x14ac:dyDescent="0.2">
      <c r="E68" s="40"/>
      <c r="F68" s="46"/>
      <c r="G68" s="45"/>
      <c r="H68" s="46"/>
      <c r="I68" s="48"/>
    </row>
    <row r="69" spans="5:9" x14ac:dyDescent="0.2">
      <c r="E69" s="40"/>
      <c r="F69" s="46"/>
      <c r="G69" s="45"/>
      <c r="H69" s="46"/>
      <c r="I69" s="48"/>
    </row>
    <row r="70" spans="5:9" x14ac:dyDescent="0.2">
      <c r="E70" s="40"/>
      <c r="F70" s="46"/>
      <c r="G70" s="45"/>
      <c r="H70" s="46"/>
      <c r="I70" s="48"/>
    </row>
    <row r="71" spans="5:9" x14ac:dyDescent="0.2">
      <c r="E71" s="40"/>
      <c r="F71" s="46"/>
      <c r="G71" s="45"/>
      <c r="H71" s="46"/>
      <c r="I71" s="48"/>
    </row>
    <row r="72" spans="5:9" x14ac:dyDescent="0.2">
      <c r="E72" s="40"/>
      <c r="F72" s="46"/>
      <c r="G72" s="45"/>
      <c r="H72" s="46"/>
      <c r="I72" s="48"/>
    </row>
    <row r="73" spans="5:9" x14ac:dyDescent="0.2">
      <c r="E73" s="40"/>
      <c r="F73" s="46"/>
      <c r="G73" s="45"/>
      <c r="H73" s="46"/>
      <c r="I73" s="48"/>
    </row>
    <row r="74" spans="5:9" x14ac:dyDescent="0.2">
      <c r="E74" s="40"/>
      <c r="F74" s="46"/>
      <c r="G74" s="45"/>
      <c r="H74" s="46"/>
      <c r="I74" s="48"/>
    </row>
    <row r="75" spans="5:9" x14ac:dyDescent="0.2">
      <c r="E75" s="40"/>
      <c r="F75" s="46"/>
      <c r="G75" s="45"/>
      <c r="H75" s="46"/>
      <c r="I75" s="48"/>
    </row>
    <row r="76" spans="5:9" x14ac:dyDescent="0.2">
      <c r="E76" s="40"/>
      <c r="F76" s="46"/>
      <c r="G76" s="45"/>
      <c r="H76" s="46"/>
      <c r="I76" s="48"/>
    </row>
    <row r="77" spans="5:9" x14ac:dyDescent="0.2">
      <c r="E77" s="40"/>
      <c r="F77" s="46"/>
      <c r="G77" s="45"/>
      <c r="H77" s="46"/>
      <c r="I77" s="48"/>
    </row>
    <row r="78" spans="5:9" x14ac:dyDescent="0.2">
      <c r="E78" s="40"/>
      <c r="F78" s="46"/>
      <c r="G78" s="45"/>
      <c r="H78" s="46"/>
      <c r="I78" s="48"/>
    </row>
    <row r="79" spans="5:9" x14ac:dyDescent="0.2">
      <c r="E79" s="40"/>
      <c r="F79" s="46"/>
      <c r="G79" s="45"/>
      <c r="H79" s="46"/>
      <c r="I79" s="48"/>
    </row>
    <row r="80" spans="5:9" x14ac:dyDescent="0.2">
      <c r="E80" s="40"/>
      <c r="F80" s="46"/>
      <c r="G80" s="45"/>
      <c r="H80" s="46"/>
      <c r="I80" s="48"/>
    </row>
    <row r="81" spans="5:9" x14ac:dyDescent="0.2">
      <c r="E81" s="40"/>
      <c r="F81" s="46"/>
      <c r="G81" s="45"/>
      <c r="H81" s="46"/>
      <c r="I81" s="48"/>
    </row>
    <row r="82" spans="5:9" x14ac:dyDescent="0.2">
      <c r="E82" s="40"/>
      <c r="F82" s="46"/>
      <c r="G82" s="45"/>
      <c r="H82" s="46"/>
      <c r="I82" s="48"/>
    </row>
    <row r="83" spans="5:9" x14ac:dyDescent="0.2">
      <c r="E83" s="40"/>
      <c r="F83" s="46"/>
      <c r="G83" s="45"/>
      <c r="H83" s="46"/>
      <c r="I83" s="48"/>
    </row>
    <row r="84" spans="5:9" x14ac:dyDescent="0.2">
      <c r="E84" s="40"/>
      <c r="F84" s="46"/>
      <c r="G84" s="45"/>
      <c r="H84" s="46"/>
      <c r="I84" s="48"/>
    </row>
    <row r="85" spans="5:9" x14ac:dyDescent="0.2">
      <c r="E85" s="40"/>
      <c r="F85" s="46"/>
      <c r="G85" s="45"/>
      <c r="H85" s="46"/>
      <c r="I85" s="48"/>
    </row>
    <row r="86" spans="5:9" x14ac:dyDescent="0.2">
      <c r="E86" s="40"/>
      <c r="F86" s="46"/>
      <c r="G86" s="45"/>
      <c r="H86" s="46"/>
      <c r="I86" s="48"/>
    </row>
    <row r="87" spans="5:9" x14ac:dyDescent="0.2">
      <c r="E87" s="40"/>
      <c r="F87" s="46"/>
      <c r="G87" s="45"/>
      <c r="H87" s="46"/>
      <c r="I87" s="48"/>
    </row>
    <row r="88" spans="5:9" x14ac:dyDescent="0.2">
      <c r="E88" s="40"/>
      <c r="F88" s="46"/>
      <c r="G88" s="45"/>
      <c r="H88" s="46"/>
      <c r="I88" s="48"/>
    </row>
    <row r="89" spans="5:9" x14ac:dyDescent="0.2">
      <c r="E89" s="40"/>
      <c r="F89" s="46"/>
      <c r="G89" s="45"/>
      <c r="H89" s="46"/>
      <c r="I89" s="48"/>
    </row>
    <row r="90" spans="5:9" x14ac:dyDescent="0.2">
      <c r="E90" s="40"/>
      <c r="F90" s="46"/>
      <c r="G90" s="45"/>
      <c r="H90" s="46"/>
      <c r="I90" s="48"/>
    </row>
    <row r="91" spans="5:9" x14ac:dyDescent="0.2">
      <c r="E91" s="40"/>
      <c r="F91" s="46"/>
      <c r="G91" s="45"/>
      <c r="H91" s="46"/>
      <c r="I91" s="48"/>
    </row>
    <row r="92" spans="5:9" x14ac:dyDescent="0.2">
      <c r="E92" s="40"/>
      <c r="F92" s="46"/>
      <c r="G92" s="45"/>
      <c r="H92" s="46"/>
      <c r="I92" s="48"/>
    </row>
    <row r="93" spans="5:9" x14ac:dyDescent="0.2">
      <c r="E93" s="40"/>
      <c r="F93" s="46"/>
      <c r="G93" s="45"/>
      <c r="H93" s="46"/>
      <c r="I93" s="48"/>
    </row>
    <row r="94" spans="5:9" x14ac:dyDescent="0.2">
      <c r="E94" s="40"/>
      <c r="F94" s="46"/>
      <c r="G94" s="45"/>
      <c r="H94" s="46"/>
      <c r="I94" s="48"/>
    </row>
    <row r="95" spans="5:9" x14ac:dyDescent="0.2">
      <c r="E95" s="40"/>
      <c r="F95" s="46"/>
      <c r="G95" s="45"/>
      <c r="H95" s="46"/>
      <c r="I95" s="48"/>
    </row>
    <row r="96" spans="5:9" x14ac:dyDescent="0.2">
      <c r="E96" s="40"/>
      <c r="F96" s="46"/>
      <c r="G96" s="45"/>
      <c r="H96" s="46"/>
      <c r="I96" s="48"/>
    </row>
    <row r="97" spans="5:9" x14ac:dyDescent="0.2">
      <c r="E97" s="40"/>
      <c r="F97" s="46"/>
      <c r="G97" s="45"/>
      <c r="H97" s="46"/>
      <c r="I97" s="48"/>
    </row>
    <row r="98" spans="5:9" x14ac:dyDescent="0.2">
      <c r="E98" s="40"/>
      <c r="F98" s="46"/>
      <c r="G98" s="45"/>
      <c r="H98" s="46"/>
      <c r="I98" s="48"/>
    </row>
    <row r="99" spans="5:9" x14ac:dyDescent="0.2">
      <c r="E99" s="40"/>
      <c r="F99" s="46"/>
      <c r="G99" s="45"/>
      <c r="H99" s="46"/>
      <c r="I99" s="48"/>
    </row>
    <row r="100" spans="5:9" x14ac:dyDescent="0.2">
      <c r="E100" s="40"/>
      <c r="F100" s="46"/>
      <c r="G100" s="45"/>
      <c r="H100" s="46"/>
      <c r="I100" s="48"/>
    </row>
    <row r="101" spans="5:9" x14ac:dyDescent="0.2">
      <c r="E101" s="40"/>
      <c r="F101" s="46"/>
      <c r="G101" s="45"/>
      <c r="H101" s="46"/>
      <c r="I101" s="48"/>
    </row>
    <row r="102" spans="5:9" x14ac:dyDescent="0.2">
      <c r="E102" s="40"/>
      <c r="F102" s="46"/>
      <c r="G102" s="45"/>
      <c r="H102" s="46"/>
      <c r="I102" s="48"/>
    </row>
    <row r="103" spans="5:9" x14ac:dyDescent="0.2">
      <c r="E103" s="40"/>
      <c r="F103" s="46"/>
      <c r="G103" s="45"/>
      <c r="H103" s="46"/>
      <c r="I103" s="48"/>
    </row>
    <row r="104" spans="5:9" x14ac:dyDescent="0.2">
      <c r="E104" s="40"/>
      <c r="F104" s="46"/>
      <c r="G104" s="45"/>
      <c r="H104" s="46"/>
      <c r="I104" s="48"/>
    </row>
    <row r="105" spans="5:9" x14ac:dyDescent="0.2">
      <c r="E105" s="40"/>
      <c r="F105" s="46"/>
      <c r="G105" s="45"/>
      <c r="H105" s="46"/>
      <c r="I105" s="48"/>
    </row>
    <row r="106" spans="5:9" x14ac:dyDescent="0.2">
      <c r="E106" s="40"/>
      <c r="F106" s="46"/>
      <c r="G106" s="45"/>
      <c r="H106" s="46"/>
      <c r="I106" s="48"/>
    </row>
    <row r="107" spans="5:9" x14ac:dyDescent="0.2">
      <c r="E107" s="40"/>
      <c r="F107" s="46"/>
      <c r="G107" s="45"/>
      <c r="H107" s="46"/>
      <c r="I107" s="48"/>
    </row>
    <row r="108" spans="5:9" x14ac:dyDescent="0.2">
      <c r="E108" s="40"/>
      <c r="F108" s="46"/>
      <c r="G108" s="45"/>
      <c r="H108" s="46"/>
      <c r="I108" s="48"/>
    </row>
    <row r="109" spans="5:9" x14ac:dyDescent="0.2">
      <c r="E109" s="40"/>
      <c r="F109" s="46"/>
      <c r="G109" s="45"/>
      <c r="H109" s="46"/>
      <c r="I109" s="48"/>
    </row>
    <row r="110" spans="5:9" x14ac:dyDescent="0.2">
      <c r="E110" s="40"/>
      <c r="F110" s="46"/>
      <c r="G110" s="45"/>
      <c r="H110" s="46"/>
      <c r="I110" s="48"/>
    </row>
    <row r="111" spans="5:9" x14ac:dyDescent="0.2">
      <c r="E111" s="40"/>
      <c r="F111" s="46"/>
      <c r="G111" s="45"/>
      <c r="H111" s="46"/>
      <c r="I111" s="48"/>
    </row>
    <row r="112" spans="5:9" x14ac:dyDescent="0.2">
      <c r="E112" s="40"/>
      <c r="F112" s="46"/>
      <c r="G112" s="45"/>
      <c r="H112" s="46"/>
      <c r="I112" s="48"/>
    </row>
    <row r="113" spans="5:9" x14ac:dyDescent="0.2">
      <c r="E113" s="40"/>
      <c r="F113" s="46"/>
      <c r="G113" s="45"/>
      <c r="H113" s="46"/>
      <c r="I113" s="48"/>
    </row>
    <row r="114" spans="5:9" x14ac:dyDescent="0.2">
      <c r="E114" s="40"/>
      <c r="F114" s="46"/>
      <c r="G114" s="45"/>
      <c r="H114" s="46"/>
      <c r="I114" s="48"/>
    </row>
    <row r="115" spans="5:9" x14ac:dyDescent="0.2">
      <c r="E115" s="40"/>
      <c r="F115" s="46"/>
      <c r="G115" s="45"/>
      <c r="H115" s="46"/>
      <c r="I115" s="48"/>
    </row>
    <row r="116" spans="5:9" x14ac:dyDescent="0.2">
      <c r="E116" s="40"/>
      <c r="F116" s="46"/>
      <c r="G116" s="45"/>
      <c r="H116" s="46"/>
      <c r="I116" s="48"/>
    </row>
    <row r="117" spans="5:9" x14ac:dyDescent="0.2">
      <c r="E117" s="40"/>
      <c r="F117" s="46"/>
      <c r="G117" s="45"/>
      <c r="H117" s="46"/>
      <c r="I117" s="48"/>
    </row>
    <row r="118" spans="5:9" x14ac:dyDescent="0.2">
      <c r="E118" s="40"/>
      <c r="F118" s="46"/>
      <c r="G118" s="45"/>
      <c r="H118" s="46"/>
      <c r="I118" s="48"/>
    </row>
    <row r="119" spans="5:9" x14ac:dyDescent="0.2">
      <c r="E119" s="40"/>
      <c r="F119" s="46"/>
      <c r="G119" s="45"/>
      <c r="H119" s="46"/>
      <c r="I119" s="48"/>
    </row>
    <row r="120" spans="5:9" x14ac:dyDescent="0.2">
      <c r="E120" s="40"/>
      <c r="F120" s="46"/>
      <c r="G120" s="45"/>
      <c r="H120" s="46"/>
      <c r="I120" s="48"/>
    </row>
    <row r="121" spans="5:9" x14ac:dyDescent="0.2">
      <c r="E121" s="40"/>
      <c r="F121" s="46"/>
      <c r="G121" s="45"/>
      <c r="H121" s="46"/>
      <c r="I121" s="48"/>
    </row>
    <row r="122" spans="5:9" x14ac:dyDescent="0.2">
      <c r="E122" s="40"/>
      <c r="F122" s="46"/>
      <c r="G122" s="45"/>
      <c r="H122" s="46"/>
      <c r="I122" s="48"/>
    </row>
    <row r="123" spans="5:9" x14ac:dyDescent="0.2">
      <c r="E123" s="40"/>
      <c r="F123" s="46"/>
      <c r="G123" s="45"/>
      <c r="H123" s="46"/>
      <c r="I123" s="48"/>
    </row>
    <row r="124" spans="5:9" x14ac:dyDescent="0.2">
      <c r="E124" s="40"/>
      <c r="F124" s="46"/>
      <c r="G124" s="45"/>
      <c r="H124" s="46"/>
      <c r="I124" s="48"/>
    </row>
    <row r="125" spans="5:9" x14ac:dyDescent="0.2">
      <c r="E125" s="40"/>
      <c r="F125" s="46"/>
      <c r="G125" s="45"/>
      <c r="H125" s="46"/>
      <c r="I125" s="48"/>
    </row>
    <row r="126" spans="5:9" x14ac:dyDescent="0.2">
      <c r="E126" s="40"/>
      <c r="F126" s="46"/>
      <c r="G126" s="45"/>
      <c r="H126" s="46"/>
      <c r="I126" s="48"/>
    </row>
    <row r="127" spans="5:9" x14ac:dyDescent="0.2">
      <c r="E127" s="40"/>
      <c r="F127" s="46"/>
      <c r="G127" s="45"/>
      <c r="H127" s="46"/>
      <c r="I127" s="48"/>
    </row>
    <row r="128" spans="5:9" x14ac:dyDescent="0.2">
      <c r="E128" s="40"/>
      <c r="F128" s="46"/>
      <c r="G128" s="45"/>
      <c r="H128" s="46"/>
      <c r="I128" s="48"/>
    </row>
    <row r="129" spans="5:9" x14ac:dyDescent="0.2">
      <c r="E129" s="40"/>
      <c r="F129" s="46"/>
      <c r="G129" s="45"/>
      <c r="H129" s="46"/>
      <c r="I129" s="48"/>
    </row>
    <row r="130" spans="5:9" x14ac:dyDescent="0.2">
      <c r="E130" s="40"/>
      <c r="F130" s="46"/>
      <c r="G130" s="45"/>
      <c r="H130" s="46"/>
      <c r="I130" s="48"/>
    </row>
    <row r="131" spans="5:9" x14ac:dyDescent="0.2">
      <c r="E131" s="40"/>
      <c r="F131" s="46"/>
      <c r="G131" s="45"/>
      <c r="H131" s="46"/>
      <c r="I131" s="48"/>
    </row>
    <row r="132" spans="5:9" x14ac:dyDescent="0.2">
      <c r="E132" s="40"/>
      <c r="F132" s="46"/>
      <c r="G132" s="45"/>
      <c r="H132" s="46"/>
      <c r="I132" s="48"/>
    </row>
    <row r="133" spans="5:9" x14ac:dyDescent="0.2">
      <c r="E133" s="40"/>
      <c r="F133" s="46"/>
      <c r="G133" s="45"/>
      <c r="H133" s="46"/>
      <c r="I133" s="48"/>
    </row>
    <row r="134" spans="5:9" x14ac:dyDescent="0.2">
      <c r="E134" s="40"/>
      <c r="F134" s="46"/>
      <c r="G134" s="45"/>
      <c r="H134" s="46"/>
      <c r="I134" s="48"/>
    </row>
    <row r="135" spans="5:9" x14ac:dyDescent="0.2">
      <c r="E135" s="40"/>
      <c r="F135" s="46"/>
      <c r="G135" s="45"/>
      <c r="H135" s="46"/>
      <c r="I135" s="48"/>
    </row>
    <row r="136" spans="5:9" x14ac:dyDescent="0.2">
      <c r="E136" s="40"/>
      <c r="F136" s="46"/>
      <c r="G136" s="45"/>
      <c r="H136" s="46"/>
      <c r="I136" s="48"/>
    </row>
    <row r="137" spans="5:9" x14ac:dyDescent="0.2">
      <c r="E137" s="40"/>
      <c r="F137" s="46"/>
      <c r="G137" s="45"/>
      <c r="H137" s="46"/>
      <c r="I137" s="48"/>
    </row>
    <row r="138" spans="5:9" x14ac:dyDescent="0.2">
      <c r="E138" s="40"/>
      <c r="F138" s="46"/>
      <c r="G138" s="45"/>
      <c r="H138" s="46"/>
      <c r="I138" s="48"/>
    </row>
    <row r="139" spans="5:9" x14ac:dyDescent="0.2">
      <c r="E139" s="40"/>
      <c r="F139" s="46"/>
      <c r="G139" s="45"/>
      <c r="H139" s="46"/>
      <c r="I139" s="48"/>
    </row>
    <row r="140" spans="5:9" x14ac:dyDescent="0.2">
      <c r="E140" s="40"/>
      <c r="F140" s="46"/>
      <c r="G140" s="45"/>
      <c r="H140" s="46"/>
      <c r="I140" s="48"/>
    </row>
    <row r="141" spans="5:9" x14ac:dyDescent="0.2">
      <c r="E141" s="40"/>
      <c r="F141" s="46"/>
      <c r="G141" s="45"/>
      <c r="H141" s="46"/>
      <c r="I141" s="48"/>
    </row>
    <row r="142" spans="5:9" x14ac:dyDescent="0.2">
      <c r="E142" s="40"/>
      <c r="F142" s="46"/>
      <c r="G142" s="45"/>
      <c r="H142" s="46"/>
      <c r="I142" s="48"/>
    </row>
    <row r="143" spans="5:9" x14ac:dyDescent="0.2">
      <c r="E143" s="40"/>
      <c r="F143" s="46"/>
      <c r="G143" s="45"/>
      <c r="H143" s="46"/>
      <c r="I143" s="48"/>
    </row>
    <row r="144" spans="5:9" x14ac:dyDescent="0.2">
      <c r="E144" s="40"/>
      <c r="F144" s="46"/>
      <c r="G144" s="45"/>
      <c r="H144" s="46"/>
      <c r="I144" s="48"/>
    </row>
    <row r="145" spans="5:9" x14ac:dyDescent="0.2">
      <c r="E145" s="40"/>
      <c r="F145" s="46"/>
      <c r="G145" s="45"/>
      <c r="H145" s="46"/>
      <c r="I145" s="48"/>
    </row>
    <row r="146" spans="5:9" x14ac:dyDescent="0.2">
      <c r="E146" s="40"/>
      <c r="F146" s="46"/>
      <c r="G146" s="45"/>
      <c r="H146" s="46"/>
      <c r="I146" s="48"/>
    </row>
    <row r="147" spans="5:9" x14ac:dyDescent="0.2">
      <c r="E147" s="40"/>
      <c r="F147" s="46"/>
      <c r="G147" s="45"/>
      <c r="H147" s="46"/>
      <c r="I147" s="48"/>
    </row>
    <row r="148" spans="5:9" x14ac:dyDescent="0.2">
      <c r="E148" s="40"/>
      <c r="F148" s="46"/>
      <c r="G148" s="45"/>
      <c r="H148" s="46"/>
      <c r="I148" s="48"/>
    </row>
    <row r="149" spans="5:9" x14ac:dyDescent="0.2">
      <c r="E149" s="40"/>
      <c r="F149" s="46"/>
      <c r="G149" s="45"/>
      <c r="H149" s="46"/>
      <c r="I149" s="48"/>
    </row>
    <row r="150" spans="5:9" x14ac:dyDescent="0.2">
      <c r="E150" s="40"/>
      <c r="F150" s="46"/>
      <c r="G150" s="45"/>
      <c r="H150" s="46"/>
      <c r="I150" s="48"/>
    </row>
    <row r="151" spans="5:9" x14ac:dyDescent="0.2">
      <c r="E151" s="40"/>
      <c r="F151" s="46"/>
      <c r="G151" s="45"/>
      <c r="H151" s="46"/>
      <c r="I151" s="48"/>
    </row>
    <row r="152" spans="5:9" x14ac:dyDescent="0.2">
      <c r="E152" s="40"/>
      <c r="F152" s="46"/>
      <c r="G152" s="45"/>
      <c r="H152" s="46"/>
      <c r="I152" s="48"/>
    </row>
    <row r="153" spans="5:9" x14ac:dyDescent="0.2">
      <c r="E153" s="40"/>
      <c r="F153" s="46"/>
      <c r="G153" s="45"/>
      <c r="H153" s="46"/>
      <c r="I153" s="48"/>
    </row>
    <row r="154" spans="5:9" x14ac:dyDescent="0.2">
      <c r="E154" s="40"/>
      <c r="F154" s="46"/>
      <c r="G154" s="45"/>
      <c r="H154" s="46"/>
      <c r="I154" s="48"/>
    </row>
    <row r="155" spans="5:9" x14ac:dyDescent="0.2">
      <c r="E155" s="40"/>
      <c r="F155" s="46"/>
      <c r="G155" s="45"/>
      <c r="H155" s="46"/>
      <c r="I155" s="48"/>
    </row>
    <row r="156" spans="5:9" x14ac:dyDescent="0.2">
      <c r="E156" s="40"/>
      <c r="F156" s="46"/>
      <c r="G156" s="45"/>
      <c r="H156" s="46"/>
      <c r="I156" s="48"/>
    </row>
    <row r="157" spans="5:9" x14ac:dyDescent="0.2">
      <c r="E157" s="40"/>
      <c r="F157" s="46"/>
      <c r="G157" s="45"/>
      <c r="H157" s="46"/>
      <c r="I157" s="48"/>
    </row>
    <row r="158" spans="5:9" x14ac:dyDescent="0.2">
      <c r="E158" s="40"/>
      <c r="F158" s="46"/>
      <c r="G158" s="45"/>
      <c r="H158" s="46"/>
      <c r="I158" s="48"/>
    </row>
    <row r="159" spans="5:9" x14ac:dyDescent="0.2">
      <c r="E159" s="40"/>
      <c r="F159" s="46"/>
      <c r="G159" s="45"/>
      <c r="H159" s="46"/>
      <c r="I159" s="48"/>
    </row>
    <row r="160" spans="5:9" x14ac:dyDescent="0.2">
      <c r="E160" s="40"/>
      <c r="F160" s="46"/>
      <c r="G160" s="45"/>
      <c r="H160" s="46"/>
      <c r="I160" s="48"/>
    </row>
    <row r="161" spans="5:9" x14ac:dyDescent="0.2">
      <c r="E161" s="40"/>
      <c r="F161" s="46"/>
      <c r="G161" s="45"/>
      <c r="H161" s="46"/>
      <c r="I161" s="48"/>
    </row>
    <row r="162" spans="5:9" x14ac:dyDescent="0.2">
      <c r="E162" s="40"/>
      <c r="F162" s="46"/>
      <c r="G162" s="45"/>
      <c r="H162" s="46"/>
      <c r="I162" s="48"/>
    </row>
    <row r="163" spans="5:9" x14ac:dyDescent="0.2">
      <c r="E163" s="40"/>
      <c r="F163" s="46"/>
      <c r="G163" s="45"/>
      <c r="H163" s="46"/>
      <c r="I163" s="48"/>
    </row>
    <row r="164" spans="5:9" x14ac:dyDescent="0.2">
      <c r="E164" s="40"/>
      <c r="F164" s="46"/>
      <c r="G164" s="45"/>
      <c r="H164" s="46"/>
      <c r="I164" s="48"/>
    </row>
    <row r="165" spans="5:9" x14ac:dyDescent="0.2">
      <c r="E165" s="40"/>
      <c r="F165" s="46"/>
      <c r="G165" s="45"/>
      <c r="H165" s="46"/>
      <c r="I165" s="48"/>
    </row>
    <row r="166" spans="5:9" x14ac:dyDescent="0.2">
      <c r="E166" s="40"/>
      <c r="F166" s="46"/>
      <c r="G166" s="45"/>
      <c r="H166" s="46"/>
      <c r="I166" s="48"/>
    </row>
    <row r="167" spans="5:9" x14ac:dyDescent="0.2">
      <c r="E167" s="40"/>
      <c r="F167" s="46"/>
      <c r="G167" s="45"/>
      <c r="H167" s="46"/>
      <c r="I167" s="48"/>
    </row>
    <row r="168" spans="5:9" x14ac:dyDescent="0.2">
      <c r="E168" s="40"/>
      <c r="F168" s="46"/>
      <c r="G168" s="45"/>
      <c r="H168" s="46"/>
      <c r="I168" s="48"/>
    </row>
    <row r="169" spans="5:9" x14ac:dyDescent="0.2">
      <c r="E169" s="40"/>
      <c r="F169" s="46"/>
      <c r="G169" s="45"/>
      <c r="H169" s="46"/>
      <c r="I169" s="48"/>
    </row>
    <row r="170" spans="5:9" x14ac:dyDescent="0.2">
      <c r="E170" s="40"/>
      <c r="F170" s="46"/>
      <c r="G170" s="45"/>
      <c r="H170" s="46"/>
      <c r="I170" s="48"/>
    </row>
    <row r="171" spans="5:9" x14ac:dyDescent="0.2">
      <c r="E171" s="40"/>
      <c r="F171" s="46"/>
      <c r="G171" s="45"/>
      <c r="H171" s="46"/>
      <c r="I171" s="48"/>
    </row>
    <row r="172" spans="5:9" x14ac:dyDescent="0.2">
      <c r="E172" s="40"/>
      <c r="F172" s="46"/>
      <c r="G172" s="45"/>
      <c r="H172" s="46"/>
      <c r="I172" s="48"/>
    </row>
    <row r="173" spans="5:9" x14ac:dyDescent="0.2">
      <c r="E173" s="40"/>
      <c r="F173" s="46"/>
      <c r="G173" s="45"/>
      <c r="H173" s="46"/>
      <c r="I173" s="48"/>
    </row>
    <row r="174" spans="5:9" x14ac:dyDescent="0.2">
      <c r="E174" s="40"/>
      <c r="F174" s="46"/>
      <c r="G174" s="45"/>
      <c r="H174" s="46"/>
      <c r="I174" s="48"/>
    </row>
    <row r="175" spans="5:9" x14ac:dyDescent="0.2">
      <c r="E175" s="40"/>
      <c r="F175" s="46"/>
      <c r="G175" s="45"/>
      <c r="H175" s="46"/>
      <c r="I175" s="48"/>
    </row>
    <row r="176" spans="5:9" x14ac:dyDescent="0.2">
      <c r="E176" s="40"/>
      <c r="F176" s="46"/>
      <c r="G176" s="45"/>
      <c r="H176" s="46"/>
      <c r="I176" s="48"/>
    </row>
    <row r="177" spans="5:9" x14ac:dyDescent="0.2">
      <c r="E177" s="40"/>
      <c r="F177" s="46"/>
      <c r="G177" s="45"/>
      <c r="H177" s="46"/>
      <c r="I177" s="48"/>
    </row>
    <row r="178" spans="5:9" x14ac:dyDescent="0.2">
      <c r="E178" s="40"/>
      <c r="F178" s="46"/>
      <c r="G178" s="45"/>
      <c r="H178" s="46"/>
      <c r="I178" s="48"/>
    </row>
    <row r="179" spans="5:9" x14ac:dyDescent="0.2">
      <c r="E179" s="40"/>
      <c r="F179" s="46"/>
      <c r="G179" s="45"/>
      <c r="H179" s="46"/>
      <c r="I179" s="48"/>
    </row>
    <row r="180" spans="5:9" x14ac:dyDescent="0.2">
      <c r="E180" s="40"/>
      <c r="F180" s="46"/>
      <c r="G180" s="45"/>
      <c r="H180" s="46"/>
      <c r="I180" s="48"/>
    </row>
    <row r="181" spans="5:9" x14ac:dyDescent="0.2">
      <c r="E181" s="40"/>
      <c r="F181" s="46"/>
      <c r="G181" s="45"/>
      <c r="H181" s="46"/>
      <c r="I181" s="48"/>
    </row>
    <row r="182" spans="5:9" x14ac:dyDescent="0.2">
      <c r="E182" s="40"/>
      <c r="F182" s="46"/>
      <c r="G182" s="45"/>
      <c r="H182" s="46"/>
      <c r="I182" s="48"/>
    </row>
    <row r="183" spans="5:9" x14ac:dyDescent="0.2">
      <c r="E183" s="40"/>
      <c r="F183" s="46"/>
      <c r="G183" s="45"/>
      <c r="H183" s="46"/>
      <c r="I183" s="48"/>
    </row>
    <row r="184" spans="5:9" x14ac:dyDescent="0.2">
      <c r="E184" s="40"/>
      <c r="F184" s="46"/>
      <c r="G184" s="45"/>
      <c r="H184" s="46"/>
      <c r="I184" s="48"/>
    </row>
    <row r="185" spans="5:9" x14ac:dyDescent="0.2">
      <c r="E185" s="40"/>
      <c r="F185" s="46"/>
      <c r="G185" s="45"/>
      <c r="H185" s="46"/>
      <c r="I185" s="48"/>
    </row>
    <row r="186" spans="5:9" x14ac:dyDescent="0.2">
      <c r="E186" s="40"/>
      <c r="F186" s="46"/>
      <c r="G186" s="45"/>
      <c r="H186" s="46"/>
      <c r="I186" s="48"/>
    </row>
    <row r="187" spans="5:9" x14ac:dyDescent="0.2">
      <c r="E187" s="40"/>
      <c r="F187" s="46"/>
      <c r="G187" s="45"/>
      <c r="H187" s="46"/>
      <c r="I187" s="48"/>
    </row>
    <row r="188" spans="5:9" x14ac:dyDescent="0.2">
      <c r="E188" s="40"/>
      <c r="F188" s="46"/>
      <c r="G188" s="45"/>
      <c r="H188" s="46"/>
      <c r="I188" s="48"/>
    </row>
    <row r="189" spans="5:9" x14ac:dyDescent="0.2">
      <c r="E189" s="40"/>
      <c r="F189" s="46"/>
      <c r="G189" s="45"/>
      <c r="H189" s="46"/>
      <c r="I189" s="48"/>
    </row>
    <row r="190" spans="5:9" x14ac:dyDescent="0.2">
      <c r="E190" s="40"/>
      <c r="F190" s="46"/>
      <c r="G190" s="45"/>
      <c r="H190" s="46"/>
      <c r="I190" s="48"/>
    </row>
    <row r="191" spans="5:9" x14ac:dyDescent="0.2">
      <c r="E191" s="40"/>
      <c r="F191" s="46"/>
      <c r="G191" s="45"/>
      <c r="H191" s="46"/>
      <c r="I191" s="48"/>
    </row>
    <row r="192" spans="5:9" x14ac:dyDescent="0.2">
      <c r="E192" s="40"/>
      <c r="F192" s="46"/>
      <c r="G192" s="45"/>
      <c r="H192" s="46"/>
      <c r="I192" s="48"/>
    </row>
    <row r="193" spans="5:9" x14ac:dyDescent="0.2">
      <c r="E193" s="40"/>
      <c r="F193" s="46"/>
      <c r="G193" s="45"/>
      <c r="H193" s="46"/>
      <c r="I193" s="48"/>
    </row>
    <row r="194" spans="5:9" x14ac:dyDescent="0.2">
      <c r="E194" s="40"/>
      <c r="F194" s="46"/>
      <c r="G194" s="45"/>
      <c r="H194" s="46"/>
      <c r="I194" s="48"/>
    </row>
    <row r="195" spans="5:9" x14ac:dyDescent="0.2">
      <c r="E195" s="40"/>
      <c r="F195" s="46"/>
      <c r="G195" s="45"/>
      <c r="H195" s="46"/>
      <c r="I195" s="48"/>
    </row>
    <row r="196" spans="5:9" x14ac:dyDescent="0.2">
      <c r="E196" s="40"/>
      <c r="F196" s="46"/>
      <c r="G196" s="45"/>
      <c r="H196" s="46"/>
      <c r="I196" s="48"/>
    </row>
    <row r="197" spans="5:9" x14ac:dyDescent="0.2">
      <c r="E197" s="40"/>
      <c r="F197" s="46"/>
      <c r="G197" s="45"/>
      <c r="H197" s="46"/>
      <c r="I197" s="48"/>
    </row>
    <row r="198" spans="5:9" x14ac:dyDescent="0.2">
      <c r="E198" s="40"/>
      <c r="F198" s="46"/>
      <c r="G198" s="45"/>
      <c r="H198" s="46"/>
      <c r="I198" s="48"/>
    </row>
    <row r="199" spans="5:9" x14ac:dyDescent="0.2">
      <c r="E199" s="40"/>
      <c r="F199" s="46"/>
      <c r="G199" s="45"/>
      <c r="H199" s="46"/>
      <c r="I199" s="48"/>
    </row>
    <row r="200" spans="5:9" x14ac:dyDescent="0.2">
      <c r="E200" s="40"/>
      <c r="F200" s="46"/>
      <c r="G200" s="45"/>
      <c r="H200" s="46"/>
      <c r="I200" s="48"/>
    </row>
    <row r="201" spans="5:9" x14ac:dyDescent="0.2">
      <c r="E201" s="49"/>
      <c r="F201" s="46"/>
      <c r="G201" s="45"/>
      <c r="H201" s="46"/>
      <c r="I201" s="48"/>
    </row>
    <row r="202" spans="5:9" x14ac:dyDescent="0.2">
      <c r="E202" s="49"/>
      <c r="F202" s="46"/>
      <c r="G202" s="45"/>
      <c r="H202" s="46"/>
      <c r="I202" s="48"/>
    </row>
    <row r="203" spans="5:9" x14ac:dyDescent="0.2">
      <c r="E203" s="49"/>
      <c r="F203" s="46"/>
      <c r="G203" s="45"/>
      <c r="H203" s="46"/>
      <c r="I203" s="48"/>
    </row>
    <row r="204" spans="5:9" x14ac:dyDescent="0.2">
      <c r="E204" s="49"/>
      <c r="F204" s="46"/>
      <c r="G204" s="45"/>
      <c r="H204" s="46"/>
      <c r="I204" s="48"/>
    </row>
    <row r="205" spans="5:9" x14ac:dyDescent="0.2">
      <c r="E205" s="49"/>
      <c r="F205" s="46"/>
      <c r="G205" s="45"/>
      <c r="H205" s="46"/>
      <c r="I205" s="48"/>
    </row>
    <row r="206" spans="5:9" x14ac:dyDescent="0.2">
      <c r="E206" s="49"/>
      <c r="F206" s="46"/>
      <c r="G206" s="45"/>
      <c r="H206" s="46"/>
      <c r="I206" s="48"/>
    </row>
    <row r="207" spans="5:9" x14ac:dyDescent="0.2">
      <c r="E207" s="49"/>
      <c r="F207" s="46"/>
      <c r="G207" s="45"/>
      <c r="H207" s="46"/>
      <c r="I207" s="48"/>
    </row>
    <row r="208" spans="5:9" x14ac:dyDescent="0.2">
      <c r="E208" s="49"/>
      <c r="F208" s="46"/>
      <c r="G208" s="45"/>
      <c r="H208" s="46"/>
      <c r="I208" s="48"/>
    </row>
    <row r="209" spans="5:9" x14ac:dyDescent="0.2">
      <c r="E209" s="49"/>
      <c r="F209" s="46"/>
      <c r="G209" s="45"/>
      <c r="H209" s="46"/>
      <c r="I209" s="48"/>
    </row>
    <row r="210" spans="5:9" x14ac:dyDescent="0.2">
      <c r="E210" s="49"/>
      <c r="F210" s="46"/>
      <c r="G210" s="45"/>
      <c r="H210" s="46"/>
      <c r="I210" s="48"/>
    </row>
    <row r="211" spans="5:9" x14ac:dyDescent="0.2">
      <c r="E211" s="49"/>
      <c r="F211" s="46"/>
      <c r="G211" s="45"/>
      <c r="H211" s="46"/>
      <c r="I211" s="48"/>
    </row>
    <row r="212" spans="5:9" x14ac:dyDescent="0.2">
      <c r="E212" s="49"/>
      <c r="F212" s="46"/>
      <c r="G212" s="45"/>
      <c r="H212" s="46"/>
      <c r="I212" s="48"/>
    </row>
    <row r="213" spans="5:9" x14ac:dyDescent="0.2">
      <c r="E213" s="49"/>
      <c r="F213" s="46"/>
      <c r="G213" s="45"/>
      <c r="H213" s="46"/>
      <c r="I213" s="48"/>
    </row>
    <row r="214" spans="5:9" x14ac:dyDescent="0.2">
      <c r="E214" s="49"/>
      <c r="F214" s="46"/>
      <c r="G214" s="45"/>
      <c r="H214" s="46"/>
      <c r="I214" s="48"/>
    </row>
    <row r="215" spans="5:9" x14ac:dyDescent="0.2">
      <c r="E215" s="49"/>
      <c r="F215" s="46"/>
      <c r="G215" s="45"/>
      <c r="H215" s="46"/>
      <c r="I215" s="48"/>
    </row>
    <row r="216" spans="5:9" x14ac:dyDescent="0.2">
      <c r="E216" s="49"/>
      <c r="F216" s="46"/>
      <c r="G216" s="45"/>
      <c r="H216" s="46"/>
      <c r="I216" s="48"/>
    </row>
    <row r="217" spans="5:9" x14ac:dyDescent="0.2">
      <c r="E217" s="49"/>
      <c r="F217" s="46"/>
      <c r="G217" s="45"/>
      <c r="H217" s="46"/>
      <c r="I217" s="48"/>
    </row>
    <row r="218" spans="5:9" x14ac:dyDescent="0.2">
      <c r="E218" s="49"/>
      <c r="F218" s="46"/>
      <c r="G218" s="45"/>
      <c r="H218" s="46"/>
      <c r="I218" s="48"/>
    </row>
    <row r="219" spans="5:9" x14ac:dyDescent="0.2">
      <c r="E219" s="49"/>
      <c r="F219" s="46"/>
      <c r="G219" s="45"/>
      <c r="H219" s="46"/>
      <c r="I219" s="48"/>
    </row>
    <row r="220" spans="5:9" x14ac:dyDescent="0.2">
      <c r="E220" s="49"/>
      <c r="F220" s="46"/>
      <c r="G220" s="45"/>
      <c r="H220" s="46"/>
      <c r="I220" s="48"/>
    </row>
    <row r="221" spans="5:9" x14ac:dyDescent="0.2">
      <c r="E221" s="49"/>
      <c r="F221" s="46"/>
      <c r="G221" s="45"/>
      <c r="H221" s="46"/>
      <c r="I221" s="48"/>
    </row>
    <row r="222" spans="5:9" x14ac:dyDescent="0.2">
      <c r="E222" s="49"/>
      <c r="F222" s="46"/>
      <c r="G222" s="45"/>
      <c r="H222" s="46"/>
      <c r="I222" s="48"/>
    </row>
    <row r="223" spans="5:9" x14ac:dyDescent="0.2">
      <c r="E223" s="49"/>
      <c r="F223" s="46"/>
      <c r="G223" s="45"/>
      <c r="H223" s="46"/>
      <c r="I223" s="48"/>
    </row>
    <row r="224" spans="5:9" x14ac:dyDescent="0.2">
      <c r="E224" s="49"/>
      <c r="F224" s="46"/>
      <c r="G224" s="45"/>
      <c r="H224" s="46"/>
      <c r="I224" s="48"/>
    </row>
    <row r="225" spans="5:9" x14ac:dyDescent="0.2">
      <c r="E225" s="49"/>
      <c r="F225" s="46"/>
      <c r="G225" s="45"/>
      <c r="H225" s="46"/>
      <c r="I225" s="48"/>
    </row>
    <row r="226" spans="5:9" x14ac:dyDescent="0.2">
      <c r="E226" s="49"/>
      <c r="F226" s="46"/>
      <c r="G226" s="45"/>
      <c r="H226" s="46"/>
      <c r="I226" s="48"/>
    </row>
    <row r="227" spans="5:9" x14ac:dyDescent="0.2">
      <c r="E227" s="49"/>
      <c r="F227" s="46"/>
      <c r="G227" s="45"/>
      <c r="H227" s="46"/>
      <c r="I227" s="48"/>
    </row>
    <row r="228" spans="5:9" x14ac:dyDescent="0.2">
      <c r="E228" s="49"/>
      <c r="F228" s="46"/>
      <c r="G228" s="45"/>
      <c r="H228" s="46"/>
      <c r="I228" s="48"/>
    </row>
    <row r="229" spans="5:9" x14ac:dyDescent="0.2">
      <c r="E229" s="49"/>
      <c r="F229" s="46"/>
      <c r="G229" s="45"/>
      <c r="H229" s="46"/>
      <c r="I229" s="48"/>
    </row>
    <row r="230" spans="5:9" x14ac:dyDescent="0.2">
      <c r="E230" s="49"/>
      <c r="F230" s="46"/>
      <c r="G230" s="45"/>
      <c r="H230" s="46"/>
      <c r="I230" s="48"/>
    </row>
    <row r="231" spans="5:9" x14ac:dyDescent="0.2">
      <c r="E231" s="49"/>
      <c r="F231" s="46"/>
      <c r="G231" s="45"/>
      <c r="H231" s="46"/>
      <c r="I231" s="48"/>
    </row>
    <row r="232" spans="5:9" x14ac:dyDescent="0.2">
      <c r="E232" s="49"/>
      <c r="F232" s="46"/>
      <c r="G232" s="45"/>
      <c r="H232" s="46"/>
      <c r="I232" s="48"/>
    </row>
    <row r="233" spans="5:9" x14ac:dyDescent="0.2">
      <c r="E233" s="49"/>
      <c r="F233" s="46"/>
      <c r="G233" s="45"/>
      <c r="H233" s="46"/>
      <c r="I233" s="48"/>
    </row>
    <row r="234" spans="5:9" x14ac:dyDescent="0.2">
      <c r="E234" s="49"/>
      <c r="F234" s="46"/>
      <c r="G234" s="45"/>
      <c r="H234" s="46"/>
      <c r="I234" s="48"/>
    </row>
    <row r="235" spans="5:9" x14ac:dyDescent="0.2">
      <c r="E235" s="49"/>
      <c r="F235" s="46"/>
      <c r="G235" s="45"/>
      <c r="H235" s="46"/>
      <c r="I235" s="48"/>
    </row>
    <row r="236" spans="5:9" x14ac:dyDescent="0.2">
      <c r="E236" s="49"/>
      <c r="F236" s="46"/>
      <c r="G236" s="45"/>
      <c r="H236" s="46"/>
      <c r="I236" s="48"/>
    </row>
    <row r="237" spans="5:9" x14ac:dyDescent="0.2">
      <c r="E237" s="49"/>
      <c r="F237" s="46"/>
      <c r="G237" s="45"/>
      <c r="H237" s="46"/>
      <c r="I237" s="48"/>
    </row>
    <row r="238" spans="5:9" x14ac:dyDescent="0.2">
      <c r="E238" s="49"/>
      <c r="F238" s="46"/>
      <c r="G238" s="45"/>
      <c r="H238" s="46"/>
      <c r="I238" s="48"/>
    </row>
    <row r="239" spans="5:9" x14ac:dyDescent="0.2">
      <c r="E239" s="49"/>
      <c r="F239" s="46"/>
      <c r="G239" s="45"/>
      <c r="H239" s="46"/>
      <c r="I239" s="48"/>
    </row>
    <row r="240" spans="5:9" x14ac:dyDescent="0.2">
      <c r="E240" s="49"/>
      <c r="F240" s="46"/>
      <c r="G240" s="45"/>
      <c r="H240" s="46"/>
      <c r="I240" s="48"/>
    </row>
    <row r="241" spans="5:9" x14ac:dyDescent="0.2">
      <c r="E241" s="49"/>
      <c r="F241" s="46"/>
      <c r="G241" s="45"/>
      <c r="H241" s="46"/>
      <c r="I241" s="48"/>
    </row>
    <row r="242" spans="5:9" x14ac:dyDescent="0.2">
      <c r="E242" s="49"/>
      <c r="F242" s="46"/>
      <c r="G242" s="45"/>
      <c r="H242" s="46"/>
      <c r="I242" s="48"/>
    </row>
    <row r="243" spans="5:9" x14ac:dyDescent="0.2">
      <c r="E243" s="49"/>
      <c r="F243" s="46"/>
      <c r="G243" s="45"/>
      <c r="H243" s="46"/>
      <c r="I243" s="48"/>
    </row>
    <row r="244" spans="5:9" x14ac:dyDescent="0.2">
      <c r="E244" s="49"/>
      <c r="F244" s="46"/>
      <c r="G244" s="45"/>
      <c r="H244" s="46"/>
      <c r="I244" s="48"/>
    </row>
    <row r="245" spans="5:9" x14ac:dyDescent="0.2">
      <c r="E245" s="49"/>
      <c r="F245" s="46"/>
      <c r="G245" s="45"/>
      <c r="H245" s="46"/>
      <c r="I245" s="48"/>
    </row>
    <row r="246" spans="5:9" x14ac:dyDescent="0.2">
      <c r="E246" s="49"/>
      <c r="F246" s="46"/>
      <c r="G246" s="45"/>
      <c r="H246" s="46"/>
      <c r="I246" s="48"/>
    </row>
    <row r="247" spans="5:9" x14ac:dyDescent="0.2">
      <c r="E247" s="49"/>
      <c r="F247" s="46"/>
      <c r="G247" s="45"/>
      <c r="H247" s="46"/>
      <c r="I247" s="48"/>
    </row>
    <row r="248" spans="5:9" x14ac:dyDescent="0.2">
      <c r="E248" s="49"/>
      <c r="F248" s="46"/>
      <c r="G248" s="45"/>
      <c r="H248" s="46"/>
      <c r="I248" s="48"/>
    </row>
    <row r="249" spans="5:9" x14ac:dyDescent="0.2">
      <c r="E249" s="49"/>
      <c r="F249" s="46"/>
      <c r="G249" s="45"/>
      <c r="H249" s="46"/>
      <c r="I249" s="48"/>
    </row>
    <row r="250" spans="5:9" x14ac:dyDescent="0.2">
      <c r="E250" s="49"/>
      <c r="F250" s="46"/>
      <c r="G250" s="45"/>
      <c r="H250" s="46"/>
      <c r="I250" s="48"/>
    </row>
    <row r="251" spans="5:9" x14ac:dyDescent="0.2">
      <c r="E251" s="49"/>
      <c r="F251" s="46"/>
      <c r="G251" s="45"/>
      <c r="H251" s="46"/>
      <c r="I251" s="48"/>
    </row>
    <row r="252" spans="5:9" x14ac:dyDescent="0.2">
      <c r="E252" s="49"/>
      <c r="F252" s="46"/>
      <c r="G252" s="45"/>
      <c r="H252" s="46"/>
      <c r="I252" s="48"/>
    </row>
    <row r="253" spans="5:9" x14ac:dyDescent="0.2">
      <c r="E253" s="49"/>
      <c r="F253" s="46"/>
      <c r="G253" s="45"/>
      <c r="H253" s="46"/>
      <c r="I253" s="48"/>
    </row>
    <row r="254" spans="5:9" x14ac:dyDescent="0.2">
      <c r="E254" s="49"/>
      <c r="F254" s="46"/>
      <c r="G254" s="45"/>
      <c r="H254" s="46"/>
      <c r="I254" s="48"/>
    </row>
    <row r="255" spans="5:9" x14ac:dyDescent="0.2">
      <c r="E255" s="49"/>
      <c r="F255" s="46"/>
      <c r="G255" s="45"/>
      <c r="H255" s="46"/>
      <c r="I255" s="48"/>
    </row>
    <row r="256" spans="5:9" x14ac:dyDescent="0.2">
      <c r="E256" s="49"/>
      <c r="F256" s="46"/>
      <c r="G256" s="45"/>
      <c r="H256" s="46"/>
      <c r="I256" s="48"/>
    </row>
    <row r="257" spans="5:9" x14ac:dyDescent="0.2">
      <c r="E257" s="49"/>
      <c r="F257" s="46"/>
      <c r="G257" s="45"/>
      <c r="H257" s="46"/>
      <c r="I257" s="48"/>
    </row>
    <row r="258" spans="5:9" x14ac:dyDescent="0.2">
      <c r="E258" s="49"/>
      <c r="F258" s="46"/>
      <c r="G258" s="45"/>
      <c r="H258" s="46"/>
      <c r="I258" s="48"/>
    </row>
    <row r="259" spans="5:9" x14ac:dyDescent="0.2">
      <c r="E259" s="49"/>
      <c r="F259" s="46"/>
      <c r="G259" s="45"/>
      <c r="H259" s="46"/>
      <c r="I259" s="48"/>
    </row>
    <row r="260" spans="5:9" x14ac:dyDescent="0.2">
      <c r="E260" s="49"/>
      <c r="F260" s="46"/>
      <c r="G260" s="45"/>
      <c r="H260" s="46"/>
      <c r="I260" s="48"/>
    </row>
    <row r="261" spans="5:9" x14ac:dyDescent="0.2">
      <c r="E261" s="49"/>
      <c r="F261" s="46"/>
      <c r="G261" s="45"/>
      <c r="H261" s="46"/>
      <c r="I261" s="48"/>
    </row>
    <row r="262" spans="5:9" x14ac:dyDescent="0.2">
      <c r="E262" s="49"/>
      <c r="F262" s="46"/>
      <c r="G262" s="45"/>
      <c r="H262" s="46"/>
      <c r="I262" s="48"/>
    </row>
    <row r="263" spans="5:9" x14ac:dyDescent="0.2">
      <c r="E263" s="49"/>
      <c r="F263" s="46"/>
      <c r="G263" s="45"/>
      <c r="H263" s="46"/>
      <c r="I263" s="48"/>
    </row>
    <row r="264" spans="5:9" x14ac:dyDescent="0.2">
      <c r="E264" s="49"/>
      <c r="F264" s="46"/>
      <c r="G264" s="45"/>
      <c r="H264" s="46"/>
      <c r="I264" s="48"/>
    </row>
    <row r="265" spans="5:9" x14ac:dyDescent="0.2">
      <c r="E265" s="49"/>
      <c r="F265" s="46"/>
      <c r="G265" s="45"/>
      <c r="H265" s="46"/>
      <c r="I265" s="48"/>
    </row>
    <row r="266" spans="5:9" x14ac:dyDescent="0.2">
      <c r="E266" s="49"/>
      <c r="F266" s="46"/>
      <c r="G266" s="45"/>
      <c r="H266" s="46"/>
      <c r="I266" s="48"/>
    </row>
    <row r="267" spans="5:9" x14ac:dyDescent="0.2">
      <c r="E267" s="49"/>
      <c r="F267" s="46"/>
      <c r="G267" s="45"/>
      <c r="H267" s="46"/>
      <c r="I267" s="48"/>
    </row>
    <row r="268" spans="5:9" x14ac:dyDescent="0.2">
      <c r="E268" s="49"/>
      <c r="F268" s="46"/>
      <c r="G268" s="45"/>
      <c r="H268" s="46"/>
      <c r="I268" s="48"/>
    </row>
    <row r="269" spans="5:9" x14ac:dyDescent="0.2">
      <c r="E269" s="49"/>
      <c r="F269" s="46"/>
      <c r="G269" s="45"/>
      <c r="H269" s="46"/>
      <c r="I269" s="48"/>
    </row>
    <row r="270" spans="5:9" x14ac:dyDescent="0.2">
      <c r="E270" s="49"/>
      <c r="F270" s="46"/>
      <c r="G270" s="45"/>
      <c r="H270" s="46"/>
      <c r="I270" s="48"/>
    </row>
    <row r="271" spans="5:9" x14ac:dyDescent="0.2">
      <c r="E271" s="49"/>
      <c r="F271" s="46"/>
      <c r="G271" s="45"/>
      <c r="H271" s="46"/>
      <c r="I271" s="48"/>
    </row>
    <row r="272" spans="5:9" x14ac:dyDescent="0.2">
      <c r="E272" s="49"/>
      <c r="F272" s="46"/>
      <c r="G272" s="45"/>
      <c r="H272" s="46"/>
      <c r="I272" s="48"/>
    </row>
    <row r="273" spans="5:9" x14ac:dyDescent="0.2">
      <c r="E273" s="49"/>
      <c r="F273" s="46"/>
      <c r="G273" s="45"/>
      <c r="H273" s="46"/>
      <c r="I273" s="48"/>
    </row>
    <row r="274" spans="5:9" x14ac:dyDescent="0.2">
      <c r="E274" s="49"/>
      <c r="F274" s="46"/>
      <c r="G274" s="45"/>
      <c r="H274" s="46"/>
      <c r="I274" s="48"/>
    </row>
    <row r="275" spans="5:9" x14ac:dyDescent="0.2">
      <c r="E275" s="49"/>
      <c r="F275" s="46"/>
      <c r="G275" s="45"/>
      <c r="H275" s="46"/>
      <c r="I275" s="48"/>
    </row>
    <row r="276" spans="5:9" x14ac:dyDescent="0.2">
      <c r="E276" s="49"/>
      <c r="F276" s="46"/>
      <c r="G276" s="45"/>
      <c r="H276" s="46"/>
      <c r="I276" s="48"/>
    </row>
    <row r="277" spans="5:9" x14ac:dyDescent="0.2">
      <c r="E277" s="49"/>
      <c r="F277" s="46"/>
      <c r="G277" s="45"/>
      <c r="H277" s="46"/>
      <c r="I277" s="48"/>
    </row>
    <row r="278" spans="5:9" x14ac:dyDescent="0.2">
      <c r="E278" s="49"/>
      <c r="F278" s="46"/>
      <c r="G278" s="45"/>
      <c r="H278" s="46"/>
      <c r="I278" s="48"/>
    </row>
    <row r="279" spans="5:9" x14ac:dyDescent="0.2">
      <c r="E279" s="49"/>
      <c r="F279" s="46"/>
      <c r="G279" s="45"/>
      <c r="H279" s="46"/>
      <c r="I279" s="48"/>
    </row>
    <row r="280" spans="5:9" x14ac:dyDescent="0.2">
      <c r="E280" s="49"/>
      <c r="F280" s="46"/>
      <c r="G280" s="45"/>
      <c r="H280" s="46"/>
      <c r="I280" s="48"/>
    </row>
    <row r="281" spans="5:9" x14ac:dyDescent="0.2">
      <c r="E281" s="49"/>
      <c r="F281" s="46"/>
      <c r="G281" s="45"/>
      <c r="H281" s="46"/>
      <c r="I281" s="48"/>
    </row>
    <row r="282" spans="5:9" x14ac:dyDescent="0.2">
      <c r="E282" s="49"/>
      <c r="F282" s="46"/>
      <c r="G282" s="45"/>
      <c r="H282" s="46"/>
      <c r="I282" s="48"/>
    </row>
    <row r="283" spans="5:9" x14ac:dyDescent="0.2">
      <c r="E283" s="49"/>
      <c r="F283" s="46"/>
      <c r="G283" s="45"/>
      <c r="H283" s="46"/>
      <c r="I283" s="48"/>
    </row>
    <row r="284" spans="5:9" x14ac:dyDescent="0.2">
      <c r="E284" s="49"/>
      <c r="F284" s="46"/>
      <c r="G284" s="45"/>
      <c r="H284" s="46"/>
      <c r="I284" s="48"/>
    </row>
    <row r="285" spans="5:9" x14ac:dyDescent="0.2">
      <c r="E285" s="49"/>
      <c r="F285" s="46"/>
      <c r="G285" s="45"/>
      <c r="H285" s="46"/>
      <c r="I285" s="48"/>
    </row>
    <row r="286" spans="5:9" x14ac:dyDescent="0.2">
      <c r="E286" s="49"/>
      <c r="F286" s="46"/>
      <c r="G286" s="45"/>
      <c r="H286" s="46"/>
      <c r="I286" s="48"/>
    </row>
    <row r="287" spans="5:9" x14ac:dyDescent="0.2">
      <c r="E287" s="49"/>
      <c r="F287" s="46"/>
      <c r="G287" s="45"/>
      <c r="H287" s="46"/>
      <c r="I287" s="48"/>
    </row>
    <row r="288" spans="5:9" x14ac:dyDescent="0.2">
      <c r="E288" s="49"/>
      <c r="F288" s="46"/>
      <c r="G288" s="45"/>
      <c r="H288" s="46"/>
      <c r="I288" s="48"/>
    </row>
    <row r="289" spans="5:9" x14ac:dyDescent="0.2">
      <c r="E289" s="49"/>
      <c r="F289" s="46"/>
      <c r="G289" s="45"/>
      <c r="H289" s="46"/>
      <c r="I289" s="48"/>
    </row>
    <row r="290" spans="5:9" x14ac:dyDescent="0.2">
      <c r="E290" s="49"/>
      <c r="F290" s="46"/>
      <c r="G290" s="45"/>
      <c r="H290" s="46"/>
      <c r="I290" s="48"/>
    </row>
    <row r="291" spans="5:9" x14ac:dyDescent="0.2">
      <c r="E291" s="49"/>
      <c r="F291" s="46"/>
      <c r="G291" s="45"/>
      <c r="H291" s="46"/>
      <c r="I291" s="48"/>
    </row>
    <row r="292" spans="5:9" x14ac:dyDescent="0.2">
      <c r="E292" s="49"/>
      <c r="F292" s="46"/>
      <c r="G292" s="45"/>
      <c r="H292" s="46"/>
      <c r="I292" s="48"/>
    </row>
    <row r="293" spans="5:9" x14ac:dyDescent="0.2">
      <c r="E293" s="49"/>
      <c r="F293" s="46"/>
      <c r="G293" s="45"/>
      <c r="H293" s="46"/>
      <c r="I293" s="48"/>
    </row>
    <row r="294" spans="5:9" x14ac:dyDescent="0.2">
      <c r="E294" s="49"/>
      <c r="F294" s="46"/>
      <c r="G294" s="45"/>
      <c r="H294" s="46"/>
      <c r="I294" s="48"/>
    </row>
    <row r="295" spans="5:9" x14ac:dyDescent="0.2">
      <c r="E295" s="49"/>
      <c r="F295" s="46"/>
      <c r="G295" s="45"/>
      <c r="H295" s="46"/>
      <c r="I295" s="48"/>
    </row>
    <row r="296" spans="5:9" x14ac:dyDescent="0.2">
      <c r="E296" s="49"/>
      <c r="F296" s="46"/>
      <c r="G296" s="45"/>
      <c r="H296" s="46"/>
      <c r="I296" s="48"/>
    </row>
    <row r="297" spans="5:9" x14ac:dyDescent="0.2">
      <c r="E297" s="49"/>
      <c r="F297" s="46"/>
      <c r="G297" s="45"/>
      <c r="H297" s="46"/>
      <c r="I297" s="48"/>
    </row>
    <row r="298" spans="5:9" x14ac:dyDescent="0.2">
      <c r="E298" s="49"/>
      <c r="F298" s="46"/>
      <c r="G298" s="45"/>
      <c r="H298" s="46"/>
      <c r="I298" s="48"/>
    </row>
    <row r="299" spans="5:9" x14ac:dyDescent="0.2">
      <c r="E299" s="49"/>
      <c r="F299" s="46"/>
      <c r="G299" s="45"/>
      <c r="H299" s="46"/>
      <c r="I299" s="48"/>
    </row>
    <row r="300" spans="5:9" x14ac:dyDescent="0.2">
      <c r="E300" s="49"/>
      <c r="F300" s="46"/>
      <c r="G300" s="45"/>
      <c r="H300" s="46"/>
      <c r="I300" s="48"/>
    </row>
    <row r="301" spans="5:9" x14ac:dyDescent="0.2">
      <c r="E301" s="49"/>
      <c r="F301" s="46"/>
      <c r="G301" s="45"/>
      <c r="H301" s="46"/>
      <c r="I301" s="48"/>
    </row>
    <row r="302" spans="5:9" x14ac:dyDescent="0.2">
      <c r="E302" s="49"/>
      <c r="F302" s="46"/>
      <c r="G302" s="45"/>
      <c r="H302" s="46"/>
      <c r="I302" s="48"/>
    </row>
    <row r="303" spans="5:9" x14ac:dyDescent="0.2">
      <c r="E303" s="49"/>
      <c r="F303" s="46"/>
      <c r="G303" s="45"/>
      <c r="H303" s="46"/>
      <c r="I303" s="48"/>
    </row>
    <row r="304" spans="5:9" x14ac:dyDescent="0.2">
      <c r="E304" s="49"/>
      <c r="F304" s="46"/>
      <c r="G304" s="45"/>
      <c r="H304" s="46"/>
      <c r="I304" s="48"/>
    </row>
    <row r="305" spans="5:9" x14ac:dyDescent="0.2">
      <c r="E305" s="49"/>
      <c r="F305" s="46"/>
      <c r="G305" s="45"/>
      <c r="H305" s="46"/>
      <c r="I305" s="48"/>
    </row>
    <row r="306" spans="5:9" x14ac:dyDescent="0.2">
      <c r="E306" s="49"/>
      <c r="F306" s="46"/>
      <c r="G306" s="45"/>
      <c r="H306" s="46"/>
      <c r="I306" s="48"/>
    </row>
    <row r="307" spans="5:9" x14ac:dyDescent="0.2">
      <c r="E307" s="49"/>
      <c r="F307" s="46"/>
      <c r="G307" s="45"/>
      <c r="H307" s="46"/>
      <c r="I307" s="48"/>
    </row>
    <row r="308" spans="5:9" x14ac:dyDescent="0.2">
      <c r="E308" s="49"/>
      <c r="F308" s="46"/>
      <c r="G308" s="45"/>
      <c r="H308" s="46"/>
      <c r="I308" s="48"/>
    </row>
    <row r="309" spans="5:9" x14ac:dyDescent="0.2">
      <c r="E309" s="49"/>
      <c r="F309" s="46"/>
      <c r="G309" s="45"/>
      <c r="H309" s="46"/>
      <c r="I309" s="48"/>
    </row>
    <row r="310" spans="5:9" x14ac:dyDescent="0.2">
      <c r="E310" s="49"/>
      <c r="F310" s="46"/>
      <c r="G310" s="45"/>
      <c r="H310" s="46"/>
      <c r="I310" s="48"/>
    </row>
    <row r="311" spans="5:9" x14ac:dyDescent="0.2">
      <c r="E311" s="49"/>
      <c r="F311" s="46"/>
      <c r="G311" s="45"/>
      <c r="H311" s="46"/>
      <c r="I311" s="48"/>
    </row>
    <row r="312" spans="5:9" x14ac:dyDescent="0.2">
      <c r="E312" s="49"/>
      <c r="F312" s="46"/>
      <c r="G312" s="45"/>
      <c r="H312" s="46"/>
      <c r="I312" s="48"/>
    </row>
    <row r="313" spans="5:9" x14ac:dyDescent="0.2">
      <c r="E313" s="49"/>
      <c r="F313" s="46"/>
      <c r="G313" s="45"/>
      <c r="H313" s="46"/>
      <c r="I313" s="48"/>
    </row>
    <row r="314" spans="5:9" x14ac:dyDescent="0.2">
      <c r="E314" s="49"/>
      <c r="F314" s="46"/>
      <c r="G314" s="45"/>
      <c r="H314" s="46"/>
      <c r="I314" s="48"/>
    </row>
    <row r="315" spans="5:9" x14ac:dyDescent="0.2">
      <c r="E315" s="49"/>
      <c r="F315" s="46"/>
      <c r="G315" s="45"/>
      <c r="H315" s="46"/>
      <c r="I315" s="48"/>
    </row>
    <row r="316" spans="5:9" x14ac:dyDescent="0.2">
      <c r="E316" s="49"/>
      <c r="F316" s="46"/>
      <c r="G316" s="45"/>
      <c r="H316" s="46"/>
      <c r="I316" s="48"/>
    </row>
    <row r="317" spans="5:9" x14ac:dyDescent="0.2">
      <c r="E317" s="49"/>
      <c r="F317" s="46"/>
      <c r="G317" s="45"/>
      <c r="H317" s="46"/>
      <c r="I317" s="48"/>
    </row>
    <row r="318" spans="5:9" x14ac:dyDescent="0.2">
      <c r="E318" s="49"/>
      <c r="F318" s="46"/>
      <c r="G318" s="45"/>
      <c r="H318" s="46"/>
      <c r="I318" s="48"/>
    </row>
    <row r="319" spans="5:9" x14ac:dyDescent="0.2">
      <c r="E319" s="49"/>
      <c r="F319" s="46"/>
      <c r="G319" s="45"/>
      <c r="H319" s="46"/>
      <c r="I319" s="48"/>
    </row>
    <row r="320" spans="5:9" x14ac:dyDescent="0.2">
      <c r="E320" s="49"/>
      <c r="F320" s="46"/>
      <c r="G320" s="45"/>
      <c r="H320" s="46"/>
      <c r="I320" s="48"/>
    </row>
    <row r="321" spans="5:9" x14ac:dyDescent="0.2">
      <c r="E321" s="49"/>
      <c r="F321" s="46"/>
      <c r="G321" s="45"/>
      <c r="H321" s="46"/>
      <c r="I321" s="48"/>
    </row>
    <row r="322" spans="5:9" x14ac:dyDescent="0.2">
      <c r="E322" s="49"/>
      <c r="F322" s="46"/>
      <c r="G322" s="45"/>
      <c r="H322" s="46"/>
      <c r="I322" s="48"/>
    </row>
    <row r="323" spans="5:9" x14ac:dyDescent="0.2">
      <c r="E323" s="49"/>
      <c r="F323" s="46"/>
      <c r="G323" s="45"/>
      <c r="H323" s="46"/>
      <c r="I323" s="48"/>
    </row>
    <row r="324" spans="5:9" x14ac:dyDescent="0.2">
      <c r="E324" s="49"/>
      <c r="F324" s="46"/>
      <c r="G324" s="45"/>
      <c r="H324" s="46"/>
      <c r="I324" s="48"/>
    </row>
    <row r="325" spans="5:9" x14ac:dyDescent="0.2">
      <c r="E325" s="49"/>
      <c r="F325" s="46"/>
      <c r="G325" s="45"/>
      <c r="H325" s="46"/>
      <c r="I325" s="48"/>
    </row>
    <row r="326" spans="5:9" x14ac:dyDescent="0.2">
      <c r="E326" s="49"/>
      <c r="F326" s="46"/>
      <c r="G326" s="45"/>
      <c r="H326" s="46"/>
      <c r="I326" s="48"/>
    </row>
    <row r="327" spans="5:9" x14ac:dyDescent="0.2">
      <c r="E327" s="49"/>
      <c r="F327" s="46"/>
      <c r="G327" s="45"/>
      <c r="H327" s="46"/>
      <c r="I327" s="48"/>
    </row>
    <row r="328" spans="5:9" x14ac:dyDescent="0.2">
      <c r="E328" s="49"/>
      <c r="F328" s="46"/>
      <c r="G328" s="45"/>
      <c r="H328" s="46"/>
      <c r="I328" s="48"/>
    </row>
    <row r="329" spans="5:9" x14ac:dyDescent="0.2">
      <c r="E329" s="49"/>
      <c r="F329" s="46"/>
      <c r="G329" s="45"/>
      <c r="H329" s="46"/>
      <c r="I329" s="48"/>
    </row>
    <row r="330" spans="5:9" x14ac:dyDescent="0.2">
      <c r="E330" s="49"/>
      <c r="F330" s="46"/>
      <c r="G330" s="45"/>
      <c r="H330" s="46"/>
      <c r="I330" s="48"/>
    </row>
    <row r="331" spans="5:9" x14ac:dyDescent="0.2">
      <c r="E331" s="49"/>
      <c r="F331" s="46"/>
      <c r="G331" s="45"/>
      <c r="H331" s="46"/>
      <c r="I331" s="48"/>
    </row>
    <row r="332" spans="5:9" x14ac:dyDescent="0.2">
      <c r="E332" s="49"/>
      <c r="F332" s="46"/>
      <c r="G332" s="45"/>
      <c r="H332" s="46"/>
      <c r="I332" s="48"/>
    </row>
    <row r="333" spans="5:9" x14ac:dyDescent="0.2">
      <c r="E333" s="49"/>
      <c r="F333" s="46"/>
      <c r="G333" s="45"/>
      <c r="H333" s="46"/>
      <c r="I333" s="48"/>
    </row>
    <row r="334" spans="5:9" x14ac:dyDescent="0.2">
      <c r="E334" s="49"/>
      <c r="F334" s="46"/>
      <c r="G334" s="45"/>
      <c r="H334" s="46"/>
      <c r="I334" s="48"/>
    </row>
    <row r="335" spans="5:9" x14ac:dyDescent="0.2">
      <c r="E335" s="49"/>
      <c r="F335" s="46"/>
      <c r="G335" s="45"/>
      <c r="H335" s="46"/>
      <c r="I335" s="48"/>
    </row>
    <row r="336" spans="5:9" x14ac:dyDescent="0.2">
      <c r="E336" s="49"/>
      <c r="F336" s="46"/>
      <c r="G336" s="45"/>
      <c r="H336" s="46"/>
      <c r="I336" s="48"/>
    </row>
    <row r="337" spans="5:9" x14ac:dyDescent="0.2">
      <c r="E337" s="49"/>
      <c r="F337" s="46"/>
      <c r="G337" s="45"/>
      <c r="H337" s="46"/>
      <c r="I337" s="48"/>
    </row>
    <row r="338" spans="5:9" x14ac:dyDescent="0.2">
      <c r="E338" s="49"/>
      <c r="F338" s="46"/>
      <c r="G338" s="45"/>
      <c r="H338" s="46"/>
      <c r="I338" s="48"/>
    </row>
    <row r="339" spans="5:9" x14ac:dyDescent="0.2">
      <c r="E339" s="49"/>
      <c r="F339" s="46"/>
      <c r="G339" s="45"/>
      <c r="H339" s="46"/>
      <c r="I339" s="48"/>
    </row>
    <row r="340" spans="5:9" x14ac:dyDescent="0.2">
      <c r="E340" s="49"/>
      <c r="F340" s="46"/>
      <c r="G340" s="45"/>
      <c r="H340" s="46"/>
      <c r="I340" s="48"/>
    </row>
    <row r="341" spans="5:9" x14ac:dyDescent="0.2">
      <c r="E341" s="49"/>
      <c r="F341" s="46"/>
      <c r="G341" s="45"/>
      <c r="H341" s="46"/>
      <c r="I341" s="48"/>
    </row>
    <row r="342" spans="5:9" x14ac:dyDescent="0.2">
      <c r="E342" s="49"/>
      <c r="F342" s="46"/>
      <c r="G342" s="45"/>
      <c r="H342" s="46"/>
      <c r="I342" s="48"/>
    </row>
    <row r="343" spans="5:9" x14ac:dyDescent="0.2">
      <c r="E343" s="49"/>
      <c r="F343" s="46"/>
      <c r="G343" s="45"/>
      <c r="H343" s="46"/>
      <c r="I343" s="48"/>
    </row>
    <row r="344" spans="5:9" x14ac:dyDescent="0.2">
      <c r="E344" s="49"/>
      <c r="F344" s="46"/>
      <c r="G344" s="45"/>
      <c r="H344" s="46"/>
      <c r="I344" s="48"/>
    </row>
    <row r="345" spans="5:9" x14ac:dyDescent="0.2">
      <c r="E345" s="49"/>
      <c r="F345" s="46"/>
      <c r="G345" s="45"/>
      <c r="H345" s="46"/>
      <c r="I345" s="48"/>
    </row>
    <row r="346" spans="5:9" x14ac:dyDescent="0.2">
      <c r="E346" s="49"/>
      <c r="F346" s="46"/>
      <c r="G346" s="45"/>
      <c r="H346" s="46"/>
      <c r="I346" s="48"/>
    </row>
    <row r="347" spans="5:9" x14ac:dyDescent="0.2">
      <c r="E347" s="49"/>
      <c r="F347" s="46"/>
      <c r="G347" s="45"/>
      <c r="H347" s="46"/>
      <c r="I347" s="48"/>
    </row>
    <row r="348" spans="5:9" x14ac:dyDescent="0.2">
      <c r="E348" s="49"/>
      <c r="F348" s="46"/>
      <c r="G348" s="45"/>
      <c r="H348" s="46"/>
      <c r="I348" s="48"/>
    </row>
    <row r="349" spans="5:9" x14ac:dyDescent="0.2">
      <c r="E349" s="49"/>
      <c r="F349" s="46"/>
      <c r="G349" s="45"/>
      <c r="H349" s="46"/>
      <c r="I349" s="48"/>
    </row>
    <row r="350" spans="5:9" x14ac:dyDescent="0.2">
      <c r="E350" s="49"/>
      <c r="F350" s="46"/>
      <c r="G350" s="45"/>
      <c r="H350" s="46"/>
      <c r="I350" s="48"/>
    </row>
    <row r="351" spans="5:9" x14ac:dyDescent="0.2">
      <c r="E351" s="49"/>
      <c r="F351" s="46"/>
      <c r="G351" s="45"/>
      <c r="H351" s="46"/>
      <c r="I351" s="48"/>
    </row>
    <row r="352" spans="5:9" x14ac:dyDescent="0.2">
      <c r="E352" s="49"/>
      <c r="F352" s="46"/>
      <c r="G352" s="45"/>
      <c r="H352" s="46"/>
      <c r="I352" s="48"/>
    </row>
    <row r="353" spans="5:9" x14ac:dyDescent="0.2">
      <c r="E353" s="49"/>
      <c r="F353" s="46"/>
      <c r="G353" s="45"/>
      <c r="H353" s="46"/>
      <c r="I353" s="48"/>
    </row>
    <row r="354" spans="5:9" x14ac:dyDescent="0.2">
      <c r="E354" s="49"/>
      <c r="F354" s="46"/>
      <c r="G354" s="45"/>
      <c r="H354" s="46"/>
      <c r="I354" s="48"/>
    </row>
    <row r="355" spans="5:9" x14ac:dyDescent="0.2">
      <c r="E355" s="49"/>
      <c r="F355" s="46"/>
      <c r="G355" s="45"/>
      <c r="H355" s="46"/>
      <c r="I355" s="48"/>
    </row>
    <row r="356" spans="5:9" x14ac:dyDescent="0.2">
      <c r="E356" s="49"/>
      <c r="F356" s="46"/>
      <c r="G356" s="45"/>
      <c r="H356" s="46"/>
      <c r="I356" s="48"/>
    </row>
    <row r="357" spans="5:9" x14ac:dyDescent="0.2">
      <c r="E357" s="49"/>
      <c r="F357" s="46"/>
      <c r="G357" s="45"/>
      <c r="H357" s="46"/>
      <c r="I357" s="48"/>
    </row>
    <row r="358" spans="5:9" x14ac:dyDescent="0.2">
      <c r="E358" s="49"/>
      <c r="F358" s="46"/>
      <c r="G358" s="45"/>
      <c r="H358" s="46"/>
      <c r="I358" s="48"/>
    </row>
    <row r="359" spans="5:9" x14ac:dyDescent="0.2">
      <c r="E359" s="49"/>
      <c r="F359" s="46"/>
      <c r="G359" s="45"/>
      <c r="H359" s="46"/>
      <c r="I359" s="48"/>
    </row>
    <row r="360" spans="5:9" x14ac:dyDescent="0.2">
      <c r="E360" s="49"/>
      <c r="F360" s="46"/>
      <c r="G360" s="45"/>
      <c r="H360" s="46"/>
      <c r="I360" s="48"/>
    </row>
    <row r="361" spans="5:9" x14ac:dyDescent="0.2">
      <c r="E361" s="49"/>
      <c r="F361" s="46"/>
      <c r="G361" s="45"/>
      <c r="H361" s="46"/>
      <c r="I361" s="48"/>
    </row>
    <row r="362" spans="5:9" x14ac:dyDescent="0.2">
      <c r="E362" s="49"/>
      <c r="F362" s="46"/>
      <c r="G362" s="45"/>
      <c r="H362" s="46"/>
      <c r="I362" s="48"/>
    </row>
    <row r="363" spans="5:9" x14ac:dyDescent="0.2">
      <c r="E363" s="49"/>
      <c r="F363" s="46"/>
      <c r="G363" s="45"/>
      <c r="H363" s="46"/>
      <c r="I363" s="48"/>
    </row>
    <row r="364" spans="5:9" x14ac:dyDescent="0.2">
      <c r="E364" s="49"/>
      <c r="F364" s="46"/>
      <c r="G364" s="45"/>
      <c r="H364" s="46"/>
      <c r="I364" s="48"/>
    </row>
    <row r="365" spans="5:9" x14ac:dyDescent="0.2">
      <c r="E365" s="49"/>
      <c r="F365" s="46"/>
      <c r="G365" s="45"/>
      <c r="H365" s="46"/>
      <c r="I365" s="48"/>
    </row>
    <row r="366" spans="5:9" x14ac:dyDescent="0.2">
      <c r="E366" s="49"/>
      <c r="F366" s="46"/>
      <c r="G366" s="45"/>
      <c r="H366" s="46"/>
      <c r="I366" s="48"/>
    </row>
    <row r="367" spans="5:9" x14ac:dyDescent="0.2">
      <c r="E367" s="49"/>
      <c r="F367" s="46"/>
      <c r="G367" s="45"/>
      <c r="H367" s="46"/>
      <c r="I367" s="48"/>
    </row>
    <row r="368" spans="5:9" x14ac:dyDescent="0.2">
      <c r="E368" s="49"/>
      <c r="F368" s="46"/>
      <c r="G368" s="45"/>
      <c r="H368" s="46"/>
      <c r="I368" s="48"/>
    </row>
    <row r="369" spans="5:9" x14ac:dyDescent="0.2">
      <c r="E369" s="49"/>
      <c r="F369" s="46"/>
      <c r="G369" s="45"/>
      <c r="H369" s="46"/>
      <c r="I369" s="48"/>
    </row>
    <row r="370" spans="5:9" x14ac:dyDescent="0.2">
      <c r="E370" s="49"/>
      <c r="F370" s="46"/>
      <c r="G370" s="45"/>
      <c r="H370" s="46"/>
      <c r="I370" s="48"/>
    </row>
    <row r="371" spans="5:9" x14ac:dyDescent="0.2">
      <c r="E371" s="49"/>
      <c r="F371" s="46"/>
      <c r="G371" s="45"/>
      <c r="H371" s="46"/>
      <c r="I371" s="48"/>
    </row>
    <row r="372" spans="5:9" x14ac:dyDescent="0.2">
      <c r="E372" s="49"/>
      <c r="F372" s="46"/>
      <c r="G372" s="45"/>
      <c r="H372" s="46"/>
      <c r="I372" s="48"/>
    </row>
    <row r="373" spans="5:9" x14ac:dyDescent="0.2">
      <c r="E373" s="49"/>
      <c r="F373" s="46"/>
      <c r="G373" s="45"/>
      <c r="H373" s="46"/>
      <c r="I373" s="48"/>
    </row>
    <row r="374" spans="5:9" x14ac:dyDescent="0.2">
      <c r="E374" s="49"/>
      <c r="F374" s="46"/>
      <c r="G374" s="45"/>
      <c r="H374" s="46"/>
      <c r="I374" s="48"/>
    </row>
    <row r="375" spans="5:9" x14ac:dyDescent="0.2">
      <c r="E375" s="49"/>
      <c r="F375" s="46"/>
      <c r="G375" s="45"/>
      <c r="H375" s="46"/>
      <c r="I375" s="48"/>
    </row>
    <row r="376" spans="5:9" x14ac:dyDescent="0.2">
      <c r="E376" s="49"/>
      <c r="F376" s="46"/>
      <c r="G376" s="45"/>
      <c r="H376" s="46"/>
      <c r="I376" s="48"/>
    </row>
    <row r="377" spans="5:9" x14ac:dyDescent="0.2">
      <c r="E377" s="49"/>
      <c r="F377" s="46"/>
      <c r="G377" s="45"/>
      <c r="H377" s="46"/>
      <c r="I377" s="48"/>
    </row>
    <row r="378" spans="5:9" x14ac:dyDescent="0.2">
      <c r="E378" s="49"/>
      <c r="F378" s="46"/>
      <c r="G378" s="45"/>
      <c r="H378" s="46"/>
      <c r="I378" s="48"/>
    </row>
    <row r="379" spans="5:9" x14ac:dyDescent="0.2">
      <c r="E379" s="49"/>
      <c r="F379" s="46"/>
      <c r="G379" s="45"/>
      <c r="H379" s="46"/>
      <c r="I379" s="48"/>
    </row>
    <row r="380" spans="5:9" x14ac:dyDescent="0.2">
      <c r="E380" s="49"/>
      <c r="F380" s="46"/>
      <c r="G380" s="45"/>
      <c r="H380" s="46"/>
      <c r="I380" s="48"/>
    </row>
    <row r="381" spans="5:9" x14ac:dyDescent="0.2">
      <c r="E381" s="49"/>
      <c r="F381" s="46"/>
      <c r="G381" s="45"/>
      <c r="H381" s="46"/>
      <c r="I381" s="48"/>
    </row>
    <row r="382" spans="5:9" x14ac:dyDescent="0.2">
      <c r="E382" s="49"/>
      <c r="F382" s="46"/>
      <c r="G382" s="45"/>
      <c r="H382" s="46"/>
      <c r="I382" s="48"/>
    </row>
    <row r="383" spans="5:9" x14ac:dyDescent="0.2">
      <c r="E383" s="49"/>
      <c r="F383" s="46"/>
      <c r="G383" s="45"/>
      <c r="H383" s="46"/>
      <c r="I383" s="48"/>
    </row>
    <row r="384" spans="5:9" x14ac:dyDescent="0.2">
      <c r="E384" s="49"/>
      <c r="F384" s="46"/>
      <c r="G384" s="45"/>
      <c r="H384" s="46"/>
      <c r="I384" s="48"/>
    </row>
    <row r="385" spans="5:9" x14ac:dyDescent="0.2">
      <c r="E385" s="49"/>
      <c r="F385" s="46"/>
      <c r="G385" s="45"/>
      <c r="H385" s="46"/>
      <c r="I385" s="48"/>
    </row>
    <row r="386" spans="5:9" x14ac:dyDescent="0.2">
      <c r="E386" s="49"/>
      <c r="F386" s="46"/>
      <c r="G386" s="45"/>
      <c r="H386" s="46"/>
      <c r="I386" s="48"/>
    </row>
    <row r="387" spans="5:9" x14ac:dyDescent="0.2">
      <c r="E387" s="49"/>
      <c r="F387" s="46"/>
      <c r="G387" s="45"/>
      <c r="H387" s="46"/>
      <c r="I387" s="48"/>
    </row>
    <row r="388" spans="5:9" x14ac:dyDescent="0.2">
      <c r="E388" s="49"/>
      <c r="F388" s="46"/>
      <c r="G388" s="45"/>
      <c r="H388" s="46"/>
      <c r="I388" s="48"/>
    </row>
    <row r="389" spans="5:9" x14ac:dyDescent="0.2">
      <c r="E389" s="49"/>
      <c r="F389" s="46"/>
      <c r="G389" s="45"/>
      <c r="H389" s="46"/>
      <c r="I389" s="48"/>
    </row>
    <row r="390" spans="5:9" x14ac:dyDescent="0.2">
      <c r="E390" s="49"/>
      <c r="F390" s="46"/>
      <c r="G390" s="45"/>
      <c r="H390" s="46"/>
      <c r="I390" s="48"/>
    </row>
    <row r="391" spans="5:9" x14ac:dyDescent="0.2">
      <c r="E391" s="49"/>
      <c r="F391" s="46"/>
      <c r="G391" s="45"/>
      <c r="H391" s="46"/>
      <c r="I391" s="48"/>
    </row>
    <row r="392" spans="5:9" x14ac:dyDescent="0.2">
      <c r="E392" s="49"/>
      <c r="F392" s="46"/>
      <c r="G392" s="45"/>
      <c r="H392" s="46"/>
      <c r="I392" s="48"/>
    </row>
    <row r="393" spans="5:9" x14ac:dyDescent="0.2">
      <c r="E393" s="49"/>
      <c r="F393" s="46"/>
      <c r="G393" s="45"/>
      <c r="H393" s="46"/>
      <c r="I393" s="48"/>
    </row>
    <row r="394" spans="5:9" x14ac:dyDescent="0.2">
      <c r="E394" s="49"/>
      <c r="F394" s="46"/>
      <c r="G394" s="45"/>
      <c r="H394" s="46"/>
      <c r="I394" s="48"/>
    </row>
    <row r="395" spans="5:9" x14ac:dyDescent="0.2">
      <c r="E395" s="49"/>
      <c r="F395" s="46"/>
      <c r="G395" s="45"/>
      <c r="H395" s="46"/>
      <c r="I395" s="48"/>
    </row>
    <row r="396" spans="5:9" x14ac:dyDescent="0.2">
      <c r="E396" s="49"/>
      <c r="F396" s="46"/>
      <c r="G396" s="45"/>
      <c r="H396" s="46"/>
      <c r="I396" s="48"/>
    </row>
    <row r="397" spans="5:9" x14ac:dyDescent="0.2">
      <c r="E397" s="49"/>
      <c r="F397" s="46"/>
      <c r="G397" s="45"/>
      <c r="H397" s="46"/>
      <c r="I397" s="48"/>
    </row>
    <row r="398" spans="5:9" x14ac:dyDescent="0.2">
      <c r="E398" s="49"/>
      <c r="F398" s="46"/>
      <c r="G398" s="45"/>
      <c r="H398" s="46"/>
      <c r="I398" s="48"/>
    </row>
    <row r="399" spans="5:9" x14ac:dyDescent="0.2">
      <c r="E399" s="49"/>
      <c r="F399" s="46"/>
      <c r="G399" s="45"/>
      <c r="H399" s="46"/>
      <c r="I399" s="48"/>
    </row>
    <row r="400" spans="5:9" x14ac:dyDescent="0.2">
      <c r="E400" s="49"/>
      <c r="F400" s="46"/>
      <c r="G400" s="45"/>
      <c r="H400" s="46"/>
      <c r="I400" s="48"/>
    </row>
    <row r="401" spans="5:9" x14ac:dyDescent="0.2">
      <c r="E401" s="49"/>
      <c r="F401" s="46"/>
      <c r="G401" s="45"/>
      <c r="H401" s="46"/>
      <c r="I401" s="48"/>
    </row>
    <row r="402" spans="5:9" x14ac:dyDescent="0.2">
      <c r="E402" s="49"/>
      <c r="F402" s="46"/>
      <c r="G402" s="45"/>
      <c r="H402" s="46"/>
      <c r="I402" s="48"/>
    </row>
    <row r="403" spans="5:9" x14ac:dyDescent="0.2">
      <c r="E403" s="49"/>
      <c r="F403" s="46"/>
      <c r="G403" s="45"/>
      <c r="H403" s="46"/>
      <c r="I403" s="48"/>
    </row>
    <row r="404" spans="5:9" x14ac:dyDescent="0.2">
      <c r="E404" s="49"/>
      <c r="F404" s="46"/>
      <c r="G404" s="45"/>
      <c r="H404" s="46"/>
      <c r="I404" s="48"/>
    </row>
    <row r="405" spans="5:9" x14ac:dyDescent="0.2">
      <c r="E405" s="49"/>
      <c r="F405" s="46"/>
      <c r="G405" s="45"/>
      <c r="H405" s="46"/>
      <c r="I405" s="48"/>
    </row>
    <row r="406" spans="5:9" x14ac:dyDescent="0.2">
      <c r="E406" s="49"/>
      <c r="F406" s="46"/>
      <c r="G406" s="45"/>
      <c r="H406" s="46"/>
      <c r="I406" s="48"/>
    </row>
    <row r="407" spans="5:9" x14ac:dyDescent="0.2">
      <c r="E407" s="49"/>
      <c r="F407" s="46"/>
      <c r="G407" s="45"/>
      <c r="H407" s="46"/>
      <c r="I407" s="48"/>
    </row>
    <row r="408" spans="5:9" x14ac:dyDescent="0.2">
      <c r="E408" s="49"/>
      <c r="F408" s="46"/>
      <c r="G408" s="45"/>
      <c r="H408" s="46"/>
      <c r="I408" s="48"/>
    </row>
    <row r="409" spans="5:9" x14ac:dyDescent="0.2">
      <c r="E409" s="49"/>
      <c r="F409" s="46"/>
      <c r="G409" s="45"/>
      <c r="H409" s="46"/>
      <c r="I409" s="48"/>
    </row>
    <row r="410" spans="5:9" x14ac:dyDescent="0.2">
      <c r="E410" s="49"/>
      <c r="F410" s="46"/>
      <c r="G410" s="45"/>
      <c r="H410" s="46"/>
      <c r="I410" s="48"/>
    </row>
    <row r="411" spans="5:9" x14ac:dyDescent="0.2">
      <c r="E411" s="49"/>
      <c r="F411" s="46"/>
      <c r="G411" s="45"/>
      <c r="H411" s="46"/>
      <c r="I411" s="48"/>
    </row>
    <row r="412" spans="5:9" x14ac:dyDescent="0.2">
      <c r="E412" s="49"/>
      <c r="F412" s="46"/>
      <c r="G412" s="45"/>
      <c r="H412" s="46"/>
      <c r="I412" s="48"/>
    </row>
    <row r="413" spans="5:9" x14ac:dyDescent="0.2">
      <c r="E413" s="49"/>
      <c r="F413" s="46"/>
      <c r="G413" s="45"/>
      <c r="H413" s="46"/>
      <c r="I413" s="48"/>
    </row>
    <row r="414" spans="5:9" x14ac:dyDescent="0.2">
      <c r="E414" s="49"/>
      <c r="F414" s="46"/>
      <c r="G414" s="45"/>
      <c r="H414" s="46"/>
      <c r="I414" s="48"/>
    </row>
    <row r="415" spans="5:9" x14ac:dyDescent="0.2">
      <c r="E415" s="49"/>
      <c r="F415" s="46"/>
      <c r="G415" s="45"/>
      <c r="H415" s="46"/>
      <c r="I415" s="48"/>
    </row>
    <row r="416" spans="5:9" x14ac:dyDescent="0.2">
      <c r="E416" s="49"/>
      <c r="F416" s="46"/>
      <c r="G416" s="45"/>
      <c r="H416" s="46"/>
      <c r="I416" s="48"/>
    </row>
    <row r="417" spans="5:9" x14ac:dyDescent="0.2">
      <c r="E417" s="49"/>
      <c r="F417" s="46"/>
      <c r="G417" s="45"/>
      <c r="H417" s="46"/>
      <c r="I417" s="48"/>
    </row>
    <row r="418" spans="5:9" x14ac:dyDescent="0.2">
      <c r="E418" s="49"/>
      <c r="F418" s="46"/>
      <c r="G418" s="45"/>
      <c r="H418" s="46"/>
      <c r="I418" s="48"/>
    </row>
    <row r="419" spans="5:9" x14ac:dyDescent="0.2">
      <c r="E419" s="49"/>
      <c r="F419" s="46"/>
      <c r="G419" s="45"/>
      <c r="H419" s="46"/>
      <c r="I419" s="48"/>
    </row>
    <row r="420" spans="5:9" x14ac:dyDescent="0.2">
      <c r="E420" s="49"/>
      <c r="F420" s="46"/>
      <c r="G420" s="45"/>
      <c r="H420" s="46"/>
      <c r="I420" s="48"/>
    </row>
    <row r="421" spans="5:9" x14ac:dyDescent="0.2">
      <c r="E421" s="49"/>
      <c r="F421" s="46"/>
      <c r="G421" s="45"/>
      <c r="H421" s="46"/>
      <c r="I421" s="48"/>
    </row>
    <row r="422" spans="5:9" x14ac:dyDescent="0.2">
      <c r="E422" s="49"/>
      <c r="F422" s="46"/>
      <c r="G422" s="45"/>
      <c r="H422" s="46"/>
      <c r="I422" s="48"/>
    </row>
    <row r="423" spans="5:9" x14ac:dyDescent="0.2">
      <c r="E423" s="49"/>
      <c r="F423" s="46"/>
      <c r="G423" s="45"/>
      <c r="H423" s="46"/>
      <c r="I423" s="48"/>
    </row>
    <row r="424" spans="5:9" x14ac:dyDescent="0.2">
      <c r="E424" s="49"/>
      <c r="F424" s="46"/>
      <c r="G424" s="45"/>
      <c r="H424" s="46"/>
      <c r="I424" s="48"/>
    </row>
    <row r="425" spans="5:9" x14ac:dyDescent="0.2">
      <c r="E425" s="49"/>
      <c r="F425" s="46"/>
      <c r="G425" s="45"/>
      <c r="H425" s="46"/>
      <c r="I425" s="48"/>
    </row>
    <row r="426" spans="5:9" x14ac:dyDescent="0.2">
      <c r="E426" s="49"/>
      <c r="F426" s="46"/>
      <c r="G426" s="45"/>
      <c r="H426" s="46"/>
      <c r="I426" s="48"/>
    </row>
    <row r="427" spans="5:9" x14ac:dyDescent="0.2">
      <c r="E427" s="49"/>
      <c r="F427" s="46"/>
      <c r="G427" s="45"/>
      <c r="H427" s="46"/>
      <c r="I427" s="48"/>
    </row>
    <row r="428" spans="5:9" x14ac:dyDescent="0.2">
      <c r="E428" s="49"/>
      <c r="F428" s="46"/>
      <c r="G428" s="45"/>
      <c r="H428" s="46"/>
      <c r="I428" s="48"/>
    </row>
    <row r="429" spans="5:9" x14ac:dyDescent="0.2">
      <c r="E429" s="49"/>
      <c r="F429" s="46"/>
      <c r="G429" s="45"/>
      <c r="H429" s="46"/>
      <c r="I429" s="48"/>
    </row>
    <row r="430" spans="5:9" x14ac:dyDescent="0.2">
      <c r="E430" s="49"/>
      <c r="F430" s="46"/>
      <c r="G430" s="45"/>
      <c r="H430" s="46"/>
      <c r="I430" s="48"/>
    </row>
    <row r="431" spans="5:9" x14ac:dyDescent="0.2">
      <c r="E431" s="49"/>
      <c r="F431" s="46"/>
      <c r="G431" s="45"/>
      <c r="H431" s="46"/>
      <c r="I431" s="48"/>
    </row>
    <row r="432" spans="5:9" x14ac:dyDescent="0.2">
      <c r="E432" s="49"/>
      <c r="F432" s="46"/>
      <c r="G432" s="45"/>
      <c r="H432" s="46"/>
      <c r="I432" s="48"/>
    </row>
    <row r="433" spans="5:9" x14ac:dyDescent="0.2">
      <c r="E433" s="49"/>
      <c r="F433" s="46"/>
      <c r="G433" s="45"/>
      <c r="H433" s="46"/>
      <c r="I433" s="48"/>
    </row>
    <row r="434" spans="5:9" x14ac:dyDescent="0.2">
      <c r="E434" s="49"/>
      <c r="F434" s="46"/>
      <c r="G434" s="45"/>
      <c r="H434" s="46"/>
      <c r="I434" s="48"/>
    </row>
    <row r="435" spans="5:9" x14ac:dyDescent="0.2">
      <c r="E435" s="49"/>
      <c r="F435" s="46"/>
      <c r="G435" s="45"/>
      <c r="H435" s="46"/>
      <c r="I435" s="48"/>
    </row>
    <row r="436" spans="5:9" x14ac:dyDescent="0.2">
      <c r="E436" s="49"/>
      <c r="F436" s="46"/>
      <c r="G436" s="45"/>
      <c r="H436" s="46"/>
      <c r="I436" s="48"/>
    </row>
    <row r="437" spans="5:9" x14ac:dyDescent="0.2">
      <c r="E437" s="49"/>
      <c r="F437" s="46"/>
      <c r="G437" s="45"/>
      <c r="H437" s="46"/>
      <c r="I437" s="48"/>
    </row>
    <row r="438" spans="5:9" x14ac:dyDescent="0.2">
      <c r="E438" s="49"/>
      <c r="F438" s="46"/>
      <c r="G438" s="45"/>
      <c r="H438" s="46"/>
      <c r="I438" s="48"/>
    </row>
    <row r="439" spans="5:9" x14ac:dyDescent="0.2">
      <c r="E439" s="49"/>
      <c r="F439" s="46"/>
      <c r="G439" s="45"/>
      <c r="H439" s="46"/>
      <c r="I439" s="48"/>
    </row>
    <row r="440" spans="5:9" x14ac:dyDescent="0.2">
      <c r="E440" s="49"/>
      <c r="F440" s="46"/>
      <c r="G440" s="45"/>
      <c r="H440" s="46"/>
      <c r="I440" s="48"/>
    </row>
    <row r="441" spans="5:9" x14ac:dyDescent="0.2">
      <c r="E441" s="49"/>
      <c r="F441" s="46"/>
      <c r="G441" s="45"/>
      <c r="H441" s="46"/>
      <c r="I441" s="48"/>
    </row>
    <row r="442" spans="5:9" x14ac:dyDescent="0.2">
      <c r="E442" s="49"/>
      <c r="F442" s="46"/>
      <c r="G442" s="45"/>
      <c r="H442" s="46"/>
      <c r="I442" s="48"/>
    </row>
    <row r="443" spans="5:9" x14ac:dyDescent="0.2">
      <c r="E443" s="49"/>
      <c r="F443" s="46"/>
      <c r="G443" s="45"/>
      <c r="H443" s="46"/>
      <c r="I443" s="48"/>
    </row>
    <row r="444" spans="5:9" x14ac:dyDescent="0.2">
      <c r="E444" s="49"/>
      <c r="F444" s="46"/>
      <c r="G444" s="45"/>
      <c r="H444" s="46"/>
      <c r="I444" s="48"/>
    </row>
    <row r="445" spans="5:9" x14ac:dyDescent="0.2">
      <c r="E445" s="49"/>
      <c r="F445" s="46"/>
      <c r="G445" s="45"/>
      <c r="H445" s="46"/>
      <c r="I445" s="48"/>
    </row>
    <row r="446" spans="5:9" x14ac:dyDescent="0.2">
      <c r="E446" s="49"/>
      <c r="F446" s="46"/>
      <c r="G446" s="45"/>
      <c r="H446" s="46"/>
      <c r="I446" s="48"/>
    </row>
    <row r="447" spans="5:9" x14ac:dyDescent="0.2">
      <c r="E447" s="49"/>
      <c r="F447" s="46"/>
      <c r="G447" s="45"/>
      <c r="H447" s="46"/>
      <c r="I447" s="48"/>
    </row>
    <row r="448" spans="5:9" x14ac:dyDescent="0.2">
      <c r="E448" s="49"/>
      <c r="F448" s="46"/>
      <c r="G448" s="45"/>
      <c r="H448" s="46"/>
      <c r="I448" s="48"/>
    </row>
    <row r="449" spans="5:9" x14ac:dyDescent="0.2">
      <c r="E449" s="49"/>
      <c r="F449" s="46"/>
      <c r="G449" s="45"/>
      <c r="H449" s="46"/>
      <c r="I449" s="48"/>
    </row>
    <row r="450" spans="5:9" x14ac:dyDescent="0.2">
      <c r="E450" s="49"/>
      <c r="F450" s="46"/>
      <c r="G450" s="45"/>
      <c r="H450" s="46"/>
      <c r="I450" s="48"/>
    </row>
    <row r="451" spans="5:9" x14ac:dyDescent="0.2">
      <c r="E451" s="49"/>
      <c r="F451" s="46"/>
      <c r="G451" s="45"/>
      <c r="H451" s="46"/>
      <c r="I451" s="48"/>
    </row>
    <row r="452" spans="5:9" x14ac:dyDescent="0.2">
      <c r="E452" s="49"/>
      <c r="F452" s="46"/>
      <c r="G452" s="45"/>
      <c r="H452" s="46"/>
      <c r="I452" s="48"/>
    </row>
    <row r="453" spans="5:9" x14ac:dyDescent="0.2">
      <c r="E453" s="49"/>
      <c r="F453" s="46"/>
      <c r="G453" s="45"/>
      <c r="H453" s="46"/>
      <c r="I453" s="48"/>
    </row>
    <row r="454" spans="5:9" x14ac:dyDescent="0.2">
      <c r="E454" s="49"/>
      <c r="F454" s="46"/>
      <c r="G454" s="45"/>
      <c r="H454" s="46"/>
      <c r="I454" s="48"/>
    </row>
    <row r="455" spans="5:9" x14ac:dyDescent="0.2">
      <c r="E455" s="49"/>
      <c r="F455" s="46"/>
      <c r="G455" s="45"/>
      <c r="H455" s="46"/>
      <c r="I455" s="48"/>
    </row>
    <row r="456" spans="5:9" x14ac:dyDescent="0.2">
      <c r="E456" s="49"/>
      <c r="F456" s="46"/>
      <c r="G456" s="45"/>
      <c r="H456" s="46"/>
      <c r="I456" s="48"/>
    </row>
    <row r="457" spans="5:9" x14ac:dyDescent="0.2">
      <c r="E457" s="49"/>
      <c r="F457" s="46"/>
      <c r="G457" s="45"/>
      <c r="H457" s="46"/>
      <c r="I457" s="48"/>
    </row>
    <row r="458" spans="5:9" x14ac:dyDescent="0.2">
      <c r="E458" s="49"/>
      <c r="F458" s="46"/>
      <c r="G458" s="45"/>
      <c r="H458" s="46"/>
      <c r="I458" s="48"/>
    </row>
    <row r="459" spans="5:9" x14ac:dyDescent="0.2">
      <c r="E459" s="49"/>
      <c r="F459" s="46"/>
      <c r="G459" s="45"/>
      <c r="H459" s="46"/>
      <c r="I459" s="48"/>
    </row>
    <row r="460" spans="5:9" x14ac:dyDescent="0.2">
      <c r="E460" s="49"/>
      <c r="F460" s="46"/>
      <c r="G460" s="45"/>
      <c r="H460" s="46"/>
      <c r="I460" s="48"/>
    </row>
    <row r="461" spans="5:9" x14ac:dyDescent="0.2">
      <c r="E461" s="49"/>
      <c r="F461" s="46"/>
      <c r="G461" s="45"/>
      <c r="H461" s="46"/>
      <c r="I461" s="48"/>
    </row>
    <row r="462" spans="5:9" x14ac:dyDescent="0.2">
      <c r="E462" s="49"/>
      <c r="F462" s="46"/>
      <c r="G462" s="45"/>
      <c r="H462" s="46"/>
      <c r="I462" s="48"/>
    </row>
    <row r="463" spans="5:9" x14ac:dyDescent="0.2">
      <c r="E463" s="49"/>
      <c r="F463" s="46"/>
      <c r="G463" s="45"/>
      <c r="H463" s="45"/>
      <c r="I463" s="48"/>
    </row>
    <row r="464" spans="5:9" x14ac:dyDescent="0.2">
      <c r="E464" s="49"/>
      <c r="F464" s="46"/>
      <c r="G464" s="45"/>
      <c r="H464" s="45"/>
      <c r="I464" s="48"/>
    </row>
    <row r="465" spans="5:9" x14ac:dyDescent="0.2">
      <c r="E465" s="49"/>
      <c r="F465" s="46"/>
      <c r="G465" s="45"/>
      <c r="H465" s="45"/>
      <c r="I465" s="48"/>
    </row>
    <row r="466" spans="5:9" x14ac:dyDescent="0.2">
      <c r="E466" s="49"/>
      <c r="F466" s="46"/>
      <c r="G466" s="45"/>
      <c r="H466" s="45"/>
      <c r="I466" s="48"/>
    </row>
    <row r="467" spans="5:9" x14ac:dyDescent="0.2">
      <c r="E467" s="49"/>
      <c r="F467" s="46"/>
      <c r="G467" s="45"/>
      <c r="H467" s="45"/>
      <c r="I467" s="48"/>
    </row>
    <row r="468" spans="5:9" x14ac:dyDescent="0.2">
      <c r="E468" s="49"/>
      <c r="F468" s="46"/>
      <c r="G468" s="45"/>
      <c r="H468" s="45"/>
      <c r="I468" s="48"/>
    </row>
    <row r="469" spans="5:9" x14ac:dyDescent="0.2">
      <c r="E469" s="49"/>
      <c r="F469" s="46"/>
      <c r="G469" s="45"/>
      <c r="H469" s="45"/>
      <c r="I469" s="48"/>
    </row>
    <row r="470" spans="5:9" x14ac:dyDescent="0.2">
      <c r="E470" s="49"/>
      <c r="F470" s="46"/>
      <c r="G470" s="45"/>
      <c r="H470" s="45"/>
      <c r="I470" s="48"/>
    </row>
    <row r="471" spans="5:9" x14ac:dyDescent="0.2">
      <c r="E471" s="49"/>
      <c r="F471" s="46"/>
      <c r="G471" s="45"/>
      <c r="H471" s="45"/>
      <c r="I471" s="48"/>
    </row>
    <row r="472" spans="5:9" x14ac:dyDescent="0.2">
      <c r="E472" s="49"/>
      <c r="F472" s="46"/>
      <c r="G472" s="45"/>
      <c r="H472" s="45"/>
      <c r="I472" s="48"/>
    </row>
    <row r="473" spans="5:9" x14ac:dyDescent="0.2">
      <c r="E473" s="49"/>
      <c r="F473" s="46"/>
      <c r="G473" s="45"/>
      <c r="H473" s="45"/>
      <c r="I473" s="48"/>
    </row>
    <row r="474" spans="5:9" x14ac:dyDescent="0.2">
      <c r="F474" s="46"/>
      <c r="G474" s="45"/>
      <c r="H474" s="45"/>
      <c r="I474" s="48"/>
    </row>
    <row r="475" spans="5:9" x14ac:dyDescent="0.2">
      <c r="F475" s="46"/>
      <c r="G475" s="45"/>
      <c r="H475" s="45"/>
      <c r="I475" s="48"/>
    </row>
    <row r="476" spans="5:9" x14ac:dyDescent="0.2">
      <c r="F476" s="46"/>
      <c r="G476" s="45"/>
      <c r="H476" s="45"/>
      <c r="I476" s="48"/>
    </row>
    <row r="477" spans="5:9" x14ac:dyDescent="0.2">
      <c r="F477" s="46"/>
      <c r="G477" s="45"/>
      <c r="H477" s="45"/>
      <c r="I477" s="45"/>
    </row>
    <row r="478" spans="5:9" x14ac:dyDescent="0.2">
      <c r="F478" s="46"/>
      <c r="G478" s="45"/>
      <c r="H478" s="45"/>
      <c r="I478" s="45"/>
    </row>
    <row r="479" spans="5:9" x14ac:dyDescent="0.2">
      <c r="F479" s="46"/>
      <c r="G479" s="45"/>
      <c r="H479" s="45"/>
      <c r="I479" s="45"/>
    </row>
    <row r="480" spans="5:9" x14ac:dyDescent="0.2">
      <c r="F480" s="46"/>
      <c r="G480" s="45"/>
      <c r="H480" s="45"/>
      <c r="I480" s="45"/>
    </row>
    <row r="481" spans="6:9" x14ac:dyDescent="0.2">
      <c r="F481" s="46"/>
      <c r="G481" s="45"/>
      <c r="H481" s="45"/>
      <c r="I481" s="45"/>
    </row>
    <row r="482" spans="6:9" x14ac:dyDescent="0.2">
      <c r="F482" s="46"/>
      <c r="G482" s="45"/>
      <c r="H482" s="45"/>
      <c r="I482" s="45"/>
    </row>
    <row r="483" spans="6:9" x14ac:dyDescent="0.2">
      <c r="F483" s="46"/>
      <c r="G483" s="45"/>
      <c r="H483" s="45"/>
      <c r="I483" s="45"/>
    </row>
    <row r="484" spans="6:9" x14ac:dyDescent="0.2">
      <c r="F484" s="46"/>
      <c r="G484" s="45"/>
      <c r="H484" s="45"/>
      <c r="I484" s="45"/>
    </row>
    <row r="485" spans="6:9" x14ac:dyDescent="0.2">
      <c r="F485" s="46"/>
      <c r="G485" s="45"/>
      <c r="H485" s="45"/>
      <c r="I485" s="45"/>
    </row>
    <row r="486" spans="6:9" x14ac:dyDescent="0.2">
      <c r="F486" s="47"/>
    </row>
    <row r="487" spans="6:9" x14ac:dyDescent="0.2">
      <c r="F487" s="47"/>
    </row>
    <row r="488" spans="6:9" x14ac:dyDescent="0.2">
      <c r="F488" s="47"/>
    </row>
    <row r="489" spans="6:9" x14ac:dyDescent="0.2">
      <c r="F489" s="47"/>
    </row>
    <row r="490" spans="6:9" x14ac:dyDescent="0.2">
      <c r="F490" s="47"/>
    </row>
    <row r="491" spans="6:9" x14ac:dyDescent="0.2">
      <c r="F491" s="47"/>
    </row>
    <row r="492" spans="6:9" x14ac:dyDescent="0.2">
      <c r="F492" s="47"/>
    </row>
    <row r="493" spans="6:9" x14ac:dyDescent="0.2">
      <c r="F493" s="47"/>
    </row>
    <row r="494" spans="6:9" x14ac:dyDescent="0.2">
      <c r="F494" s="47"/>
    </row>
    <row r="495" spans="6:9" x14ac:dyDescent="0.2">
      <c r="F495" s="47"/>
    </row>
    <row r="496" spans="6:9" x14ac:dyDescent="0.2">
      <c r="F496" s="47"/>
    </row>
    <row r="497" spans="6:6" x14ac:dyDescent="0.2">
      <c r="F497" s="47"/>
    </row>
    <row r="498" spans="6:6" x14ac:dyDescent="0.2">
      <c r="F498" s="47"/>
    </row>
    <row r="499" spans="6:6" x14ac:dyDescent="0.2">
      <c r="F499" s="47"/>
    </row>
    <row r="500" spans="6:6" x14ac:dyDescent="0.2">
      <c r="F500" s="47"/>
    </row>
    <row r="501" spans="6:6" x14ac:dyDescent="0.2">
      <c r="F501" s="47"/>
    </row>
    <row r="502" spans="6:6" x14ac:dyDescent="0.2">
      <c r="F502" s="47"/>
    </row>
    <row r="503" spans="6:6" x14ac:dyDescent="0.2">
      <c r="F503" s="47"/>
    </row>
    <row r="504" spans="6:6" x14ac:dyDescent="0.2">
      <c r="F504" s="47"/>
    </row>
    <row r="505" spans="6:6" x14ac:dyDescent="0.2">
      <c r="F505" s="47"/>
    </row>
    <row r="506" spans="6:6" x14ac:dyDescent="0.2">
      <c r="F506" s="47"/>
    </row>
    <row r="507" spans="6:6" x14ac:dyDescent="0.2">
      <c r="F507" s="47"/>
    </row>
    <row r="508" spans="6:6" x14ac:dyDescent="0.2">
      <c r="F508" s="47"/>
    </row>
    <row r="509" spans="6:6" x14ac:dyDescent="0.2">
      <c r="F509" s="47"/>
    </row>
    <row r="510" spans="6:6" x14ac:dyDescent="0.2">
      <c r="F510" s="47"/>
    </row>
    <row r="511" spans="6:6" x14ac:dyDescent="0.2">
      <c r="F511" s="47"/>
    </row>
    <row r="512" spans="6:6" x14ac:dyDescent="0.2">
      <c r="F512" s="47"/>
    </row>
    <row r="513" spans="6:6" x14ac:dyDescent="0.2">
      <c r="F513" s="47"/>
    </row>
    <row r="514" spans="6:6" x14ac:dyDescent="0.2">
      <c r="F514" s="47"/>
    </row>
    <row r="515" spans="6:6" x14ac:dyDescent="0.2">
      <c r="F515" s="47"/>
    </row>
    <row r="516" spans="6:6" x14ac:dyDescent="0.2">
      <c r="F516" s="47"/>
    </row>
    <row r="517" spans="6:6" x14ac:dyDescent="0.2">
      <c r="F517" s="47"/>
    </row>
    <row r="518" spans="6:6" x14ac:dyDescent="0.2">
      <c r="F518" s="47"/>
    </row>
    <row r="519" spans="6:6" x14ac:dyDescent="0.2">
      <c r="F519" s="47"/>
    </row>
    <row r="520" spans="6:6" x14ac:dyDescent="0.2">
      <c r="F520" s="47"/>
    </row>
    <row r="521" spans="6:6" x14ac:dyDescent="0.2">
      <c r="F521" s="47"/>
    </row>
  </sheetData>
  <phoneticPr fontId="7" type="noConversion"/>
  <pageMargins left="0.75" right="0.75" top="1" bottom="1" header="0.5" footer="0.5"/>
  <pageSetup orientation="portrait" horizontalDpi="300" verticalDpi="300" r:id="rId1"/>
  <headerFooter alignWithMargins="0">
    <oddHeader>&amp;A</oddHeader>
    <oddFooter>Page &amp;P</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F21"/>
  <sheetViews>
    <sheetView showGridLines="0" showRowColHeaders="0" workbookViewId="0">
      <selection activeCell="K16" sqref="K16"/>
    </sheetView>
  </sheetViews>
  <sheetFormatPr defaultRowHeight="12.75" x14ac:dyDescent="0.2"/>
  <cols>
    <col min="2" max="2" width="14.7109375" customWidth="1"/>
    <col min="3" max="4" width="10.7109375" customWidth="1"/>
    <col min="5" max="5" width="14.7109375" customWidth="1"/>
    <col min="6" max="6" width="10.7109375" customWidth="1"/>
  </cols>
  <sheetData>
    <row r="2" spans="2:6" ht="18" x14ac:dyDescent="0.25">
      <c r="B2" s="96" t="s">
        <v>22</v>
      </c>
      <c r="C2" s="96"/>
      <c r="D2" s="96"/>
      <c r="E2" s="96"/>
      <c r="F2" s="96"/>
    </row>
    <row r="3" spans="2:6" x14ac:dyDescent="0.2">
      <c r="B3" s="55"/>
      <c r="C3" s="55"/>
      <c r="D3" s="55"/>
      <c r="E3" s="55"/>
      <c r="F3" s="55"/>
    </row>
    <row r="4" spans="2:6" ht="13.5" thickBot="1" x14ac:dyDescent="0.25">
      <c r="B4" s="55"/>
      <c r="C4" s="55"/>
      <c r="D4" s="55"/>
      <c r="E4" s="55"/>
      <c r="F4" s="55"/>
    </row>
    <row r="5" spans="2:6" x14ac:dyDescent="0.2">
      <c r="B5" s="57" t="s">
        <v>23</v>
      </c>
      <c r="C5" s="71" t="s">
        <v>24</v>
      </c>
      <c r="D5" s="71" t="s">
        <v>25</v>
      </c>
      <c r="E5" s="71" t="s">
        <v>26</v>
      </c>
      <c r="F5" s="72" t="s">
        <v>27</v>
      </c>
    </row>
    <row r="6" spans="2:6" ht="13.5" thickBot="1" x14ac:dyDescent="0.25">
      <c r="B6" s="58"/>
      <c r="C6" s="70" t="s">
        <v>28</v>
      </c>
      <c r="D6" s="70" t="s">
        <v>19</v>
      </c>
      <c r="E6" s="70" t="s">
        <v>29</v>
      </c>
      <c r="F6" s="59" t="s">
        <v>30</v>
      </c>
    </row>
    <row r="7" spans="2:6" x14ac:dyDescent="0.2">
      <c r="B7" s="60" t="s">
        <v>31</v>
      </c>
      <c r="C7" s="66">
        <v>9.6000000000000002E-2</v>
      </c>
      <c r="D7" s="67">
        <v>0.38</v>
      </c>
      <c r="E7" s="56">
        <f>PI()*D7^3/6</f>
        <v>2.8730912014629854E-2</v>
      </c>
      <c r="F7" s="64">
        <f>C7/E7</f>
        <v>3.3413488562812264</v>
      </c>
    </row>
    <row r="8" spans="2:6" x14ac:dyDescent="0.2">
      <c r="B8" s="61" t="s">
        <v>32</v>
      </c>
      <c r="C8" s="83">
        <v>1.2500000000000001E-2</v>
      </c>
      <c r="D8" s="83">
        <v>0.105</v>
      </c>
      <c r="E8" s="84">
        <f>PI()*D8^3/6</f>
        <v>6.0613103260198067E-4</v>
      </c>
      <c r="F8" s="85">
        <f>C8/E8</f>
        <v>20.622603575237495</v>
      </c>
    </row>
    <row r="9" spans="2:6" x14ac:dyDescent="0.2">
      <c r="B9" s="61" t="s">
        <v>33</v>
      </c>
      <c r="C9" s="68">
        <v>0.56299999999999994</v>
      </c>
      <c r="D9" s="69">
        <v>0.27</v>
      </c>
      <c r="E9" s="63">
        <f t="shared" ref="E9:E18" si="0">PI()*D9^3/6</f>
        <v>1.0305994700101318E-2</v>
      </c>
      <c r="F9" s="65">
        <f t="shared" ref="F9:F18" si="1">C9/E9</f>
        <v>54.628399915096516</v>
      </c>
    </row>
    <row r="10" spans="2:6" x14ac:dyDescent="0.2">
      <c r="B10" s="61" t="s">
        <v>34</v>
      </c>
      <c r="C10" s="83">
        <v>2.3E-3</v>
      </c>
      <c r="D10" s="83">
        <v>0.04</v>
      </c>
      <c r="E10" s="84">
        <f t="shared" si="0"/>
        <v>3.3510321638291131E-5</v>
      </c>
      <c r="F10" s="85">
        <f t="shared" si="1"/>
        <v>68.635569208379849</v>
      </c>
    </row>
    <row r="11" spans="2:6" x14ac:dyDescent="0.2">
      <c r="B11" s="61" t="s">
        <v>35</v>
      </c>
      <c r="C11" s="68">
        <v>0.437</v>
      </c>
      <c r="D11" s="69">
        <v>0.22</v>
      </c>
      <c r="E11" s="63">
        <f t="shared" si="0"/>
        <v>5.5752797625706861E-3</v>
      </c>
      <c r="F11" s="65">
        <f t="shared" si="1"/>
        <v>78.381716902131785</v>
      </c>
    </row>
    <row r="12" spans="2:6" x14ac:dyDescent="0.2">
      <c r="B12" s="61" t="s">
        <v>36</v>
      </c>
      <c r="C12" s="83">
        <v>0.59499999999999997</v>
      </c>
      <c r="D12" s="83">
        <v>0.24</v>
      </c>
      <c r="E12" s="84">
        <f t="shared" si="0"/>
        <v>7.2382294738708832E-3</v>
      </c>
      <c r="F12" s="85">
        <f t="shared" si="1"/>
        <v>82.202422864303585</v>
      </c>
    </row>
    <row r="13" spans="2:6" x14ac:dyDescent="0.2">
      <c r="B13" s="61" t="s">
        <v>37</v>
      </c>
      <c r="C13" s="68">
        <v>5.6000000000000001E-2</v>
      </c>
      <c r="D13" s="69">
        <v>6.5000000000000002E-2</v>
      </c>
      <c r="E13" s="63">
        <f t="shared" si="0"/>
        <v>1.4379331374868285E-4</v>
      </c>
      <c r="F13" s="65">
        <f t="shared" si="1"/>
        <v>389.44787167138338</v>
      </c>
    </row>
    <row r="14" spans="2:6" x14ac:dyDescent="0.2">
      <c r="B14" s="61" t="s">
        <v>38</v>
      </c>
      <c r="C14" s="83">
        <v>0.184</v>
      </c>
      <c r="D14" s="83">
        <v>9.5000000000000001E-2</v>
      </c>
      <c r="E14" s="84">
        <f t="shared" si="0"/>
        <v>4.4892050022859146E-4</v>
      </c>
      <c r="F14" s="85">
        <f t="shared" si="1"/>
        <v>409.87212637049709</v>
      </c>
    </row>
    <row r="15" spans="2:6" x14ac:dyDescent="0.2">
      <c r="B15" s="61" t="s">
        <v>39</v>
      </c>
      <c r="C15" s="68">
        <v>0.14399999999999999</v>
      </c>
      <c r="D15" s="69">
        <v>7.0000000000000007E-2</v>
      </c>
      <c r="E15" s="63">
        <f t="shared" si="0"/>
        <v>1.7959438003021654E-4</v>
      </c>
      <c r="F15" s="65">
        <f t="shared" si="1"/>
        <v>801.80682700523346</v>
      </c>
    </row>
    <row r="16" spans="2:6" x14ac:dyDescent="0.2">
      <c r="B16" s="61" t="s">
        <v>40</v>
      </c>
      <c r="C16" s="83">
        <v>0.52300000000000002</v>
      </c>
      <c r="D16" s="83">
        <v>0.1</v>
      </c>
      <c r="E16" s="84">
        <f t="shared" si="0"/>
        <v>5.2359877559829892E-4</v>
      </c>
      <c r="F16" s="85">
        <f t="shared" si="1"/>
        <v>998.85642284473511</v>
      </c>
    </row>
    <row r="17" spans="2:6" x14ac:dyDescent="0.2">
      <c r="B17" s="61" t="s">
        <v>41</v>
      </c>
      <c r="C17" s="68">
        <v>4.5999999999999999E-2</v>
      </c>
      <c r="D17" s="69">
        <v>4.4000000000000004E-2</v>
      </c>
      <c r="E17" s="63">
        <f t="shared" si="0"/>
        <v>4.4602238100565506E-5</v>
      </c>
      <c r="F17" s="65">
        <f t="shared" si="1"/>
        <v>1031.3383802912072</v>
      </c>
    </row>
    <row r="18" spans="2:6" ht="13.5" thickBot="1" x14ac:dyDescent="0.25">
      <c r="B18" s="62" t="s">
        <v>42</v>
      </c>
      <c r="C18" s="86">
        <v>6.81</v>
      </c>
      <c r="D18" s="87">
        <v>0.11759</v>
      </c>
      <c r="E18" s="88">
        <f t="shared" si="0"/>
        <v>8.5135324048139218E-4</v>
      </c>
      <c r="F18" s="89">
        <f t="shared" si="1"/>
        <v>7999.029869375172</v>
      </c>
    </row>
    <row r="20" spans="2:6" ht="20.25" x14ac:dyDescent="0.3">
      <c r="B20" s="90" t="s">
        <v>76</v>
      </c>
      <c r="C20" s="90"/>
      <c r="D20" s="90"/>
    </row>
    <row r="21" spans="2:6" x14ac:dyDescent="0.2">
      <c r="B21" t="s">
        <v>43</v>
      </c>
    </row>
  </sheetData>
  <mergeCells count="1">
    <mergeCell ref="B2:F2"/>
  </mergeCells>
  <phoneticPr fontId="7" type="noConversion"/>
  <pageMargins left="0.75" right="0.75" top="1" bottom="1" header="0.5" footer="0.5"/>
  <pageSetup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29" workbookViewId="0">
      <selection activeCell="N55" sqref="N55"/>
    </sheetView>
  </sheetViews>
  <sheetFormatPr defaultRowHeight="12.75" x14ac:dyDescent="0.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showGridLines="0" showRowColHeaders="0" topLeftCell="A21" workbookViewId="0">
      <selection activeCell="P48" sqref="P48"/>
    </sheetView>
  </sheetViews>
  <sheetFormatPr defaultRowHeight="12.75" x14ac:dyDescent="0.2"/>
  <sheetData/>
  <sheetProtection password="DF43" sheet="1" objects="1" scenarios="1"/>
  <phoneticPr fontId="7" type="noConversion"/>
  <pageMargins left="0.75" right="0.75" top="1" bottom="1" header="0.5" footer="0.5"/>
  <headerFooter alignWithMargins="0">
    <oddHeader>&amp;A</oddHeader>
    <oddFooter>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election activeCell="O15" sqref="O15"/>
    </sheetView>
  </sheetViews>
  <sheetFormatPr defaultRowHeight="12.75" x14ac:dyDescent="0.2"/>
  <sheetData/>
  <phoneticPr fontId="7" type="noConversion"/>
  <pageMargins left="0.75" right="0.75" top="1" bottom="1" header="0.5" footer="0.5"/>
  <pageSetup orientation="portrait" r:id="rId1"/>
  <headerFooter alignWithMargins="0">
    <oddHeader>&amp;A</oddHeader>
    <oddFooter>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6</vt:i4>
      </vt:variant>
      <vt:variant>
        <vt:lpstr>Excel 4.0 Macros</vt:lpstr>
      </vt:variant>
      <vt:variant>
        <vt:i4>1</vt:i4>
      </vt:variant>
      <vt:variant>
        <vt:lpstr>Named Ranges</vt:lpstr>
      </vt:variant>
      <vt:variant>
        <vt:i4>16</vt:i4>
      </vt:variant>
    </vt:vector>
  </HeadingPairs>
  <TitlesOfParts>
    <vt:vector size="23" baseType="lpstr">
      <vt:lpstr>Main Sheet</vt:lpstr>
      <vt:lpstr>Computed Data</vt:lpstr>
      <vt:lpstr>Projectile Data</vt:lpstr>
      <vt:lpstr>Tech Details (1)</vt:lpstr>
      <vt:lpstr>Tech Details (2)</vt:lpstr>
      <vt:lpstr>Tech Details (3)</vt:lpstr>
      <vt:lpstr>Disclaimer</vt:lpstr>
      <vt:lpstr>Amass</vt:lpstr>
      <vt:lpstr>Angle</vt:lpstr>
      <vt:lpstr>Bgrav</vt:lpstr>
      <vt:lpstr>Ccoef</vt:lpstr>
      <vt:lpstr>Delay</vt:lpstr>
      <vt:lpstr>DeltaT</vt:lpstr>
      <vt:lpstr>Diameter</vt:lpstr>
      <vt:lpstr>ggrav</vt:lpstr>
      <vt:lpstr>kinvis</vt:lpstr>
      <vt:lpstr>rhobar</vt:lpstr>
      <vt:lpstr>rhofluid</vt:lpstr>
      <vt:lpstr>Rhoproj</vt:lpstr>
      <vt:lpstr>Ufluid</vt:lpstr>
      <vt:lpstr>Velinit</vt:lpstr>
      <vt:lpstr>Xmax</vt:lpstr>
      <vt:lpstr>Ymax</vt:lpstr>
    </vt:vector>
  </TitlesOfParts>
  <Manager>Projectile</Manager>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Projmotn</dc:title>
  <dc:subject>Computer Modeling of Projectile Motion</dc:subject>
  <dc:creator>Projectile</dc:creator>
  <dc:description>Based on Program 1.4 in Chuen-Yen Chow, An Introduction to Computational Fluid Dynamics, Seminole Publishing, 1983.</dc:description>
  <cp:lastModifiedBy>Ashish Karn</cp:lastModifiedBy>
  <cp:lastPrinted>2018-03-15T15:48:19Z</cp:lastPrinted>
  <dcterms:created xsi:type="dcterms:W3CDTF">1997-08-27T15:57:02Z</dcterms:created>
  <dcterms:modified xsi:type="dcterms:W3CDTF">2019-01-11T09:56:13Z</dcterms:modified>
</cp:coreProperties>
</file>